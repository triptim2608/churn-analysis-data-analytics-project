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0d7e16cb114097/Desktop/"/>
    </mc:Choice>
  </mc:AlternateContent>
  <xr:revisionPtr revIDLastSave="402" documentId="8_{B1663FBB-10D8-4F69-A602-6958984D16F2}" xr6:coauthVersionLast="47" xr6:coauthVersionMax="47" xr10:uidLastSave="{B3571641-F702-49A4-A8B8-3B85585E6BDF}"/>
  <bookViews>
    <workbookView xWindow="-108" yWindow="-108" windowWidth="23256" windowHeight="12456" activeTab="2" xr2:uid="{339A1A97-33B0-480A-9AE2-BCF4613B994E}"/>
  </bookViews>
  <sheets>
    <sheet name="Cover" sheetId="11" r:id="rId1"/>
    <sheet name="account summary" sheetId="1" r:id="rId2"/>
    <sheet name="churn_segment" sheetId="5" r:id="rId3"/>
    <sheet name="Revenue summary" sheetId="8" r:id="rId4"/>
    <sheet name="Churn trend" sheetId="9" r:id="rId5"/>
    <sheet name="Risk accounts" sheetId="10" r:id="rId6"/>
    <sheet name="subscription_raw" sheetId="6" r:id="rId7"/>
  </sheets>
  <definedNames>
    <definedName name="_xlnm._FilterDatabase" localSheetId="1" hidden="1">'account summary'!$A$1:$L$501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F3" i="8"/>
  <c r="D3" i="8"/>
  <c r="B3" i="8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3" i="1"/>
  <c r="K4" i="1"/>
  <c r="K5" i="1"/>
  <c r="K6" i="1"/>
  <c r="K7" i="1"/>
  <c r="K2" i="1"/>
</calcChain>
</file>

<file path=xl/sharedStrings.xml><?xml version="1.0" encoding="utf-8"?>
<sst xmlns="http://schemas.openxmlformats.org/spreadsheetml/2006/main" count="23157" uniqueCount="6090">
  <si>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</si>
  <si>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</si>
  <si>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</si>
  <si>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</si>
  <si>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</si>
  <si>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</si>
  <si>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</si>
  <si>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</si>
  <si>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</si>
  <si>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</si>
  <si>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</si>
  <si>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</si>
  <si>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</si>
  <si>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</si>
  <si>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</si>
  <si>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</si>
  <si>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</si>
  <si>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</si>
  <si>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</si>
  <si>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</si>
  <si>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</si>
  <si>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</si>
  <si>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</si>
  <si>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</si>
  <si>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</si>
  <si>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</si>
  <si>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</si>
  <si>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</si>
  <si>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</si>
  <si>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</si>
  <si>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</si>
  <si>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</si>
  <si>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</si>
  <si>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</si>
  <si>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</si>
  <si>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</si>
  <si>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</si>
  <si>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</si>
  <si>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</si>
  <si>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</si>
  <si>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</si>
  <si>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</si>
  <si>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</si>
  <si>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</si>
  <si>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</si>
  <si>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</si>
  <si>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</si>
  <si>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</si>
  <si>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</si>
  <si>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</si>
  <si>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</si>
  <si>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</si>
  <si>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</si>
  <si>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</si>
  <si>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</si>
  <si>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</si>
  <si>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</si>
  <si>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</si>
  <si>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</si>
  <si>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</si>
  <si>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</si>
  <si>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</si>
  <si>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</si>
  <si>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</si>
  <si>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</si>
  <si>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</si>
  <si>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</si>
  <si>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</si>
  <si>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</si>
  <si>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</si>
  <si>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</si>
  <si>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</si>
  <si>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</si>
  <si>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</si>
  <si>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</si>
  <si>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</si>
  <si>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</si>
  <si>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</si>
  <si>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</si>
  <si>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</si>
  <si>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</si>
  <si>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</si>
  <si>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</si>
  <si>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</si>
  <si>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</si>
  <si>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</si>
  <si>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</si>
  <si>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</si>
  <si>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</si>
  <si>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</si>
  <si>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</si>
  <si>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</si>
  <si>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</si>
  <si>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</si>
  <si>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</si>
  <si>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</si>
  <si>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</si>
  <si>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</si>
  <si>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</si>
  <si>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</si>
  <si>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</si>
  <si>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</si>
  <si>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</si>
  <si>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</si>
  <si>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</si>
  <si>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</si>
  <si>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</si>
  <si>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</si>
  <si>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</si>
  <si>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</si>
  <si>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</si>
  <si>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</si>
  <si>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</si>
  <si>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</si>
  <si>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</si>
  <si>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</si>
  <si>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</si>
  <si>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</si>
  <si>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</si>
  <si>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</si>
  <si>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</si>
  <si>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</si>
  <si>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</si>
  <si>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</si>
  <si>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</si>
  <si>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</si>
  <si>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</si>
  <si>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</si>
  <si>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</si>
  <si>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</si>
  <si>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</si>
  <si>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</si>
  <si>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</si>
  <si>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</si>
  <si>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</si>
  <si>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</si>
  <si>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</si>
  <si>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</si>
  <si>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</si>
  <si>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</si>
  <si>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</si>
  <si>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</si>
  <si>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</si>
  <si>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</si>
  <si>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</si>
  <si>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</si>
  <si>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</si>
  <si>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</si>
  <si>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</si>
  <si>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</si>
  <si>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</si>
  <si>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</si>
  <si>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</si>
  <si>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</si>
  <si>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</si>
  <si>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</si>
  <si>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</si>
  <si>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</si>
  <si>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</si>
  <si>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</si>
  <si>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</si>
  <si>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</si>
  <si>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</si>
  <si>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</si>
  <si>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</si>
  <si>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</si>
  <si>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</si>
  <si>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</si>
  <si>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</si>
  <si>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</si>
  <si>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</si>
  <si>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</si>
  <si>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</si>
  <si>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</si>
  <si>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</si>
  <si>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</si>
  <si>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</si>
  <si>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</si>
  <si>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</si>
  <si>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</si>
  <si>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</si>
  <si>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</si>
  <si>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</si>
  <si>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</si>
  <si>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</si>
  <si>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</si>
  <si>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</si>
  <si>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</si>
  <si>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</si>
  <si>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</si>
  <si>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</si>
  <si>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</si>
  <si>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</si>
  <si>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</si>
  <si>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</si>
  <si>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</si>
  <si>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</si>
  <si>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</si>
  <si>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</si>
  <si>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</si>
  <si>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</si>
  <si>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</si>
  <si>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</si>
  <si>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</si>
  <si>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</si>
  <si>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</si>
  <si>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</si>
  <si>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</si>
  <si>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</si>
  <si>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</si>
  <si>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</si>
  <si>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</si>
  <si>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</si>
  <si>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</si>
  <si>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</si>
  <si>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</si>
  <si>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</si>
  <si>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</si>
  <si>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</si>
  <si>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</si>
  <si>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</si>
  <si>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</si>
  <si>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</si>
  <si>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</si>
  <si>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</si>
  <si>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</si>
  <si>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</si>
  <si>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</si>
  <si>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</si>
  <si>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</si>
  <si>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</si>
  <si>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</si>
  <si>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</si>
  <si>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</si>
  <si>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</si>
  <si>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</si>
  <si>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</si>
  <si>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</si>
  <si>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</si>
  <si>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</si>
  <si>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</si>
  <si>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</si>
  <si>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</si>
  <si>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</si>
  <si>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</si>
  <si>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</si>
  <si>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</si>
  <si>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</si>
  <si>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</si>
  <si>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</si>
  <si>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</si>
  <si>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</si>
  <si>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</si>
  <si>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</si>
  <si>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</si>
  <si>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</si>
  <si>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</si>
  <si>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</si>
  <si>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</si>
  <si>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</si>
  <si>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</si>
  <si>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</si>
  <si>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</si>
  <si>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</si>
  <si>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</si>
  <si>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</si>
  <si>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</si>
  <si>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</si>
  <si>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</si>
  <si>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</si>
  <si>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</si>
  <si>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</si>
  <si>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</si>
  <si>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</si>
  <si>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</si>
  <si>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</si>
  <si>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</si>
  <si>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</si>
  <si>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</si>
  <si>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</si>
  <si>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</si>
  <si>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</si>
  <si>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</si>
  <si>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</si>
  <si>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</si>
  <si>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</si>
  <si>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</si>
  <si>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</si>
  <si>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</si>
  <si>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</si>
  <si>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</si>
  <si>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</si>
  <si>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</si>
  <si>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</si>
  <si>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</si>
  <si>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</si>
  <si>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</si>
  <si>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</si>
  <si>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</si>
  <si>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</si>
  <si>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</si>
  <si>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</si>
  <si>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</si>
  <si>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</si>
  <si>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</si>
  <si>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</si>
  <si>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</si>
  <si>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</si>
  <si>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</si>
  <si>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</si>
  <si>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</si>
  <si>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</si>
  <si>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</si>
  <si>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</si>
  <si>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</si>
  <si>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</si>
  <si>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</si>
  <si>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</si>
  <si>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</si>
  <si>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</si>
  <si>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</si>
  <si>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</si>
  <si>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</si>
  <si>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</si>
  <si>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</si>
  <si>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</si>
  <si>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</si>
  <si>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</si>
  <si>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</si>
  <si>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</si>
  <si>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</si>
  <si>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</si>
  <si>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</si>
  <si>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</si>
  <si>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</si>
  <si>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</si>
  <si>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</si>
  <si>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</si>
  <si>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</si>
  <si>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</si>
  <si>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</si>
  <si>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</si>
  <si>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</si>
  <si>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</si>
  <si>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</si>
  <si>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</si>
  <si>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</si>
  <si>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</si>
  <si>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</si>
  <si>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</si>
  <si>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</si>
  <si>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</si>
  <si>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</si>
  <si>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</si>
  <si>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</si>
  <si>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</si>
  <si>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</si>
  <si>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</si>
  <si>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</si>
  <si>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</si>
  <si>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</si>
  <si>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</si>
  <si>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</si>
  <si>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</si>
  <si>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</si>
  <si>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</si>
  <si>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</si>
  <si>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</si>
  <si>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</si>
  <si>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</si>
  <si>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</si>
  <si>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</si>
  <si>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</si>
  <si>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</si>
  <si>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</si>
  <si>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</si>
  <si>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</si>
  <si>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</si>
  <si>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</si>
  <si>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</si>
  <si>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</si>
  <si>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</si>
  <si>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</si>
  <si>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</si>
  <si>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</si>
  <si>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</si>
  <si>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</si>
  <si>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</si>
  <si>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</si>
  <si>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</si>
  <si>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</si>
  <si>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</si>
  <si>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</si>
  <si>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</si>
  <si>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</si>
  <si>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</si>
  <si>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</si>
  <si>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</si>
  <si>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</si>
  <si>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</si>
  <si>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</si>
  <si>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</si>
  <si>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</si>
  <si>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</si>
  <si>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</si>
  <si>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</si>
  <si>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</si>
  <si>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</si>
  <si>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</si>
  <si>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</si>
  <si>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</si>
  <si>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</si>
  <si>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</si>
  <si>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</si>
  <si>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</si>
  <si>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</si>
  <si>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</si>
  <si>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</si>
  <si>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</si>
  <si>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</si>
  <si>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</si>
  <si>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</si>
  <si>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</si>
  <si>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</si>
  <si>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</si>
  <si>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</si>
  <si>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</si>
  <si>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</si>
  <si>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</si>
  <si>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</si>
  <si>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</si>
  <si>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</si>
  <si>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</si>
  <si>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</si>
  <si>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</si>
  <si>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</si>
  <si>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</si>
  <si>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</si>
  <si>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</si>
  <si>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</si>
  <si>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</si>
  <si>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</si>
  <si>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</si>
  <si>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</si>
  <si>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</si>
  <si>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</si>
  <si>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</si>
  <si>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</si>
  <si>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</si>
  <si>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</si>
  <si>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</si>
  <si>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</si>
  <si>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</si>
  <si>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</si>
  <si>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</si>
  <si>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</si>
  <si>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</si>
  <si>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</si>
  <si>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</si>
  <si>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</si>
  <si>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</si>
  <si>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</si>
  <si>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</si>
  <si>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</si>
  <si>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</si>
  <si>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</si>
  <si>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</si>
  <si>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</si>
  <si>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</si>
  <si>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</si>
  <si>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</si>
  <si>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</si>
  <si>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</si>
  <si>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</si>
  <si>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</si>
  <si>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</si>
  <si>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</si>
  <si>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</si>
  <si>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</si>
  <si>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</si>
  <si>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</si>
  <si>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</si>
  <si>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</si>
  <si>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</si>
  <si>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</si>
  <si>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</si>
  <si>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</si>
  <si>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</si>
  <si>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</si>
  <si>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</si>
  <si>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</si>
  <si>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</si>
  <si>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</si>
  <si>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</si>
  <si>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</si>
  <si>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</si>
  <si>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</si>
  <si>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</si>
  <si>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</si>
  <si>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</si>
  <si>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</si>
  <si>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</si>
  <si>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</si>
  <si>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</si>
  <si>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</si>
  <si>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</si>
  <si>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</si>
  <si>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</si>
  <si>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</si>
  <si>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</si>
  <si>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</si>
  <si>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</si>
  <si>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</si>
  <si>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</si>
  <si>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</si>
  <si>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</si>
  <si>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</si>
  <si>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</si>
  <si>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</si>
  <si>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</si>
  <si>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</si>
  <si>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</si>
  <si>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</si>
  <si>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</si>
  <si>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</si>
  <si>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</si>
  <si>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</si>
  <si>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</si>
  <si>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</si>
  <si>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</si>
  <si>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</si>
  <si>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</si>
  <si>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</si>
  <si>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</si>
  <si>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</si>
  <si>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</si>
  <si>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</si>
  <si>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</si>
  <si>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</si>
  <si>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</si>
  <si>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</si>
  <si>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</si>
  <si>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</si>
  <si>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</si>
  <si>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</si>
  <si>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</si>
  <si>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</si>
  <si>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</si>
  <si>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</si>
  <si>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</si>
  <si>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</si>
  <si>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</si>
  <si>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</si>
  <si>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</si>
  <si>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</si>
  <si>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</si>
  <si>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</si>
  <si>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</si>
  <si>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</si>
  <si>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</si>
  <si>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</si>
  <si>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</si>
  <si>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</si>
  <si>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</si>
  <si>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</si>
  <si>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</si>
  <si>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</si>
  <si>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</si>
  <si>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</si>
  <si>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</si>
  <si>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</si>
  <si>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</si>
  <si>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</si>
  <si>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</si>
  <si>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</si>
  <si>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</si>
  <si>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</si>
  <si>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</si>
  <si>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</si>
  <si>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</si>
  <si>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</si>
  <si>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</si>
  <si>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</si>
  <si>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</si>
  <si>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</si>
  <si>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</si>
  <si>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</si>
  <si>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</si>
  <si>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</si>
  <si>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</si>
  <si>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</si>
  <si>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</si>
  <si>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</si>
  <si>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</si>
  <si>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</si>
  <si>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</si>
  <si>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</si>
  <si>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</si>
  <si>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</si>
  <si>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</si>
  <si>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</si>
  <si>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</si>
  <si>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</si>
  <si>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</si>
  <si>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</si>
  <si>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</si>
  <si>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</si>
  <si>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</si>
  <si>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</si>
  <si>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</si>
  <si>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</si>
  <si>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</si>
  <si>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</si>
  <si>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</si>
  <si>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</si>
  <si>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</si>
  <si>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</si>
  <si>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</si>
  <si>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</si>
  <si>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</si>
  <si>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</si>
  <si>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</si>
  <si>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</si>
  <si>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</si>
  <si>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</si>
  <si>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</si>
  <si>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</si>
  <si>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</si>
  <si>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</si>
  <si>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</si>
  <si>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</si>
  <si>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</si>
  <si>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</si>
  <si>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</si>
  <si>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</si>
  <si>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</si>
  <si>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</si>
  <si>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</si>
  <si>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</si>
  <si>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</si>
  <si>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</si>
  <si>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</si>
  <si>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</si>
  <si>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</si>
  <si>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</si>
  <si>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</si>
  <si>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</si>
  <si>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</si>
  <si>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</si>
  <si>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</si>
  <si>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</si>
  <si>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</si>
  <si>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</si>
  <si>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</si>
  <si>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</si>
  <si>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</si>
  <si>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</si>
  <si>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</si>
  <si>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</si>
  <si>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</si>
  <si>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</si>
  <si>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</si>
  <si>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</si>
  <si>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</si>
  <si>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</si>
  <si>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</si>
  <si>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</si>
  <si>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</si>
  <si>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</si>
  <si>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</si>
  <si>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</si>
  <si>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</si>
  <si>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</si>
  <si>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</si>
  <si>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</si>
  <si>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</si>
  <si>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</si>
  <si>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</si>
  <si>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</si>
  <si>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</si>
  <si>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</si>
  <si>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</si>
  <si>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</si>
  <si>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</si>
  <si>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</si>
  <si>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</si>
  <si>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</si>
  <si>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</si>
  <si>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</si>
  <si>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</si>
  <si>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</si>
  <si>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</si>
  <si>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</si>
  <si>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</si>
  <si>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</si>
  <si>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</si>
  <si>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</si>
  <si>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</si>
  <si>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</si>
  <si>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</si>
  <si>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</si>
  <si>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</si>
  <si>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</si>
  <si>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</si>
  <si>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</si>
  <si>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</si>
  <si>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</si>
  <si>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</si>
  <si>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</si>
  <si>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</si>
  <si>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</si>
  <si>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</si>
  <si>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</si>
  <si>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</si>
  <si>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</si>
  <si>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</si>
  <si>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</si>
  <si>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</si>
  <si>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</si>
  <si>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</si>
  <si>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</si>
  <si>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</si>
  <si>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</si>
  <si>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</si>
  <si>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</si>
  <si>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</si>
  <si>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</si>
  <si>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</si>
  <si>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</si>
  <si>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</si>
  <si>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</si>
  <si>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</si>
  <si>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</si>
  <si>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</si>
  <si>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</si>
  <si>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</si>
  <si>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</si>
  <si>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</si>
  <si>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</si>
  <si>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</si>
  <si>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</si>
  <si>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</si>
  <si>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</si>
  <si>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</si>
  <si>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</si>
  <si>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</si>
  <si>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</si>
  <si>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</si>
  <si>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</si>
  <si>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</si>
  <si>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</si>
  <si>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</si>
  <si>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</si>
  <si>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</si>
  <si>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</si>
  <si>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</si>
  <si>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</si>
  <si>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</si>
  <si>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</si>
  <si>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</si>
  <si>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</si>
  <si>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</si>
  <si>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</si>
  <si>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</si>
  <si>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</si>
  <si>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</si>
  <si>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</si>
  <si>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</si>
  <si>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</si>
  <si>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</si>
  <si>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</si>
  <si>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</si>
  <si>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</si>
  <si>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</si>
  <si>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</si>
  <si>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</si>
  <si>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</si>
  <si>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</si>
  <si>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</si>
  <si>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</si>
  <si>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</si>
  <si>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</si>
  <si>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</si>
  <si>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</si>
  <si>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</si>
  <si>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</si>
  <si>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</si>
  <si>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</si>
  <si>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</si>
  <si>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</si>
  <si>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</si>
  <si>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</si>
  <si>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</si>
  <si>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</si>
  <si>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</si>
  <si>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</si>
  <si>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</si>
  <si>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</si>
  <si>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</si>
  <si>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</si>
  <si>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</si>
  <si>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</si>
  <si>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</si>
  <si>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</si>
  <si>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</si>
  <si>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</si>
  <si>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</si>
  <si>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</si>
  <si>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</si>
  <si>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</si>
  <si>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</si>
  <si>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</si>
  <si>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</si>
  <si>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</si>
  <si>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</si>
  <si>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</si>
  <si>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</si>
  <si>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</si>
  <si>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</si>
  <si>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</si>
  <si>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</si>
  <si>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</si>
  <si>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</si>
  <si>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</si>
  <si>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</si>
  <si>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</si>
  <si>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</si>
  <si>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</si>
  <si>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</si>
  <si>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</si>
  <si>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</si>
  <si>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</si>
  <si>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</si>
  <si>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</si>
  <si>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</si>
  <si>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</si>
  <si>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</si>
  <si>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</si>
  <si>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</si>
  <si>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</si>
  <si>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</si>
  <si>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</si>
  <si>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</si>
  <si>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</si>
  <si>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</si>
  <si>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</si>
  <si>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</si>
  <si>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</si>
  <si>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</si>
  <si>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</si>
  <si>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</si>
  <si>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</si>
  <si>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</si>
  <si>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</si>
  <si>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</si>
  <si>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</si>
  <si>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</si>
  <si>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</si>
  <si>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</si>
  <si>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</si>
  <si>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</si>
  <si>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</si>
  <si>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</si>
  <si>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</si>
  <si>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</si>
  <si>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</si>
  <si>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</si>
  <si>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</si>
  <si>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</si>
  <si>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</si>
  <si>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</si>
  <si>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</si>
  <si>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</si>
  <si>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</si>
  <si>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</si>
  <si>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</si>
  <si>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</si>
  <si>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</si>
  <si>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</si>
  <si>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</si>
  <si>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</si>
  <si>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</si>
  <si>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</si>
  <si>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</si>
  <si>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</si>
  <si>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</si>
  <si>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</si>
  <si>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</si>
  <si>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</si>
  <si>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</si>
  <si>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</si>
  <si>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</si>
  <si>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</si>
  <si>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</si>
  <si>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</si>
  <si>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</si>
  <si>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</si>
  <si>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</si>
  <si>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</si>
  <si>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</si>
  <si>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</si>
  <si>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</si>
  <si>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</si>
  <si>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</si>
  <si>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</si>
  <si>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</si>
  <si>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</si>
  <si>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</si>
  <si>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</si>
  <si>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</si>
  <si>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</si>
  <si>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</si>
  <si>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</si>
  <si>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</si>
  <si>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</si>
  <si>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</si>
  <si>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</si>
  <si>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</si>
  <si>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</si>
  <si>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</si>
  <si>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</si>
  <si>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</si>
  <si>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</si>
  <si>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</si>
  <si>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</si>
  <si>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</si>
  <si>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</si>
  <si>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</si>
  <si>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</si>
  <si>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</si>
  <si>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</si>
  <si>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</si>
  <si>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</si>
  <si>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</si>
  <si>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</si>
  <si>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</si>
  <si>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</si>
  <si>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</si>
  <si>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</si>
  <si>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</si>
  <si>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</si>
  <si>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</si>
  <si>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</si>
  <si>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</si>
  <si>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</si>
  <si>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</si>
  <si>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</si>
  <si>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</si>
  <si>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</si>
  <si>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</si>
  <si>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</si>
  <si>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</si>
  <si>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</si>
  <si>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</si>
  <si>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</si>
  <si>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</si>
  <si>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</si>
  <si>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</si>
  <si>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</si>
  <si>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</si>
  <si>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</si>
  <si>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</si>
  <si>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</si>
  <si>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</si>
  <si>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</si>
  <si>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</si>
  <si>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</si>
  <si>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</si>
  <si>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</si>
  <si>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</si>
  <si>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</si>
  <si>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</si>
  <si>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</si>
  <si>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</si>
  <si>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</si>
  <si>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</si>
  <si>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</si>
  <si>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</si>
  <si>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</si>
  <si>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</si>
  <si>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</si>
  <si>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</si>
  <si>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</si>
  <si>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</si>
  <si>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</si>
  <si>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</si>
  <si>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</si>
  <si>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</si>
  <si>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</si>
  <si>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</si>
  <si>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</si>
  <si>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</si>
  <si>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</si>
  <si>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</si>
  <si>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</si>
  <si>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</si>
  <si>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</si>
  <si>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</si>
  <si>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</si>
  <si>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</si>
  <si>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</si>
  <si>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</si>
  <si>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</si>
  <si>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</si>
  <si>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</si>
  <si>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</si>
  <si>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</si>
  <si>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</si>
  <si>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</si>
  <si>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</si>
  <si>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</si>
  <si>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</si>
  <si>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</si>
  <si>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</si>
  <si>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</si>
  <si>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</si>
  <si>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</si>
  <si>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</si>
  <si>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</si>
  <si>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</si>
  <si>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</si>
  <si>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</si>
  <si>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</si>
  <si>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</si>
  <si>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</si>
  <si>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</si>
  <si>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</si>
  <si>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</si>
  <si>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</si>
  <si>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</si>
  <si>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churn_status</t>
  </si>
  <si>
    <t>Row Labels</t>
  </si>
  <si>
    <t>FALSE</t>
  </si>
  <si>
    <t>Grand Total</t>
  </si>
  <si>
    <t>churned_flag</t>
  </si>
  <si>
    <t>Column Labels</t>
  </si>
  <si>
    <t>churn percent</t>
  </si>
  <si>
    <t>subscription_id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</si>
  <si>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</si>
  <si>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</si>
  <si>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</si>
  <si>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</si>
  <si>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</si>
  <si>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</si>
  <si>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</si>
  <si>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</si>
  <si>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S-8cec59</t>
  </si>
  <si>
    <t>monthly</t>
  </si>
  <si>
    <t>S-0f6f44</t>
  </si>
  <si>
    <t>S-51c0d1</t>
  </si>
  <si>
    <t>annual</t>
  </si>
  <si>
    <t>S-f81687</t>
  </si>
  <si>
    <t>S-cff5a2</t>
  </si>
  <si>
    <t>S-4b9b13</t>
  </si>
  <si>
    <t>S-dceac6</t>
  </si>
  <si>
    <t>S-8cad7b</t>
  </si>
  <si>
    <t>S-24796e</t>
  </si>
  <si>
    <t>S-d0c344</t>
  </si>
  <si>
    <t>S-477506</t>
  </si>
  <si>
    <t>S-79a9e1</t>
  </si>
  <si>
    <t>S-59dc4b</t>
  </si>
  <si>
    <t>S-7acd8b</t>
  </si>
  <si>
    <t>S-428e9a</t>
  </si>
  <si>
    <t>S-486088</t>
  </si>
  <si>
    <t>S-13939b</t>
  </si>
  <si>
    <t>S-9333c5</t>
  </si>
  <si>
    <t>S-37e3ad</t>
  </si>
  <si>
    <t>S-b17d04</t>
  </si>
  <si>
    <t>S-c27134</t>
  </si>
  <si>
    <t>S-3bd427</t>
  </si>
  <si>
    <t>S-82989b</t>
  </si>
  <si>
    <t>S-082b15</t>
  </si>
  <si>
    <t>S-434140</t>
  </si>
  <si>
    <t>S-c07ede</t>
  </si>
  <si>
    <t>S-287914</t>
  </si>
  <si>
    <t>S-b3bd43</t>
  </si>
  <si>
    <t>S-4c82da</t>
  </si>
  <si>
    <t>S-c75159</t>
  </si>
  <si>
    <t>S-b5643b</t>
  </si>
  <si>
    <t>S-49a9aa</t>
  </si>
  <si>
    <t>S-2877e6</t>
  </si>
  <si>
    <t>S-8c10c1</t>
  </si>
  <si>
    <t>S-d7d398</t>
  </si>
  <si>
    <t>S-ddad91</t>
  </si>
  <si>
    <t>S-6762fa</t>
  </si>
  <si>
    <t>S-bb1cf1</t>
  </si>
  <si>
    <t>S-a805a5</t>
  </si>
  <si>
    <t>S-da0a69</t>
  </si>
  <si>
    <t>S-59c5d7</t>
  </si>
  <si>
    <t>S-d3faae</t>
  </si>
  <si>
    <t>S-73a4e4</t>
  </si>
  <si>
    <t>S-35c8a3</t>
  </si>
  <si>
    <t>S-99fbf7</t>
  </si>
  <si>
    <t>S-e97b9f</t>
  </si>
  <si>
    <t>S-763d33</t>
  </si>
  <si>
    <t>S-323782</t>
  </si>
  <si>
    <t>S-1cff18</t>
  </si>
  <si>
    <t>S-ad39ef</t>
  </si>
  <si>
    <t>S-bf806d</t>
  </si>
  <si>
    <t>S-36f6ec</t>
  </si>
  <si>
    <t>S-aff55c</t>
  </si>
  <si>
    <t>S-b9fc6c</t>
  </si>
  <si>
    <t>S-7f8cd8</t>
  </si>
  <si>
    <t>S-e912e6</t>
  </si>
  <si>
    <t>S-fef85a</t>
  </si>
  <si>
    <t>S-36d5c9</t>
  </si>
  <si>
    <t>S-b9ff15</t>
  </si>
  <si>
    <t>S-10bd09</t>
  </si>
  <si>
    <t>S-12bfc8</t>
  </si>
  <si>
    <t>S-f5c472</t>
  </si>
  <si>
    <t>S-dbc1ca</t>
  </si>
  <si>
    <t>S-dc6dfd</t>
  </si>
  <si>
    <t>S-b2d472</t>
  </si>
  <si>
    <t>S-9dfce0</t>
  </si>
  <si>
    <t>S-9cb6a7</t>
  </si>
  <si>
    <t>S-dabcd2</t>
  </si>
  <si>
    <t>S-8c3cc8</t>
  </si>
  <si>
    <t>S-2923fc</t>
  </si>
  <si>
    <t>S-f0a2e5</t>
  </si>
  <si>
    <t>S-025bea</t>
  </si>
  <si>
    <t>S-0e499f</t>
  </si>
  <si>
    <t>S-0267b7</t>
  </si>
  <si>
    <t>S-b5b9a5</t>
  </si>
  <si>
    <t>S-8e45ba</t>
  </si>
  <si>
    <t>S-37ed34</t>
  </si>
  <si>
    <t>S-65dbf3</t>
  </si>
  <si>
    <t>S-ce5450</t>
  </si>
  <si>
    <t>S-6c969d</t>
  </si>
  <si>
    <t>S-522aef</t>
  </si>
  <si>
    <t>S-82db05</t>
  </si>
  <si>
    <t>S-162596</t>
  </si>
  <si>
    <t>S-f703bd</t>
  </si>
  <si>
    <t>S-a1d6ad</t>
  </si>
  <si>
    <t>S-8b1fc1</t>
  </si>
  <si>
    <t>S-09cdac</t>
  </si>
  <si>
    <t>S-fa5301</t>
  </si>
  <si>
    <t>S-69937b</t>
  </si>
  <si>
    <t>S-f2537d</t>
  </si>
  <si>
    <t>S-27f7b2</t>
  </si>
  <si>
    <t>S-9c2b8e</t>
  </si>
  <si>
    <t>S-a4f26d</t>
  </si>
  <si>
    <t>S-0cb6ed</t>
  </si>
  <si>
    <t>S-367dee</t>
  </si>
  <si>
    <t>S-3b9ad8</t>
  </si>
  <si>
    <t>S-c9f8c1</t>
  </si>
  <si>
    <t>S-57cd05</t>
  </si>
  <si>
    <t>S-e505c1</t>
  </si>
  <si>
    <t>S-121b4d</t>
  </si>
  <si>
    <t>S-72b4f2</t>
  </si>
  <si>
    <t>S-c9b0cc</t>
  </si>
  <si>
    <t>S-27c993</t>
  </si>
  <si>
    <t>S-8b9889</t>
  </si>
  <si>
    <t>S-2214c6</t>
  </si>
  <si>
    <t>S-ce695e</t>
  </si>
  <si>
    <t>S-066d80</t>
  </si>
  <si>
    <t>S-228457</t>
  </si>
  <si>
    <t>S-e50612</t>
  </si>
  <si>
    <t>S-64fba3</t>
  </si>
  <si>
    <t>S-2372d2</t>
  </si>
  <si>
    <t>S-2661dc</t>
  </si>
  <si>
    <t>S-427275</t>
  </si>
  <si>
    <t>S-628729</t>
  </si>
  <si>
    <t>S-e260ff</t>
  </si>
  <si>
    <t>S-89c03a</t>
  </si>
  <si>
    <t>S-86455a</t>
  </si>
  <si>
    <t>S-3660bb</t>
  </si>
  <si>
    <t>S-6bf7d7</t>
  </si>
  <si>
    <t>S-feccd8</t>
  </si>
  <si>
    <t>S-0e4b0c</t>
  </si>
  <si>
    <t>S-0e0578</t>
  </si>
  <si>
    <t>S-74538d</t>
  </si>
  <si>
    <t>S-c2a6cb</t>
  </si>
  <si>
    <t>S-1bd2ec</t>
  </si>
  <si>
    <t>S-3cc352</t>
  </si>
  <si>
    <t>S-124207</t>
  </si>
  <si>
    <t>S-76e7d9</t>
  </si>
  <si>
    <t>S-44f453</t>
  </si>
  <si>
    <t>S-03a97f</t>
  </si>
  <si>
    <t>S-80c01c</t>
  </si>
  <si>
    <t>S-666181</t>
  </si>
  <si>
    <t>S-401496</t>
  </si>
  <si>
    <t>S-ca0c98</t>
  </si>
  <si>
    <t>S-017e33</t>
  </si>
  <si>
    <t>S-183073</t>
  </si>
  <si>
    <t>S-22f503</t>
  </si>
  <si>
    <t>S-7de1b7</t>
  </si>
  <si>
    <t>S-c7f564</t>
  </si>
  <si>
    <t>S-ceffe9</t>
  </si>
  <si>
    <t>S-9b2c95</t>
  </si>
  <si>
    <t>S-cf6ec1</t>
  </si>
  <si>
    <t>S-a44d72</t>
  </si>
  <si>
    <t>S-0b0ffa</t>
  </si>
  <si>
    <t>S-02af5d</t>
  </si>
  <si>
    <t>S-d07c53</t>
  </si>
  <si>
    <t>S-c67b80</t>
  </si>
  <si>
    <t>S-5d68fb</t>
  </si>
  <si>
    <t>S-fc9cc3</t>
  </si>
  <si>
    <t>S-17f71d</t>
  </si>
  <si>
    <t>S-5895f0</t>
  </si>
  <si>
    <t>S-b042d9</t>
  </si>
  <si>
    <t>S-ffd1ee</t>
  </si>
  <si>
    <t>S-9c4bcd</t>
  </si>
  <si>
    <t>S-4f91d0</t>
  </si>
  <si>
    <t>S-672f1b</t>
  </si>
  <si>
    <t>S-101201</t>
  </si>
  <si>
    <t>S-eea643</t>
  </si>
  <si>
    <t>S-5f9a67</t>
  </si>
  <si>
    <t>S-327e7c</t>
  </si>
  <si>
    <t>S-d97c5f</t>
  </si>
  <si>
    <t>S-029c20</t>
  </si>
  <si>
    <t>S-a74462</t>
  </si>
  <si>
    <t>S-02ec76</t>
  </si>
  <si>
    <t>S-d1c9e3</t>
  </si>
  <si>
    <t>S-51d8db</t>
  </si>
  <si>
    <t>S-c3c85e</t>
  </si>
  <si>
    <t>S-44a646</t>
  </si>
  <si>
    <t>S-431c03</t>
  </si>
  <si>
    <t>S-4f0027</t>
  </si>
  <si>
    <t>S-6c9ee1</t>
  </si>
  <si>
    <t>S-396a84</t>
  </si>
  <si>
    <t>S-6bea24</t>
  </si>
  <si>
    <t>S-259804</t>
  </si>
  <si>
    <t>S-33e40e</t>
  </si>
  <si>
    <t>S-fbd522</t>
  </si>
  <si>
    <t>S-bbafad</t>
  </si>
  <si>
    <t>S-3edc14</t>
  </si>
  <si>
    <t>S-11e29d</t>
  </si>
  <si>
    <t>S-1feff8</t>
  </si>
  <si>
    <t>S-61e86c</t>
  </si>
  <si>
    <t>S-af41f0</t>
  </si>
  <si>
    <t>S-65ae02</t>
  </si>
  <si>
    <t>S-f7fccd</t>
  </si>
  <si>
    <t>S-7904d3</t>
  </si>
  <si>
    <t>S-48a54e</t>
  </si>
  <si>
    <t>S-4a08bd</t>
  </si>
  <si>
    <t>S-faa8ec</t>
  </si>
  <si>
    <t>S-8db104</t>
  </si>
  <si>
    <t>S-3c0121</t>
  </si>
  <si>
    <t>S-13ca37</t>
  </si>
  <si>
    <t>S-163e64</t>
  </si>
  <si>
    <t>S-4d1ba6</t>
  </si>
  <si>
    <t>S-e98d6b</t>
  </si>
  <si>
    <t>S-041624</t>
  </si>
  <si>
    <t>S-b78829</t>
  </si>
  <si>
    <t>S-ca1c21</t>
  </si>
  <si>
    <t>S-e1de58</t>
  </si>
  <si>
    <t>S-721fea</t>
  </si>
  <si>
    <t>S-eaac58</t>
  </si>
  <si>
    <t>S-1218fd</t>
  </si>
  <si>
    <t>S-936732</t>
  </si>
  <si>
    <t>S-c2f293</t>
  </si>
  <si>
    <t>S-fe3b71</t>
  </si>
  <si>
    <t>S-f5f5b3</t>
  </si>
  <si>
    <t>S-4afb53</t>
  </si>
  <si>
    <t>S-851bbe</t>
  </si>
  <si>
    <t>S-dab0d5</t>
  </si>
  <si>
    <t>S-9aa190</t>
  </si>
  <si>
    <t>S-f89d8c</t>
  </si>
  <si>
    <t>S-766a62</t>
  </si>
  <si>
    <t>S-10134d</t>
  </si>
  <si>
    <t>S-85de7a</t>
  </si>
  <si>
    <t>S-85796b</t>
  </si>
  <si>
    <t>S-c97464</t>
  </si>
  <si>
    <t>S-6732ff</t>
  </si>
  <si>
    <t>S-aa20eb</t>
  </si>
  <si>
    <t>S-b6aabe</t>
  </si>
  <si>
    <t>S-0ff339</t>
  </si>
  <si>
    <t>S-4d664d</t>
  </si>
  <si>
    <t>S-8deb5f</t>
  </si>
  <si>
    <t>S-e2d4e9</t>
  </si>
  <si>
    <t>S-d8441d</t>
  </si>
  <si>
    <t>S-6d356a</t>
  </si>
  <si>
    <t>S-c005ac</t>
  </si>
  <si>
    <t>S-d0913e</t>
  </si>
  <si>
    <t>S-4bef15</t>
  </si>
  <si>
    <t>S-2573e4</t>
  </si>
  <si>
    <t>S-80c291</t>
  </si>
  <si>
    <t>S-64acb8</t>
  </si>
  <si>
    <t>S-13a948</t>
  </si>
  <si>
    <t>S-081b81</t>
  </si>
  <si>
    <t>S-68c537</t>
  </si>
  <si>
    <t>S-3f82bc</t>
  </si>
  <si>
    <t>S-fe6311</t>
  </si>
  <si>
    <t>S-b3c4b8</t>
  </si>
  <si>
    <t>S-8923b3</t>
  </si>
  <si>
    <t>S-2410c6</t>
  </si>
  <si>
    <t>S-7a06fe</t>
  </si>
  <si>
    <t>S-ceaca8</t>
  </si>
  <si>
    <t>S-02c3e7</t>
  </si>
  <si>
    <t>S-3a1a06</t>
  </si>
  <si>
    <t>S-7f5d03</t>
  </si>
  <si>
    <t>S-c10f0c</t>
  </si>
  <si>
    <t>S-cdd00a</t>
  </si>
  <si>
    <t>S-d57a67</t>
  </si>
  <si>
    <t>S-f75ac4</t>
  </si>
  <si>
    <t>S-76c59f</t>
  </si>
  <si>
    <t>S-0a15fa</t>
  </si>
  <si>
    <t>S-d0f5fb</t>
  </si>
  <si>
    <t>S-ffb6cc</t>
  </si>
  <si>
    <t>S-1b8300</t>
  </si>
  <si>
    <t>S-88de1c</t>
  </si>
  <si>
    <t>S-a88ffd</t>
  </si>
  <si>
    <t>S-f12a54</t>
  </si>
  <si>
    <t>S-f9b284</t>
  </si>
  <si>
    <t>S-61e53d</t>
  </si>
  <si>
    <t>S-4c5456</t>
  </si>
  <si>
    <t>S-b15cde</t>
  </si>
  <si>
    <t>S-9e6a18</t>
  </si>
  <si>
    <t>S-0b2ac3</t>
  </si>
  <si>
    <t>S-cb8a5c</t>
  </si>
  <si>
    <t>S-8b52b5</t>
  </si>
  <si>
    <t>S-79b2bc</t>
  </si>
  <si>
    <t>S-4fd9ba</t>
  </si>
  <si>
    <t>S-163e9d</t>
  </si>
  <si>
    <t>S-8324d4</t>
  </si>
  <si>
    <t>S-22f848</t>
  </si>
  <si>
    <t>S-b32512</t>
  </si>
  <si>
    <t>S-98ac99</t>
  </si>
  <si>
    <t>S-93fab3</t>
  </si>
  <si>
    <t>S-838330</t>
  </si>
  <si>
    <t>S-720d62</t>
  </si>
  <si>
    <t>S-e2500e</t>
  </si>
  <si>
    <t>S-2c091a</t>
  </si>
  <si>
    <t>S-55d53c</t>
  </si>
  <si>
    <t>S-df2fb8</t>
  </si>
  <si>
    <t>S-24ae40</t>
  </si>
  <si>
    <t>S-bdd4c5</t>
  </si>
  <si>
    <t>S-2196c4</t>
  </si>
  <si>
    <t>S-9626f8</t>
  </si>
  <si>
    <t>S-03340d</t>
  </si>
  <si>
    <t>S-ae1882</t>
  </si>
  <si>
    <t>S-1cdd2c</t>
  </si>
  <si>
    <t>S-6b7aa4</t>
  </si>
  <si>
    <t>S-dfe952</t>
  </si>
  <si>
    <t>S-763384</t>
  </si>
  <si>
    <t>S-3e6a40</t>
  </si>
  <si>
    <t>S-5fffe8</t>
  </si>
  <si>
    <t>S-e51242</t>
  </si>
  <si>
    <t>S-ae3270</t>
  </si>
  <si>
    <t>S-808668</t>
  </si>
  <si>
    <t>S-388f70</t>
  </si>
  <si>
    <t>S-b84a07</t>
  </si>
  <si>
    <t>S-a24476</t>
  </si>
  <si>
    <t>S-ff78bf</t>
  </si>
  <si>
    <t>S-695c1e</t>
  </si>
  <si>
    <t>S-f97609</t>
  </si>
  <si>
    <t>S-fee60b</t>
  </si>
  <si>
    <t>S-3cc163</t>
  </si>
  <si>
    <t>S-534c28</t>
  </si>
  <si>
    <t>S-e1d553</t>
  </si>
  <si>
    <t>S-358daa</t>
  </si>
  <si>
    <t>S-ff2761</t>
  </si>
  <si>
    <t>S-b6d200</t>
  </si>
  <si>
    <t>S-518472</t>
  </si>
  <si>
    <t>S-682d28</t>
  </si>
  <si>
    <t>S-0a2238</t>
  </si>
  <si>
    <t>S-6e4c1a</t>
  </si>
  <si>
    <t>S-7564e1</t>
  </si>
  <si>
    <t>S-41023c</t>
  </si>
  <si>
    <t>S-6e0006</t>
  </si>
  <si>
    <t>S-7e1791</t>
  </si>
  <si>
    <t>S-1109d6</t>
  </si>
  <si>
    <t>S-b35203</t>
  </si>
  <si>
    <t>S-ef4ad8</t>
  </si>
  <si>
    <t>S-2dad6b</t>
  </si>
  <si>
    <t>S-4c100f</t>
  </si>
  <si>
    <t>S-17cfc4</t>
  </si>
  <si>
    <t>S-c317f9</t>
  </si>
  <si>
    <t>S-3311b1</t>
  </si>
  <si>
    <t>S-26e8f0</t>
  </si>
  <si>
    <t>S-807d87</t>
  </si>
  <si>
    <t>S-c4aa5f</t>
  </si>
  <si>
    <t>S-86c28f</t>
  </si>
  <si>
    <t>S-d635a2</t>
  </si>
  <si>
    <t>S-463525</t>
  </si>
  <si>
    <t>S-b2238e</t>
  </si>
  <si>
    <t>S-d01053</t>
  </si>
  <si>
    <t>S-b9bbfd</t>
  </si>
  <si>
    <t>S-790762</t>
  </si>
  <si>
    <t>S-321498</t>
  </si>
  <si>
    <t>S-8cf2ef</t>
  </si>
  <si>
    <t>S-48aa95</t>
  </si>
  <si>
    <t>S-42218c</t>
  </si>
  <si>
    <t>S-e6e96f</t>
  </si>
  <si>
    <t>S-627cfa</t>
  </si>
  <si>
    <t>S-47a04b</t>
  </si>
  <si>
    <t>S-2a6eb3</t>
  </si>
  <si>
    <t>S-c5f3d4</t>
  </si>
  <si>
    <t>S-c3bf1d</t>
  </si>
  <si>
    <t>S-a82441</t>
  </si>
  <si>
    <t>S-ccdf41</t>
  </si>
  <si>
    <t>S-3503cb</t>
  </si>
  <si>
    <t>S-ed32c7</t>
  </si>
  <si>
    <t>S-64bd69</t>
  </si>
  <si>
    <t>S-abd244</t>
  </si>
  <si>
    <t>S-1e83a6</t>
  </si>
  <si>
    <t>S-e86a94</t>
  </si>
  <si>
    <t>S-2480b0</t>
  </si>
  <si>
    <t>S-095083</t>
  </si>
  <si>
    <t>S-07abdd</t>
  </si>
  <si>
    <t>S-c29f3a</t>
  </si>
  <si>
    <t>S-b4ac47</t>
  </si>
  <si>
    <t>S-2e017b</t>
  </si>
  <si>
    <t>S-c64e87</t>
  </si>
  <si>
    <t>S-c24467</t>
  </si>
  <si>
    <t>S-f7b0e0</t>
  </si>
  <si>
    <t>S-edeacd</t>
  </si>
  <si>
    <t>S-3d6b69</t>
  </si>
  <si>
    <t>S-63e282</t>
  </si>
  <si>
    <t>S-ef2a21</t>
  </si>
  <si>
    <t>S-e052d8</t>
  </si>
  <si>
    <t>S-2d51ca</t>
  </si>
  <si>
    <t>S-0921a1</t>
  </si>
  <si>
    <t>S-62c98f</t>
  </si>
  <si>
    <t>S-1cff77</t>
  </si>
  <si>
    <t>S-3a28a1</t>
  </si>
  <si>
    <t>S-42aaf0</t>
  </si>
  <si>
    <t>S-d02277</t>
  </si>
  <si>
    <t>S-72b92f</t>
  </si>
  <si>
    <t>S-15609d</t>
  </si>
  <si>
    <t>S-6d12c1</t>
  </si>
  <si>
    <t>S-1bf267</t>
  </si>
  <si>
    <t>S-2d4edf</t>
  </si>
  <si>
    <t>S-050a91</t>
  </si>
  <si>
    <t>S-e41457</t>
  </si>
  <si>
    <t>S-9f2386</t>
  </si>
  <si>
    <t>S-e23fd8</t>
  </si>
  <si>
    <t>S-c1056f</t>
  </si>
  <si>
    <t>S-c4c9ce</t>
  </si>
  <si>
    <t>S-dc90ef</t>
  </si>
  <si>
    <t>S-fc1114</t>
  </si>
  <si>
    <t>S-b95110</t>
  </si>
  <si>
    <t>S-e2e052</t>
  </si>
  <si>
    <t>S-0de78a</t>
  </si>
  <si>
    <t>S-8a37c8</t>
  </si>
  <si>
    <t>S-8d6cec</t>
  </si>
  <si>
    <t>S-65dd83</t>
  </si>
  <si>
    <t>S-fa7c1a</t>
  </si>
  <si>
    <t>S-cc964d</t>
  </si>
  <si>
    <t>S-e72beb</t>
  </si>
  <si>
    <t>S-80199e</t>
  </si>
  <si>
    <t>S-b6f87e</t>
  </si>
  <si>
    <t>S-6129d4</t>
  </si>
  <si>
    <t>S-7b647e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</si>
  <si>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</si>
  <si>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</si>
  <si>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</si>
  <si>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</si>
  <si>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</si>
  <si>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</si>
  <si>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</si>
  <si>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</si>
  <si>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</si>
  <si>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S-049328</t>
  </si>
  <si>
    <t>S-d9ad28</t>
  </si>
  <si>
    <t>S-eec041</t>
  </si>
  <si>
    <t>S-a554da</t>
  </si>
  <si>
    <t>S-2ccc04</t>
  </si>
  <si>
    <t>S-984f8b</t>
  </si>
  <si>
    <t>S-d3613b</t>
  </si>
  <si>
    <t>S-e27a20</t>
  </si>
  <si>
    <t>S-41871d</t>
  </si>
  <si>
    <t>S-9686c6</t>
  </si>
  <si>
    <t>S-9b1f0e</t>
  </si>
  <si>
    <t>S-3445f5</t>
  </si>
  <si>
    <t>S-f6e14c</t>
  </si>
  <si>
    <t>S-94cfff</t>
  </si>
  <si>
    <t>S-ceb9bd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</si>
  <si>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</si>
  <si>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</si>
  <si>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</si>
  <si>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</si>
  <si>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</si>
  <si>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</si>
  <si>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</si>
  <si>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</si>
  <si>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S-62a710</t>
  </si>
  <si>
    <t>S-85eb8f</t>
  </si>
  <si>
    <t>S-e6f639</t>
  </si>
  <si>
    <t>S-85ba19</t>
  </si>
  <si>
    <t>S-a14f63</t>
  </si>
  <si>
    <t>S-f80ef5</t>
  </si>
  <si>
    <t>S-ed4e09</t>
  </si>
  <si>
    <t>S-f49e0b</t>
  </si>
  <si>
    <t>S-22be2c</t>
  </si>
  <si>
    <t>S-6587d8</t>
  </si>
  <si>
    <t>S-44fba6</t>
  </si>
  <si>
    <t>S-f14c84</t>
  </si>
  <si>
    <t>S-f243c1</t>
  </si>
  <si>
    <t>S-ca454e</t>
  </si>
  <si>
    <t>S-3e8283</t>
  </si>
  <si>
    <t>S-70ae65</t>
  </si>
  <si>
    <t>S-f615d2</t>
  </si>
  <si>
    <t>S-a8f236</t>
  </si>
  <si>
    <t>S-684751</t>
  </si>
  <si>
    <t>S-4d9635</t>
  </si>
  <si>
    <t>S-43c489</t>
  </si>
  <si>
    <t>S-a346d6</t>
  </si>
  <si>
    <t>S-47ce2d</t>
  </si>
  <si>
    <t>S-b4212b</t>
  </si>
  <si>
    <t>S-006908</t>
  </si>
  <si>
    <t>S-60b7c7</t>
  </si>
  <si>
    <t>S-3e54f5</t>
  </si>
  <si>
    <t>S-e32789</t>
  </si>
  <si>
    <t>S-6f398a</t>
  </si>
  <si>
    <t>S-ccc0fe</t>
  </si>
  <si>
    <t>S-1dd0ad</t>
  </si>
  <si>
    <t>S-52385a</t>
  </si>
  <si>
    <t>S-26a630</t>
  </si>
  <si>
    <t>S-904784</t>
  </si>
  <si>
    <t>S-80a6a6</t>
  </si>
  <si>
    <t>S-d2d423</t>
  </si>
  <si>
    <t>S-bdac36</t>
  </si>
  <si>
    <t>S-a68f4f</t>
  </si>
  <si>
    <t>S-eb84b1</t>
  </si>
  <si>
    <t>S-c9b181</t>
  </si>
  <si>
    <t>S-2e55e6</t>
  </si>
  <si>
    <t>S-863c87</t>
  </si>
  <si>
    <t>S-7564c5</t>
  </si>
  <si>
    <t>S-8a9db8</t>
  </si>
  <si>
    <t>S-200752</t>
  </si>
  <si>
    <t>S-74e211</t>
  </si>
  <si>
    <t>S-2aadef</t>
  </si>
  <si>
    <t>S-fdc415</t>
  </si>
  <si>
    <t>S-c03f87</t>
  </si>
  <si>
    <t>S-a245f6</t>
  </si>
  <si>
    <t>S-a1cc61</t>
  </si>
  <si>
    <t>S-9b96c2</t>
  </si>
  <si>
    <t>S-2e79e8</t>
  </si>
  <si>
    <t>S-f965de</t>
  </si>
  <si>
    <t>S-abff7d</t>
  </si>
  <si>
    <t>S-791c64</t>
  </si>
  <si>
    <t>S-7b7be8</t>
  </si>
  <si>
    <t>S-6055d4</t>
  </si>
  <si>
    <t>S-938e4e</t>
  </si>
  <si>
    <t>S-1f3254</t>
  </si>
  <si>
    <t>S-2c4909</t>
  </si>
  <si>
    <t>S-e143c9</t>
  </si>
  <si>
    <t>S-c3213f</t>
  </si>
  <si>
    <t>S-102053</t>
  </si>
  <si>
    <t>S-43c2e3</t>
  </si>
  <si>
    <t>S-a2b83d</t>
  </si>
  <si>
    <t>S-b6793d</t>
  </si>
  <si>
    <t>S-a3a1c1</t>
  </si>
  <si>
    <t>S-260e48</t>
  </si>
  <si>
    <t>S-e98296</t>
  </si>
  <si>
    <t>S-7d55dc</t>
  </si>
  <si>
    <t>S-d26ff6</t>
  </si>
  <si>
    <t>S-ba8c46</t>
  </si>
  <si>
    <t>S-992c2a</t>
  </si>
  <si>
    <t>S-19f899</t>
  </si>
  <si>
    <t>S-b95751</t>
  </si>
  <si>
    <t>S-d74a31</t>
  </si>
  <si>
    <t>S-676254</t>
  </si>
  <si>
    <t>S-3ad7c4</t>
  </si>
  <si>
    <t>S-96fb48</t>
  </si>
  <si>
    <t>S-afea79</t>
  </si>
  <si>
    <t>S-c8a983</t>
  </si>
  <si>
    <t>S-e3c3c8</t>
  </si>
  <si>
    <t>S-020222</t>
  </si>
  <si>
    <t>S-65c079</t>
  </si>
  <si>
    <t>S-056af2</t>
  </si>
  <si>
    <t>S-09761d</t>
  </si>
  <si>
    <t>S-a7d379</t>
  </si>
  <si>
    <t>S-a903ad</t>
  </si>
  <si>
    <t>S-de3416</t>
  </si>
  <si>
    <t>S-9161b0</t>
  </si>
  <si>
    <t>S-f3274c</t>
  </si>
  <si>
    <t>S-2991c7</t>
  </si>
  <si>
    <t>S-239a39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</si>
  <si>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</si>
  <si>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</si>
  <si>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</si>
  <si>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</si>
  <si>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</si>
  <si>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</si>
  <si>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</si>
  <si>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</si>
  <si>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</si>
  <si>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S-6c6e62</t>
  </si>
  <si>
    <t>S-add03a</t>
  </si>
  <si>
    <t>S-648e54</t>
  </si>
  <si>
    <t>S-01bbfe</t>
  </si>
  <si>
    <t>S-6c9dc9</t>
  </si>
  <si>
    <t>S-826424</t>
  </si>
  <si>
    <t>S-e64c2b</t>
  </si>
  <si>
    <t>S-c693b6</t>
  </si>
  <si>
    <t>S-096065</t>
  </si>
  <si>
    <t>S-d449e1</t>
  </si>
  <si>
    <t>S-592c0d</t>
  </si>
  <si>
    <t>S-ab24c6</t>
  </si>
  <si>
    <t>S-e32b34</t>
  </si>
  <si>
    <t>S-191550</t>
  </si>
  <si>
    <t>S-c65c8b</t>
  </si>
  <si>
    <t>S-39e88c</t>
  </si>
  <si>
    <t>S-9a08ff</t>
  </si>
  <si>
    <t>S-95d15a</t>
  </si>
  <si>
    <t>S-7c5f3b</t>
  </si>
  <si>
    <t>S-70af60</t>
  </si>
  <si>
    <t>S-175429</t>
  </si>
  <si>
    <t>S-d36b9f</t>
  </si>
  <si>
    <t>S-65071f</t>
  </si>
  <si>
    <t>S-ab63e3</t>
  </si>
  <si>
    <t>S-260d1e</t>
  </si>
  <si>
    <t>S-bdc6b7</t>
  </si>
  <si>
    <t>S-1c3522</t>
  </si>
  <si>
    <t>S-891ad9</t>
  </si>
  <si>
    <t>S-2c1ca6</t>
  </si>
  <si>
    <t>S-11066a</t>
  </si>
  <si>
    <t>S-f4db1d</t>
  </si>
  <si>
    <t>S-45baa6</t>
  </si>
  <si>
    <t>S-f74ac6</t>
  </si>
  <si>
    <t>S-bc1457</t>
  </si>
  <si>
    <t>S-b8daaa</t>
  </si>
  <si>
    <t>S-49aa80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</si>
  <si>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</si>
  <si>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</si>
  <si>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</si>
  <si>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</si>
  <si>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</si>
  <si>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</si>
  <si>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</si>
  <si>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</si>
  <si>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</si>
  <si>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S-872bdd</t>
  </si>
  <si>
    <t>S-bf9b37</t>
  </si>
  <si>
    <t>S-51924b</t>
  </si>
  <si>
    <t>S-b03125</t>
  </si>
  <si>
    <t>S-02ab8b</t>
  </si>
  <si>
    <t>S-de5d6e</t>
  </si>
  <si>
    <t>S-e1fa5b</t>
  </si>
  <si>
    <t>S-b41494</t>
  </si>
  <si>
    <t>S-d7ccbd</t>
  </si>
  <si>
    <t>S-34f2f9</t>
  </si>
  <si>
    <t>S-54d2a3</t>
  </si>
  <si>
    <t>S-d1350e</t>
  </si>
  <si>
    <t>S-e76e80</t>
  </si>
  <si>
    <t>S-f4097a</t>
  </si>
  <si>
    <t>S-d4f02f</t>
  </si>
  <si>
    <t>S-bf3403</t>
  </si>
  <si>
    <t>S-0a83cc</t>
  </si>
  <si>
    <t>S-1a9fb7</t>
  </si>
  <si>
    <t>S-1a3627</t>
  </si>
  <si>
    <t>S-93f835</t>
  </si>
  <si>
    <t>S-75e469</t>
  </si>
  <si>
    <t>S-409291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</si>
  <si>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</si>
  <si>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</si>
  <si>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</si>
  <si>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</si>
  <si>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</si>
  <si>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</si>
  <si>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</si>
  <si>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</si>
  <si>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S-9d36ff</t>
  </si>
  <si>
    <t>S-583ae2</t>
  </si>
  <si>
    <t>S-e162d0</t>
  </si>
  <si>
    <t>S-96383d</t>
  </si>
  <si>
    <t>S-f0ad87</t>
  </si>
  <si>
    <t>S-d619ad</t>
  </si>
  <si>
    <t>S-d65491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</si>
  <si>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</si>
  <si>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</si>
  <si>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</si>
  <si>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</si>
  <si>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</si>
  <si>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</si>
  <si>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</si>
  <si>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</si>
  <si>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S-6e0562</t>
  </si>
  <si>
    <t>S-11d378</t>
  </si>
  <si>
    <t>S-a69559</t>
  </si>
  <si>
    <t>S-984423</t>
  </si>
  <si>
    <t>S-49e3e5</t>
  </si>
  <si>
    <t>S-0b6e58</t>
  </si>
  <si>
    <t>S-16ef7a</t>
  </si>
  <si>
    <t>S-3fb291</t>
  </si>
  <si>
    <t>S-f6cd70</t>
  </si>
  <si>
    <t>S-e7d026</t>
  </si>
  <si>
    <t>S-c2fd82</t>
  </si>
  <si>
    <t>S-38131a</t>
  </si>
  <si>
    <t>S-aa3a36</t>
  </si>
  <si>
    <t>S-46eb1c</t>
  </si>
  <si>
    <t>S-6ed77d</t>
  </si>
  <si>
    <t>S-f72b84</t>
  </si>
  <si>
    <t>S-0f0d3a</t>
  </si>
  <si>
    <t>S-05b080</t>
  </si>
  <si>
    <t>S-bae2c4</t>
  </si>
  <si>
    <t>S-8ca9f0</t>
  </si>
  <si>
    <t>S-33eb1d</t>
  </si>
  <si>
    <t>S-45baac</t>
  </si>
  <si>
    <t>S-e9dc6e</t>
  </si>
  <si>
    <t>S-871e83</t>
  </si>
  <si>
    <t>S-88a47f</t>
  </si>
  <si>
    <t>S-9714fa</t>
  </si>
  <si>
    <t>S-c77c84</t>
  </si>
  <si>
    <t>S-86d360</t>
  </si>
  <si>
    <t>S-c15fcc</t>
  </si>
  <si>
    <t>S-b0ed51</t>
  </si>
  <si>
    <t>S-2e7756</t>
  </si>
  <si>
    <t>S-2fe253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</si>
  <si>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</si>
  <si>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</si>
  <si>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</si>
  <si>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</si>
  <si>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</si>
  <si>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</si>
  <si>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</si>
  <si>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</si>
  <si>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</si>
  <si>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</si>
  <si>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S-21eeea</t>
  </si>
  <si>
    <t>S-7b9b62</t>
  </si>
  <si>
    <t>S-799da2</t>
  </si>
  <si>
    <t>S-e82bdc</t>
  </si>
  <si>
    <t>S-879b43</t>
  </si>
  <si>
    <t>S-6fd24b</t>
  </si>
  <si>
    <t>S-d2e00a</t>
  </si>
  <si>
    <t>S-a916cb</t>
  </si>
  <si>
    <t>S-3fe1c3</t>
  </si>
  <si>
    <t>S-dccf50</t>
  </si>
  <si>
    <t>S-023f3c</t>
  </si>
  <si>
    <t>S-c35f78</t>
  </si>
  <si>
    <t>S-eb15a1</t>
  </si>
  <si>
    <t>S-079321</t>
  </si>
  <si>
    <t>S-c25263</t>
  </si>
  <si>
    <t>S-a86344</t>
  </si>
  <si>
    <t>S-4cdee1</t>
  </si>
  <si>
    <t>S-381c99</t>
  </si>
  <si>
    <t>S-8e719f</t>
  </si>
  <si>
    <t>S-d111f5</t>
  </si>
  <si>
    <t>S-82484b</t>
  </si>
  <si>
    <t>S-891eb4</t>
  </si>
  <si>
    <t>S-4e3e04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</si>
  <si>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</si>
  <si>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</si>
  <si>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</si>
  <si>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</si>
  <si>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</si>
  <si>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</si>
  <si>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</si>
  <si>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</si>
  <si>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</si>
  <si>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</si>
  <si>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</si>
  <si>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</si>
  <si>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</si>
  <si>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</si>
  <si>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</si>
  <si>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</si>
  <si>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</si>
  <si>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</si>
  <si>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</si>
  <si>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</si>
  <si>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S-37b59a</t>
  </si>
  <si>
    <t>S-f36371</t>
  </si>
  <si>
    <t>S-329a60</t>
  </si>
  <si>
    <t>S-5ca11a</t>
  </si>
  <si>
    <t>S-c8fa77</t>
  </si>
  <si>
    <t>S-016b5f</t>
  </si>
  <si>
    <t>S-cf2b4a</t>
  </si>
  <si>
    <t>S-6f1051</t>
  </si>
  <si>
    <t>S-33db08</t>
  </si>
  <si>
    <t>S-4daf2d</t>
  </si>
  <si>
    <t>S-4ed997</t>
  </si>
  <si>
    <t>S-8ae507</t>
  </si>
  <si>
    <t>S-3eb206</t>
  </si>
  <si>
    <t>S-6643a2</t>
  </si>
  <si>
    <t>S-41ca59</t>
  </si>
  <si>
    <t>S-720c17</t>
  </si>
  <si>
    <t>S-afc545</t>
  </si>
  <si>
    <t>S-5e6fc2</t>
  </si>
  <si>
    <t>S-9dcef8</t>
  </si>
  <si>
    <t>S-389426</t>
  </si>
  <si>
    <t>S-1131ff</t>
  </si>
  <si>
    <t>S-c9da7a</t>
  </si>
  <si>
    <t>S-eabe72</t>
  </si>
  <si>
    <t>S-fffeb8</t>
  </si>
  <si>
    <t>S-92dede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</si>
  <si>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</si>
  <si>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</si>
  <si>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</si>
  <si>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</si>
  <si>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</si>
  <si>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</si>
  <si>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</si>
  <si>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</si>
  <si>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S-ee5448</t>
  </si>
  <si>
    <t>S-d32441</t>
  </si>
  <si>
    <t>S-7f5316</t>
  </si>
  <si>
    <t>S-bdf8bf</t>
  </si>
  <si>
    <t>S-795878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</si>
  <si>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</si>
  <si>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</si>
  <si>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</si>
  <si>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</si>
  <si>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</si>
  <si>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</si>
  <si>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</si>
  <si>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</si>
  <si>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</si>
  <si>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</si>
  <si>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</si>
  <si>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</si>
  <si>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</si>
  <si>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</si>
  <si>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</si>
  <si>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</si>
  <si>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S-3b3fac</t>
  </si>
  <si>
    <t>S-561850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</si>
  <si>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</si>
  <si>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</si>
  <si>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</si>
  <si>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</si>
  <si>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</si>
  <si>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</si>
  <si>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</si>
  <si>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</si>
  <si>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</si>
  <si>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</si>
  <si>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</si>
  <si>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</si>
  <si>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</si>
  <si>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</si>
  <si>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</si>
  <si>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</si>
  <si>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</si>
  <si>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</si>
  <si>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</si>
  <si>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</si>
  <si>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</si>
  <si>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</si>
  <si>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</si>
  <si>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</si>
  <si>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</si>
  <si>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</si>
  <si>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</si>
  <si>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</si>
  <si>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S-c0e639</t>
  </si>
  <si>
    <t>S-63606e</t>
  </si>
  <si>
    <t>S-038c7d</t>
  </si>
  <si>
    <t>S-0c03b0</t>
  </si>
  <si>
    <t>S-18f829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</si>
  <si>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</si>
  <si>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</si>
  <si>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</si>
  <si>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</si>
  <si>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</si>
  <si>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</si>
  <si>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</si>
  <si>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</si>
  <si>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</si>
  <si>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</si>
  <si>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</si>
  <si>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</si>
  <si>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</si>
  <si>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</si>
  <si>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</si>
  <si>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</si>
  <si>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</si>
  <si>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S-78ba09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</si>
  <si>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</si>
  <si>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</si>
  <si>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</si>
  <si>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</si>
  <si>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</si>
  <si>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</si>
  <si>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</si>
  <si>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</si>
  <si>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</si>
  <si>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</si>
  <si>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</si>
  <si>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</si>
  <si>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</si>
  <si>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</si>
  <si>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</si>
  <si>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</si>
  <si>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</si>
  <si>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</si>
  <si>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</si>
  <si>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</si>
  <si>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</si>
  <si>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</si>
  <si>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S-9220c9</t>
  </si>
  <si>
    <t>S-d97185</t>
  </si>
  <si>
    <t>S-0e3b42</t>
  </si>
  <si>
    <t>S-1ad0ca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</si>
  <si>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</si>
  <si>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</si>
  <si>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</si>
  <si>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</si>
  <si>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</si>
  <si>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</si>
  <si>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</si>
  <si>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</si>
  <si>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</si>
  <si>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S-5eb846</t>
  </si>
  <si>
    <t>S-472fda</t>
  </si>
  <si>
    <t>S-afc4cb</t>
  </si>
  <si>
    <t>S-a69aed</t>
  </si>
  <si>
    <t>S-41f762</t>
  </si>
  <si>
    <t>S-853f5d</t>
  </si>
  <si>
    <t>S-35a22f</t>
  </si>
  <si>
    <t>S-fd04d6</t>
  </si>
  <si>
    <t>S-5ed35a</t>
  </si>
  <si>
    <t>S-2ddf94</t>
  </si>
  <si>
    <t>S-02be35</t>
  </si>
  <si>
    <t>S-6e0edc</t>
  </si>
  <si>
    <t>S-01990c</t>
  </si>
  <si>
    <t>S-28eb12</t>
  </si>
  <si>
    <t>S-5e06b2</t>
  </si>
  <si>
    <t>S-a01aad</t>
  </si>
  <si>
    <t>S-e42331</t>
  </si>
  <si>
    <t>S-36ee88</t>
  </si>
  <si>
    <t>S-b147b9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</si>
  <si>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</si>
  <si>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</si>
  <si>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</si>
  <si>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</si>
  <si>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</si>
  <si>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</si>
  <si>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</si>
  <si>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</si>
  <si>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</si>
  <si>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</si>
  <si>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</si>
  <si>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</si>
  <si>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</si>
  <si>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</si>
  <si>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</si>
  <si>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</si>
  <si>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</si>
  <si>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</si>
  <si>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</si>
  <si>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</si>
  <si>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</si>
  <si>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S-460deb</t>
  </si>
  <si>
    <t>S-62af97</t>
  </si>
  <si>
    <t>S-7b01d4</t>
  </si>
  <si>
    <t>S-59f6b6</t>
  </si>
  <si>
    <t>S-8013f6</t>
  </si>
  <si>
    <t>S-dcd084</t>
  </si>
  <si>
    <t>S-8e6903</t>
  </si>
  <si>
    <t>S-a96f6c</t>
  </si>
  <si>
    <t>S-7730b1</t>
  </si>
  <si>
    <t>S-62f048</t>
  </si>
  <si>
    <t>S-4f56f5</t>
  </si>
  <si>
    <t>S-851743</t>
  </si>
  <si>
    <t>S-8bfab5</t>
  </si>
  <si>
    <t>S-f5d8ce</t>
  </si>
  <si>
    <t>S-58a152</t>
  </si>
  <si>
    <t>S-ec41f7</t>
  </si>
  <si>
    <t>S-8a4156</t>
  </si>
  <si>
    <t>S-b0af8f</t>
  </si>
  <si>
    <t>S-6cafdf</t>
  </si>
  <si>
    <t>S-708924</t>
  </si>
  <si>
    <t>S-fced99</t>
  </si>
  <si>
    <t>S-8c61f4</t>
  </si>
  <si>
    <t>S-2daa17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</si>
  <si>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</si>
  <si>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</si>
  <si>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</si>
  <si>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</si>
  <si>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</si>
  <si>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</si>
  <si>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</si>
  <si>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</si>
  <si>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</si>
  <si>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</si>
  <si>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</si>
  <si>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S-80c296</t>
  </si>
  <si>
    <t>S-275d57</t>
  </si>
  <si>
    <t>S-6ca46a</t>
  </si>
  <si>
    <t>S-98845b</t>
  </si>
  <si>
    <t>S-fb285f</t>
  </si>
  <si>
    <t>S-da9f05</t>
  </si>
  <si>
    <t>S-9f38a5</t>
  </si>
  <si>
    <t>S-dc7143</t>
  </si>
  <si>
    <t>S-68ecd5</t>
  </si>
  <si>
    <t>S-601bbe</t>
  </si>
  <si>
    <t>S-a34e37</t>
  </si>
  <si>
    <t>S-0a70a3</t>
  </si>
  <si>
    <t>S-de543d</t>
  </si>
  <si>
    <t>S-084e4f</t>
  </si>
  <si>
    <t>S-febd10</t>
  </si>
  <si>
    <t>S-25a969</t>
  </si>
  <si>
    <t>S-5d299e</t>
  </si>
  <si>
    <t>S-5a1fc3</t>
  </si>
  <si>
    <t>S-af854c</t>
  </si>
  <si>
    <t>S-70b1cf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</si>
  <si>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</si>
  <si>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</si>
  <si>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</si>
  <si>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</si>
  <si>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</si>
  <si>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</si>
  <si>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</si>
  <si>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</si>
  <si>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</si>
  <si>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</si>
  <si>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S-bff8c5</t>
  </si>
  <si>
    <t>S-3401bf</t>
  </si>
  <si>
    <t>S-a583df</t>
  </si>
  <si>
    <t>S-f80617</t>
  </si>
  <si>
    <t>S-e7e013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</si>
  <si>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</si>
  <si>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</si>
  <si>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</si>
  <si>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</si>
  <si>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</si>
  <si>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</si>
  <si>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</si>
  <si>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</si>
  <si>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</si>
  <si>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</si>
  <si>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</si>
  <si>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</si>
  <si>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</si>
  <si>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</si>
  <si>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</si>
  <si>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</si>
  <si>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</si>
  <si>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</si>
  <si>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</si>
  <si>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</si>
  <si>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</si>
  <si>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</si>
  <si>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</si>
  <si>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</si>
  <si>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</si>
  <si>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</si>
  <si>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</si>
  <si>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</si>
  <si>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S-be601b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</si>
  <si>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</si>
  <si>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</si>
  <si>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</si>
  <si>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</si>
  <si>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</si>
  <si>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</si>
  <si>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</si>
  <si>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</si>
  <si>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</si>
  <si>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</si>
  <si>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</si>
  <si>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</si>
  <si>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</si>
  <si>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</si>
  <si>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</si>
  <si>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</si>
  <si>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</si>
  <si>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S-779baa</t>
  </si>
  <si>
    <t>S-20952f</t>
  </si>
  <si>
    <t>S-d2fae0</t>
  </si>
  <si>
    <t>S-0206eb</t>
  </si>
  <si>
    <t>S-3bd95c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</si>
  <si>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</si>
  <si>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</si>
  <si>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</si>
  <si>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</si>
  <si>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</si>
  <si>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</si>
  <si>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</si>
  <si>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</si>
  <si>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</si>
  <si>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</si>
  <si>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</si>
  <si>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</si>
  <si>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</si>
  <si>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</si>
  <si>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</si>
  <si>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</si>
  <si>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</si>
  <si>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</si>
  <si>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S-384681</t>
  </si>
  <si>
    <t>S-875cf3</t>
  </si>
  <si>
    <t>S-335e1e</t>
  </si>
  <si>
    <t>S-da8d5f</t>
  </si>
  <si>
    <t>S-8cd315</t>
  </si>
  <si>
    <t>S-0bb284</t>
  </si>
  <si>
    <t>S-0283b5</t>
  </si>
  <si>
    <t>S-9a8f71</t>
  </si>
  <si>
    <t>S-44c9ae</t>
  </si>
  <si>
    <t>S-c98905</t>
  </si>
  <si>
    <t>S-bcbe03</t>
  </si>
  <si>
    <t>S-9871f4</t>
  </si>
  <si>
    <t>S-635c1e</t>
  </si>
  <si>
    <t>S-d32fbc</t>
  </si>
  <si>
    <t>S-17e05f</t>
  </si>
  <si>
    <t>S-9c6bd0</t>
  </si>
  <si>
    <t>S-90d405</t>
  </si>
  <si>
    <t>S-d80516</t>
  </si>
  <si>
    <t>S-425607</t>
  </si>
  <si>
    <t>S-0eb2e0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</si>
  <si>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</si>
  <si>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</si>
  <si>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</si>
  <si>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</si>
  <si>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</si>
  <si>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</si>
  <si>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</si>
  <si>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</si>
  <si>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</si>
  <si>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</si>
  <si>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</si>
  <si>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</si>
  <si>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</si>
  <si>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</si>
  <si>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S-2f8dbb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</si>
  <si>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</si>
  <si>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</si>
  <si>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</si>
  <si>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</si>
  <si>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</si>
  <si>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</si>
  <si>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</si>
  <si>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</si>
  <si>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</si>
  <si>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</si>
  <si>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</si>
  <si>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</si>
  <si>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S-2d62ad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</si>
  <si>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</si>
  <si>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</si>
  <si>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</si>
  <si>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</si>
  <si>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</si>
  <si>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</si>
  <si>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</si>
  <si>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</si>
  <si>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</si>
  <si>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</si>
  <si>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</si>
  <si>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</si>
  <si>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</si>
  <si>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</si>
  <si>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</si>
  <si>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</si>
  <si>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</si>
  <si>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</si>
  <si>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S-4f2ca8</t>
  </si>
  <si>
    <t>S-c97604</t>
  </si>
  <si>
    <t>S-595693</t>
  </si>
  <si>
    <t>S-276d44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</si>
  <si>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</si>
  <si>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</si>
  <si>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</si>
  <si>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</si>
  <si>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</si>
  <si>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</si>
  <si>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</si>
  <si>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</si>
  <si>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</si>
  <si>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</si>
  <si>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S-4df6ec</t>
  </si>
  <si>
    <t>S-8dfd77</t>
  </si>
  <si>
    <t>S-126e7e</t>
  </si>
  <si>
    <t>S-b608f5</t>
  </si>
  <si>
    <t>S-1c45b4</t>
  </si>
  <si>
    <t>S-4a8fda</t>
  </si>
  <si>
    <t>S-ccc10f</t>
  </si>
  <si>
    <t>S-689032</t>
  </si>
  <si>
    <t>S-5e5ff0</t>
  </si>
  <si>
    <t>S-bf43b4</t>
  </si>
  <si>
    <t>S-379d32</t>
  </si>
  <si>
    <t>S-0adca9</t>
  </si>
  <si>
    <t>S-413a1d</t>
  </si>
  <si>
    <t>S-8451e7</t>
  </si>
  <si>
    <t>S-9c0df6</t>
  </si>
  <si>
    <t>S-be0fc9</t>
  </si>
  <si>
    <t>S-e3903e</t>
  </si>
  <si>
    <t>S-8fcce1</t>
  </si>
  <si>
    <t>S-3279f1</t>
  </si>
  <si>
    <t>S-0da40c</t>
  </si>
  <si>
    <t>S-343bab</t>
  </si>
  <si>
    <t>S-b2d7c6</t>
  </si>
  <si>
    <t>S-d322a2</t>
  </si>
  <si>
    <t>S-b76de2</t>
  </si>
  <si>
    <t>S-64dcb7</t>
  </si>
  <si>
    <t>S-969f4c</t>
  </si>
  <si>
    <t>S-b2409c</t>
  </si>
  <si>
    <t>S-430691</t>
  </si>
  <si>
    <t>S-4bb483</t>
  </si>
  <si>
    <t>S-4ed473</t>
  </si>
  <si>
    <t>S-223221</t>
  </si>
  <si>
    <t>S-5eaab8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</si>
  <si>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</si>
  <si>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</si>
  <si>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</si>
  <si>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</si>
  <si>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</si>
  <si>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</si>
  <si>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</si>
  <si>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</si>
  <si>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</si>
  <si>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S-d959d3</t>
  </si>
  <si>
    <t>S-124336</t>
  </si>
  <si>
    <t>S-5cb8a6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</si>
  <si>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</si>
  <si>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</si>
  <si>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</si>
  <si>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</si>
  <si>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</si>
  <si>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</si>
  <si>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</si>
  <si>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</si>
  <si>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S-09223a</t>
  </si>
  <si>
    <t>S-2fcf09</t>
  </si>
  <si>
    <t>S-e740b4</t>
  </si>
  <si>
    <t>S-150c71</t>
  </si>
  <si>
    <t>S-6ba608</t>
  </si>
  <si>
    <t>S-e0bfb1</t>
  </si>
  <si>
    <t>S-1e15d1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</si>
  <si>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</si>
  <si>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</si>
  <si>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</si>
  <si>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</si>
  <si>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</si>
  <si>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</si>
  <si>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</si>
  <si>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</si>
  <si>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</si>
  <si>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</si>
  <si>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</si>
  <si>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</si>
  <si>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</si>
  <si>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</si>
  <si>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</si>
  <si>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</si>
  <si>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</si>
  <si>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</si>
  <si>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</si>
  <si>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</si>
  <si>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</si>
  <si>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</si>
  <si>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</si>
  <si>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</si>
  <si>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</si>
  <si>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</si>
  <si>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</si>
  <si>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</si>
  <si>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</si>
  <si>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</si>
  <si>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</si>
  <si>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</si>
  <si>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</si>
  <si>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</si>
  <si>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</si>
  <si>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</si>
  <si>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</si>
  <si>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</si>
  <si>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S-25ff39</t>
  </si>
  <si>
    <t>S-a82639</t>
  </si>
  <si>
    <t>S-ada718</t>
  </si>
  <si>
    <t>S-06e837</t>
  </si>
  <si>
    <t>S-b488bc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</si>
  <si>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</si>
  <si>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</si>
  <si>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</si>
  <si>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</si>
  <si>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</si>
  <si>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</si>
  <si>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</si>
  <si>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</si>
  <si>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</si>
  <si>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</si>
  <si>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</si>
  <si>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</si>
  <si>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</si>
  <si>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</si>
  <si>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S-540cee</t>
  </si>
  <si>
    <t>S-635570</t>
  </si>
  <si>
    <t>S-172953</t>
  </si>
  <si>
    <t>S-0d0202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</si>
  <si>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</si>
  <si>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</si>
  <si>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</si>
  <si>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</si>
  <si>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</si>
  <si>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</si>
  <si>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</si>
  <si>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</si>
  <si>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</si>
  <si>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</si>
  <si>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</si>
  <si>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</si>
  <si>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</si>
  <si>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</si>
  <si>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</si>
  <si>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</si>
  <si>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</si>
  <si>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</si>
  <si>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</si>
  <si>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</si>
  <si>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</si>
  <si>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</si>
  <si>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</si>
  <si>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</si>
  <si>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</si>
  <si>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</si>
  <si>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</si>
  <si>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</si>
  <si>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</si>
  <si>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</si>
  <si>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</si>
  <si>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</si>
  <si>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</si>
  <si>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</si>
  <si>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</si>
  <si>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</si>
  <si>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</si>
  <si>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</si>
  <si>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</si>
  <si>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</si>
  <si>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</si>
  <si>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</si>
  <si>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</si>
  <si>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</si>
  <si>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</si>
  <si>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</si>
  <si>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</si>
  <si>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</si>
  <si>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</si>
  <si>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</si>
  <si>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</si>
  <si>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</si>
  <si>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</si>
  <si>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S-dbde43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</si>
  <si>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</si>
  <si>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</si>
  <si>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</si>
  <si>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</si>
  <si>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</si>
  <si>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</si>
  <si>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</si>
  <si>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</si>
  <si>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</si>
  <si>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</si>
  <si>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</si>
  <si>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</si>
  <si>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</si>
  <si>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</si>
  <si>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</si>
  <si>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</si>
  <si>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</si>
  <si>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</si>
  <si>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</si>
  <si>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</si>
  <si>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</si>
  <si>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</si>
  <si>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</si>
  <si>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</si>
  <si>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</si>
  <si>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</si>
  <si>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</si>
  <si>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</si>
  <si>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</si>
  <si>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</si>
  <si>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</si>
  <si>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</si>
  <si>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</si>
  <si>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</si>
  <si>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</si>
  <si>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</si>
  <si>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</si>
  <si>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</si>
  <si>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</si>
  <si>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</si>
  <si>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</si>
  <si>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</si>
  <si>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</si>
  <si>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</si>
  <si>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</si>
  <si>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</si>
  <si>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</si>
  <si>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</si>
  <si>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</si>
  <si>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</si>
  <si>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</si>
  <si>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</si>
  <si>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</si>
  <si>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</si>
  <si>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</si>
  <si>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</si>
  <si>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S-6c109f</t>
  </si>
  <si>
    <t>S-f99f9e</t>
  </si>
  <si>
    <t>S-9dda85</t>
  </si>
  <si>
    <t>S-94009b</t>
  </si>
  <si>
    <t>S-834097</t>
  </si>
  <si>
    <t>S-61efc1</t>
  </si>
  <si>
    <t>S-d1527e</t>
  </si>
  <si>
    <t>S-caec41</t>
  </si>
  <si>
    <t>S-921dc3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</si>
  <si>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</si>
  <si>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</si>
  <si>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</si>
  <si>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</si>
  <si>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</si>
  <si>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</si>
  <si>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</si>
  <si>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</si>
  <si>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</si>
  <si>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</si>
  <si>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</si>
  <si>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</si>
  <si>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</si>
  <si>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</si>
  <si>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</si>
  <si>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</si>
  <si>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</si>
  <si>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</si>
  <si>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</si>
  <si>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</si>
  <si>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</si>
  <si>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</si>
  <si>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</si>
  <si>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</si>
  <si>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</si>
  <si>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</si>
  <si>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S-6eb56d</t>
  </si>
  <si>
    <t>S-b1dce0</t>
  </si>
  <si>
    <t>S-a07c46</t>
  </si>
  <si>
    <t>S-df91b0</t>
  </si>
  <si>
    <t>S-f16bb2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</si>
  <si>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</si>
  <si>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</si>
  <si>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</si>
  <si>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</si>
  <si>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</si>
  <si>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</si>
  <si>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</si>
  <si>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</si>
  <si>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</si>
  <si>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</si>
  <si>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</si>
  <si>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</si>
  <si>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S-0c56e1</t>
  </si>
  <si>
    <t>S-47985c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</si>
  <si>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</si>
  <si>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</si>
  <si>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</si>
  <si>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</si>
  <si>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</si>
  <si>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</si>
  <si>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</si>
  <si>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</si>
  <si>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</si>
  <si>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</si>
  <si>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</si>
  <si>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</si>
  <si>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</si>
  <si>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</si>
  <si>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</si>
  <si>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S-50a388</t>
  </si>
  <si>
    <t>S-1fd72a</t>
  </si>
  <si>
    <t>S-40cbc0</t>
  </si>
  <si>
    <t>S-0b831e</t>
  </si>
  <si>
    <t>S-b5035b</t>
  </si>
  <si>
    <t>S-1ac1b4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</si>
  <si>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</si>
  <si>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</si>
  <si>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</si>
  <si>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</si>
  <si>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</si>
  <si>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</si>
  <si>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</si>
  <si>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</si>
  <si>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</si>
  <si>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</si>
  <si>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S-7af0d5</t>
  </si>
  <si>
    <t>S-b45a45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</si>
  <si>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</si>
  <si>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</si>
  <si>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</si>
  <si>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</si>
  <si>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</si>
  <si>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</si>
  <si>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</si>
  <si>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</si>
  <si>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</si>
  <si>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</si>
  <si>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</si>
  <si>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</si>
  <si>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</si>
  <si>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</si>
  <si>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</si>
  <si>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</si>
  <si>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</si>
  <si>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</si>
  <si>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</si>
  <si>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</si>
  <si>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</si>
  <si>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</si>
  <si>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</si>
  <si>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</si>
  <si>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</si>
  <si>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</si>
  <si>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</si>
  <si>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</si>
  <si>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</si>
  <si>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</si>
  <si>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</si>
  <si>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</si>
  <si>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</si>
  <si>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</si>
  <si>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</si>
  <si>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</si>
  <si>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</si>
  <si>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</si>
  <si>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</si>
  <si>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</si>
  <si>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</si>
  <si>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</si>
  <si>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</si>
  <si>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</si>
  <si>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</si>
  <si>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</si>
  <si>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</si>
  <si>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</si>
  <si>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</si>
  <si>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</si>
  <si>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S-f09b6c</t>
  </si>
  <si>
    <t>S-a1e688</t>
  </si>
  <si>
    <t>S-0b62cc</t>
  </si>
  <si>
    <t>S-e41941</t>
  </si>
  <si>
    <t>S-b7deea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</si>
  <si>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</si>
  <si>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</si>
  <si>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</si>
  <si>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</si>
  <si>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</si>
  <si>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</si>
  <si>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</si>
  <si>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</si>
  <si>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</si>
  <si>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</si>
  <si>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</si>
  <si>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</si>
  <si>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</si>
  <si>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</si>
  <si>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</si>
  <si>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</si>
  <si>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</si>
  <si>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</si>
  <si>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</si>
  <si>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</si>
  <si>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</si>
  <si>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</si>
  <si>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</si>
  <si>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</si>
  <si>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</si>
  <si>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</si>
  <si>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</si>
  <si>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</si>
  <si>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</si>
  <si>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</si>
  <si>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</si>
  <si>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</si>
  <si>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</si>
  <si>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</si>
  <si>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</si>
  <si>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</si>
  <si>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</si>
  <si>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</si>
  <si>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</si>
  <si>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</si>
  <si>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</si>
  <si>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</si>
  <si>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</si>
  <si>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</si>
  <si>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</si>
  <si>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</si>
  <si>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</si>
  <si>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</si>
  <si>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</si>
  <si>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</si>
  <si>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</si>
  <si>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</si>
  <si>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</si>
  <si>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</si>
  <si>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</si>
  <si>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</si>
  <si>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</si>
  <si>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</si>
  <si>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</si>
  <si>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</si>
  <si>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</si>
  <si>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</si>
  <si>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</si>
  <si>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</si>
  <si>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</si>
  <si>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</si>
  <si>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</si>
  <si>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</si>
  <si>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</si>
  <si>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</si>
  <si>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</si>
  <si>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</si>
  <si>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</si>
  <si>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</si>
  <si>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</si>
  <si>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</si>
  <si>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</si>
  <si>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</si>
  <si>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</si>
  <si>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</si>
  <si>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</si>
  <si>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</si>
  <si>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</si>
  <si>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</si>
  <si>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</si>
  <si>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</si>
  <si>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</si>
  <si>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</si>
  <si>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</si>
  <si>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</si>
  <si>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</si>
  <si>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</si>
  <si>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</si>
  <si>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</si>
  <si>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</si>
  <si>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</si>
  <si>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</si>
  <si>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</si>
  <si>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</si>
  <si>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</si>
  <si>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</si>
  <si>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</si>
  <si>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</si>
  <si>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</si>
  <si>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</si>
  <si>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</si>
  <si>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</si>
  <si>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</si>
  <si>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</si>
  <si>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</si>
  <si>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</si>
  <si>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</si>
  <si>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</si>
  <si>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</si>
  <si>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</si>
  <si>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</si>
  <si>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</si>
  <si>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</si>
  <si>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</si>
  <si>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</si>
  <si>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</si>
  <si>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</si>
  <si>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</si>
  <si>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</si>
  <si>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</si>
  <si>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</si>
  <si>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</si>
  <si>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</si>
  <si>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</si>
  <si>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</si>
  <si>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</si>
  <si>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</si>
  <si>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</si>
  <si>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</si>
  <si>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</si>
  <si>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</si>
  <si>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</si>
  <si>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</si>
  <si>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</si>
  <si>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</si>
  <si>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</si>
  <si>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</si>
  <si>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</si>
  <si>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</si>
  <si>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</si>
  <si>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</si>
  <si>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</si>
  <si>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</si>
  <si>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</si>
  <si>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</si>
  <si>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</si>
  <si>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</si>
  <si>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</si>
  <si>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</si>
  <si>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</si>
  <si>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</si>
  <si>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</si>
  <si>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</si>
  <si>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</si>
  <si>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</si>
  <si>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</si>
  <si>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</si>
  <si>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</si>
  <si>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</si>
  <si>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</si>
  <si>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</si>
  <si>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</si>
  <si>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</si>
  <si>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</si>
  <si>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</si>
  <si>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</si>
  <si>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</si>
  <si>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</si>
  <si>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</si>
  <si>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</si>
  <si>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</si>
  <si>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</si>
  <si>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</si>
  <si>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</si>
  <si>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</si>
  <si>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</si>
  <si>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</si>
  <si>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</si>
  <si>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</si>
  <si>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</si>
  <si>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</si>
  <si>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</si>
  <si>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</si>
  <si>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</si>
  <si>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</si>
  <si>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</si>
  <si>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</si>
  <si>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</si>
  <si>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</si>
  <si>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</si>
  <si>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</si>
  <si>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</si>
  <si>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</si>
  <si>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</si>
  <si>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</si>
  <si>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</si>
  <si>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</si>
  <si>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</si>
  <si>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</si>
  <si>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</si>
  <si>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</si>
  <si>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</si>
  <si>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</si>
  <si>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</si>
  <si>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</si>
  <si>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</si>
  <si>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</si>
  <si>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</si>
  <si>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</si>
  <si>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</si>
  <si>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</si>
  <si>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</si>
  <si>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</si>
  <si>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</si>
  <si>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S-aef80b</t>
  </si>
  <si>
    <t>S-dda23d</t>
  </si>
  <si>
    <t>S-d29830</t>
  </si>
  <si>
    <t>S-fc86d6</t>
  </si>
  <si>
    <t>S-7179fd</t>
  </si>
  <si>
    <t>S-01daf5</t>
  </si>
  <si>
    <t>S-916876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</si>
  <si>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</si>
  <si>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</si>
  <si>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</si>
  <si>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</si>
  <si>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</si>
  <si>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</si>
  <si>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</si>
  <si>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</si>
  <si>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</si>
  <si>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</si>
  <si>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</si>
  <si>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</si>
  <si>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</si>
  <si>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</si>
  <si>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</si>
  <si>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</si>
  <si>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</si>
  <si>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</si>
  <si>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</si>
  <si>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</si>
  <si>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</si>
  <si>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</si>
  <si>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</si>
  <si>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</si>
  <si>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</si>
  <si>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</si>
  <si>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</si>
  <si>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</si>
  <si>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</si>
  <si>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</si>
  <si>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</si>
  <si>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</si>
  <si>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</si>
  <si>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</si>
  <si>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</si>
  <si>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</si>
  <si>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</si>
  <si>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</si>
  <si>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</si>
  <si>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</si>
  <si>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</si>
  <si>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</si>
  <si>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</si>
  <si>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</si>
  <si>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</si>
  <si>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</si>
  <si>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</si>
  <si>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</si>
  <si>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</si>
  <si>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</si>
  <si>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</si>
  <si>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</si>
  <si>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</si>
  <si>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</si>
  <si>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</si>
  <si>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</si>
  <si>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</si>
  <si>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</si>
  <si>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</si>
  <si>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</si>
  <si>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</si>
  <si>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</si>
  <si>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</si>
  <si>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</si>
  <si>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</si>
  <si>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</si>
  <si>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</si>
  <si>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</si>
  <si>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</si>
  <si>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</si>
  <si>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</si>
  <si>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</si>
  <si>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</si>
  <si>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</si>
  <si>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</si>
  <si>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</si>
  <si>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</si>
  <si>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</si>
  <si>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</si>
  <si>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</si>
  <si>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</si>
  <si>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</si>
  <si>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</si>
  <si>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</si>
  <si>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</si>
  <si>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</si>
  <si>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</si>
  <si>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</si>
  <si>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</si>
  <si>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</si>
  <si>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</si>
  <si>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</si>
  <si>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</si>
  <si>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</si>
  <si>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</si>
  <si>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</si>
  <si>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</si>
  <si>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</si>
  <si>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</si>
  <si>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</si>
  <si>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</si>
  <si>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</si>
  <si>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</si>
  <si>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</si>
  <si>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</si>
  <si>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</si>
  <si>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</si>
  <si>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</si>
  <si>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</si>
  <si>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</si>
  <si>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</si>
  <si>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</si>
  <si>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</si>
  <si>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</si>
  <si>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</si>
  <si>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</si>
  <si>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</si>
  <si>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</si>
  <si>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</si>
  <si>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</si>
  <si>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</si>
  <si>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</si>
  <si>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</si>
  <si>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</si>
  <si>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</si>
  <si>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</si>
  <si>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</si>
  <si>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</si>
  <si>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</si>
  <si>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</si>
  <si>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</si>
  <si>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</si>
  <si>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</si>
  <si>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</si>
  <si>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</si>
  <si>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</si>
  <si>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</si>
  <si>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</si>
  <si>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</si>
  <si>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</si>
  <si>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</si>
  <si>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</si>
  <si>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</si>
  <si>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</si>
  <si>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</si>
  <si>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</si>
  <si>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</si>
  <si>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</si>
  <si>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</si>
  <si>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</si>
  <si>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</si>
  <si>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</si>
  <si>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</si>
  <si>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</si>
  <si>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</si>
  <si>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</si>
  <si>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</si>
  <si>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</si>
  <si>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</si>
  <si>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</si>
  <si>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</si>
  <si>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</si>
  <si>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</si>
  <si>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</si>
  <si>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</si>
  <si>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</si>
  <si>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</si>
  <si>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</si>
  <si>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</si>
  <si>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</si>
  <si>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</si>
  <si>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</si>
  <si>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</si>
  <si>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</si>
  <si>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</si>
  <si>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</si>
  <si>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</si>
  <si>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</si>
  <si>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</si>
  <si>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</si>
  <si>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</si>
  <si>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</si>
  <si>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</si>
  <si>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</si>
  <si>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</si>
  <si>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</si>
  <si>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</si>
  <si>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</si>
  <si>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</si>
  <si>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</si>
  <si>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</si>
  <si>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</si>
  <si>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</si>
  <si>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</si>
  <si>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</si>
  <si>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</si>
  <si>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</si>
  <si>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</si>
  <si>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</si>
  <si>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</si>
  <si>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</si>
  <si>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</si>
  <si>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</si>
  <si>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</si>
  <si>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</si>
  <si>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</si>
  <si>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</si>
  <si>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</si>
  <si>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</si>
  <si>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</si>
  <si>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</si>
  <si>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</si>
  <si>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</si>
  <si>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</si>
  <si>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</si>
  <si>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</si>
  <si>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</si>
  <si>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</si>
  <si>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</si>
  <si>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</si>
  <si>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</si>
  <si>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</si>
  <si>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</si>
  <si>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</si>
  <si>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</si>
  <si>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</si>
  <si>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</si>
  <si>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</si>
  <si>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</si>
  <si>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</si>
  <si>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</si>
  <si>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</si>
  <si>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</si>
  <si>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</si>
  <si>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</si>
  <si>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</si>
  <si>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</si>
  <si>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</si>
  <si>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</si>
  <si>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</si>
  <si>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</si>
  <si>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</si>
  <si>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</si>
  <si>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</si>
  <si>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</si>
  <si>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</si>
  <si>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</si>
  <si>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</si>
  <si>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</si>
  <si>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</si>
  <si>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</si>
  <si>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</si>
  <si>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</si>
  <si>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</si>
  <si>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</si>
  <si>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</si>
  <si>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</si>
  <si>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</si>
  <si>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</si>
  <si>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</si>
  <si>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</si>
  <si>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</si>
  <si>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</si>
  <si>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</si>
  <si>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</si>
  <si>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</si>
  <si>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</si>
  <si>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</si>
  <si>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</si>
  <si>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</si>
  <si>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</si>
  <si>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</si>
  <si>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</si>
  <si>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</si>
  <si>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</si>
  <si>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</si>
  <si>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</si>
  <si>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</si>
  <si>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</si>
  <si>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</si>
  <si>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</si>
  <si>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</si>
  <si>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</si>
  <si>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</si>
  <si>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</si>
  <si>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</si>
  <si>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</si>
  <si>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</si>
  <si>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</si>
  <si>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</si>
  <si>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</si>
  <si>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</si>
  <si>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</si>
  <si>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</si>
  <si>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</si>
  <si>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</si>
  <si>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</si>
  <si>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</si>
  <si>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</si>
  <si>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</si>
  <si>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</si>
  <si>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</si>
  <si>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</si>
  <si>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</si>
  <si>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</si>
  <si>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</si>
  <si>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</si>
  <si>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</si>
  <si>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</si>
  <si>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</si>
  <si>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</si>
  <si>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</si>
  <si>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</si>
  <si>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</si>
  <si>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</si>
  <si>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</si>
  <si>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</si>
  <si>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</si>
  <si>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</si>
  <si>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</si>
  <si>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</si>
  <si>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</si>
  <si>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</si>
  <si>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</si>
  <si>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</si>
  <si>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</si>
  <si>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</si>
  <si>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</si>
  <si>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</si>
  <si>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</si>
  <si>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</si>
  <si>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</si>
  <si>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</si>
  <si>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</si>
  <si>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</si>
  <si>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</si>
  <si>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</si>
  <si>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</si>
  <si>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</si>
  <si>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</si>
  <si>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</si>
  <si>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</si>
  <si>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</si>
  <si>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</si>
  <si>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</si>
  <si>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</si>
  <si>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</si>
  <si>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</si>
  <si>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</si>
  <si>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</si>
  <si>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</si>
  <si>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</si>
  <si>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</si>
  <si>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</si>
  <si>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</si>
  <si>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</si>
  <si>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</si>
  <si>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</si>
  <si>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</si>
  <si>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</si>
  <si>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</si>
  <si>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</si>
  <si>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</si>
  <si>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</si>
  <si>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</si>
  <si>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</si>
  <si>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</si>
  <si>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</si>
  <si>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</si>
  <si>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</si>
  <si>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</si>
  <si>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</si>
  <si>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</si>
  <si>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</si>
  <si>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</si>
  <si>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</si>
  <si>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</si>
  <si>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</si>
  <si>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</si>
  <si>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</si>
  <si>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</si>
  <si>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</si>
  <si>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</si>
  <si>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</si>
  <si>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</si>
  <si>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</si>
  <si>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</si>
  <si>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</si>
  <si>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</si>
  <si>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</si>
  <si>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</si>
  <si>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</si>
  <si>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</si>
  <si>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</si>
  <si>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</si>
  <si>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</si>
  <si>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</si>
  <si>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</si>
  <si>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</si>
  <si>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</si>
  <si>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</si>
  <si>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</si>
  <si>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</si>
  <si>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</si>
  <si>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</si>
  <si>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</si>
  <si>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</si>
  <si>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</si>
  <si>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</si>
  <si>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</si>
  <si>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</si>
  <si>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</si>
  <si>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</si>
  <si>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</si>
  <si>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</si>
  <si>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</si>
  <si>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</si>
  <si>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</si>
  <si>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</si>
  <si>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</si>
  <si>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</si>
  <si>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</si>
  <si>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</si>
  <si>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</si>
  <si>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</si>
  <si>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</si>
  <si>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</si>
  <si>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</si>
  <si>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</si>
  <si>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</si>
  <si>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</si>
  <si>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</si>
  <si>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</si>
  <si>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</si>
  <si>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</si>
  <si>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</si>
  <si>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</si>
  <si>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</si>
  <si>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</si>
  <si>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</si>
  <si>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</si>
  <si>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</si>
  <si>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</si>
  <si>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</si>
  <si>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</si>
  <si>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</si>
  <si>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</si>
  <si>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</si>
  <si>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</si>
  <si>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</si>
  <si>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</si>
  <si>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</si>
  <si>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</si>
  <si>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</si>
  <si>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</si>
  <si>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</si>
  <si>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</si>
  <si>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</si>
  <si>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</si>
  <si>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</si>
  <si>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</si>
  <si>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</si>
  <si>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</si>
  <si>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</si>
  <si>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</si>
  <si>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</si>
  <si>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</si>
  <si>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</si>
  <si>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</si>
  <si>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</si>
  <si>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</si>
  <si>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</si>
  <si>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</si>
  <si>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</si>
  <si>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</si>
  <si>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</si>
  <si>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</si>
  <si>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</si>
  <si>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</si>
  <si>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</si>
  <si>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</si>
  <si>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</si>
  <si>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</si>
  <si>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</si>
  <si>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</si>
  <si>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</si>
  <si>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</si>
  <si>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</si>
  <si>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</si>
  <si>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</si>
  <si>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</si>
  <si>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</si>
  <si>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</si>
  <si>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</si>
  <si>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</si>
  <si>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</si>
  <si>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</si>
  <si>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</si>
  <si>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</si>
  <si>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</si>
  <si>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</si>
  <si>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</si>
  <si>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</si>
  <si>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</si>
  <si>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</si>
  <si>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</si>
  <si>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</si>
  <si>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</si>
  <si>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</si>
  <si>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</si>
  <si>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</si>
  <si>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</si>
  <si>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</si>
  <si>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</si>
  <si>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</si>
  <si>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</si>
  <si>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</si>
  <si>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</si>
  <si>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</si>
  <si>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</si>
  <si>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</si>
  <si>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</si>
  <si>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</si>
  <si>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</si>
  <si>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</si>
  <si>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</si>
  <si>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</si>
  <si>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</si>
  <si>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</si>
  <si>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</si>
  <si>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</si>
  <si>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</si>
  <si>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</si>
  <si>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</si>
  <si>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</si>
  <si>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</si>
  <si>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</si>
  <si>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</si>
  <si>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</si>
  <si>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</si>
  <si>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</si>
  <si>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</si>
  <si>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</si>
  <si>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</si>
  <si>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</si>
  <si>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</si>
  <si>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</si>
  <si>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</si>
  <si>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</si>
  <si>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</si>
  <si>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</si>
  <si>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</si>
  <si>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</si>
  <si>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</si>
  <si>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</si>
  <si>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</si>
  <si>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</si>
  <si>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</si>
  <si>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</si>
  <si>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</si>
  <si>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</si>
  <si>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</si>
  <si>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</si>
  <si>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</si>
  <si>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</si>
  <si>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</si>
  <si>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</si>
  <si>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</si>
  <si>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</si>
  <si>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</si>
  <si>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</si>
  <si>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</si>
  <si>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</si>
  <si>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</si>
  <si>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</si>
  <si>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</si>
  <si>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</si>
  <si>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</si>
  <si>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</si>
  <si>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</si>
  <si>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</si>
  <si>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</si>
  <si>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</si>
  <si>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</si>
  <si>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</si>
  <si>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</si>
  <si>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</si>
  <si>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</si>
  <si>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</si>
  <si>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</si>
  <si>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</si>
  <si>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</si>
  <si>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</si>
  <si>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</si>
  <si>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</si>
  <si>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</si>
  <si>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</si>
  <si>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</si>
  <si>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</si>
  <si>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</si>
  <si>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</si>
  <si>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</si>
  <si>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</si>
  <si>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</si>
  <si>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</si>
  <si>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</si>
  <si>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</si>
  <si>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</si>
  <si>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</si>
  <si>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</si>
  <si>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</si>
  <si>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</si>
  <si>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</si>
  <si>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</si>
  <si>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</si>
  <si>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</si>
  <si>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</si>
  <si>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</si>
  <si>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</si>
  <si>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</si>
  <si>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</si>
  <si>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</si>
  <si>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</si>
  <si>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</si>
  <si>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</si>
  <si>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</si>
  <si>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</si>
  <si>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</si>
  <si>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</si>
  <si>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</si>
  <si>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</si>
  <si>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</si>
  <si>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</si>
  <si>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</si>
  <si>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</si>
  <si>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</si>
  <si>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</si>
  <si>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</si>
  <si>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</si>
  <si>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</si>
  <si>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</si>
  <si>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</si>
  <si>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</si>
  <si>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</si>
  <si>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</si>
  <si>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</si>
  <si>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</si>
  <si>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</si>
  <si>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</si>
  <si>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</si>
  <si>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</si>
  <si>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</si>
  <si>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</si>
  <si>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</si>
  <si>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</si>
  <si>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</si>
  <si>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</si>
  <si>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</si>
  <si>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</si>
  <si>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</si>
  <si>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</si>
  <si>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</si>
  <si>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</si>
  <si>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</si>
  <si>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</si>
  <si>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</si>
  <si>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</si>
  <si>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</si>
  <si>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</si>
  <si>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</si>
  <si>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</si>
  <si>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</si>
  <si>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</si>
  <si>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</si>
  <si>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</si>
  <si>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</si>
  <si>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</si>
  <si>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</si>
  <si>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</si>
  <si>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</si>
  <si>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</si>
  <si>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</si>
  <si>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</si>
  <si>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</si>
  <si>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</si>
  <si>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</si>
  <si>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</si>
  <si>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</si>
  <si>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</si>
  <si>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</si>
  <si>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</si>
  <si>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</si>
  <si>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</si>
  <si>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</si>
  <si>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</si>
  <si>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</si>
  <si>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</si>
  <si>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</si>
  <si>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</si>
  <si>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</si>
  <si>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</si>
  <si>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</si>
  <si>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</si>
  <si>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</si>
  <si>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</si>
  <si>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</si>
  <si>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</si>
  <si>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</si>
  <si>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</si>
  <si>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</si>
  <si>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</si>
  <si>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</si>
  <si>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</si>
  <si>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</si>
  <si>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</si>
  <si>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</si>
  <si>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</si>
  <si>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</si>
  <si>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</si>
  <si>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</si>
  <si>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</si>
  <si>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</si>
  <si>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</si>
  <si>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</si>
  <si>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</si>
  <si>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</si>
  <si>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</si>
  <si>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</si>
  <si>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</si>
  <si>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</si>
  <si>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</si>
  <si>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</si>
  <si>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</si>
  <si>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</si>
  <si>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</si>
  <si>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</si>
  <si>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</si>
  <si>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</si>
  <si>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</si>
  <si>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</si>
  <si>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</si>
  <si>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</si>
  <si>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</si>
  <si>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</si>
  <si>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</si>
  <si>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</si>
  <si>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</si>
  <si>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</si>
  <si>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</si>
  <si>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</si>
  <si>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</si>
  <si>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</si>
  <si>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</si>
  <si>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</si>
  <si>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</si>
  <si>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</si>
  <si>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</si>
  <si>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</si>
  <si>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</si>
  <si>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</si>
  <si>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</si>
  <si>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</si>
  <si>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</si>
  <si>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</si>
  <si>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</si>
  <si>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</si>
  <si>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</si>
  <si>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</si>
  <si>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</si>
  <si>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</si>
  <si>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</si>
  <si>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</si>
  <si>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</si>
  <si>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</si>
  <si>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</si>
  <si>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</si>
  <si>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</si>
  <si>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</si>
  <si>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</si>
  <si>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</si>
  <si>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</si>
  <si>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</si>
  <si>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</si>
  <si>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</si>
  <si>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</si>
  <si>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</si>
  <si>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</si>
  <si>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</si>
  <si>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</si>
  <si>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</si>
  <si>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</si>
  <si>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</si>
  <si>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</si>
  <si>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</si>
  <si>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</si>
  <si>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</si>
  <si>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</si>
  <si>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</si>
  <si>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</si>
  <si>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</si>
  <si>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</si>
  <si>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</si>
  <si>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</si>
  <si>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</si>
  <si>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</si>
  <si>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</si>
  <si>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</si>
  <si>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</si>
  <si>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</si>
  <si>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</si>
  <si>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</si>
  <si>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</si>
  <si>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</si>
  <si>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</si>
  <si>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</si>
  <si>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</si>
  <si>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</si>
  <si>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</si>
  <si>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</si>
  <si>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</si>
  <si>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</si>
  <si>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</si>
  <si>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</si>
  <si>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</si>
  <si>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</si>
  <si>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</si>
  <si>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</si>
  <si>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</si>
  <si>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</si>
  <si>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</si>
  <si>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</si>
  <si>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</si>
  <si>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</si>
  <si>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</si>
  <si>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</si>
  <si>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</si>
  <si>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</si>
  <si>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</si>
  <si>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</si>
  <si>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</si>
  <si>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</si>
  <si>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</si>
  <si>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</si>
  <si>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</si>
  <si>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</si>
  <si>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</si>
  <si>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</si>
  <si>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</si>
  <si>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</si>
  <si>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</si>
  <si>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</si>
  <si>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</si>
  <si>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</si>
  <si>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</si>
  <si>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</si>
  <si>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</si>
  <si>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</si>
  <si>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</si>
  <si>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</si>
  <si>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</si>
  <si>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</si>
  <si>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</si>
  <si>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</si>
  <si>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</si>
  <si>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</si>
  <si>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</si>
  <si>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</si>
  <si>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</si>
  <si>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</si>
  <si>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</si>
  <si>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</si>
  <si>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</si>
  <si>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</si>
  <si>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</si>
  <si>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</si>
  <si>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</si>
  <si>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</si>
  <si>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</si>
  <si>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</si>
  <si>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</si>
  <si>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</si>
  <si>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</si>
  <si>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</si>
  <si>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</si>
  <si>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</si>
  <si>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</si>
  <si>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</si>
  <si>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</si>
  <si>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</si>
  <si>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</si>
  <si>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</si>
  <si>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</si>
  <si>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</si>
  <si>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</si>
  <si>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</si>
  <si>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</si>
  <si>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</si>
  <si>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</si>
  <si>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</si>
  <si>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</si>
  <si>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</si>
  <si>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</si>
  <si>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</si>
  <si>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</si>
  <si>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</si>
  <si>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</si>
  <si>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</si>
  <si>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</si>
  <si>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</si>
  <si>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</si>
  <si>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</si>
  <si>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</si>
  <si>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</si>
  <si>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</si>
  <si>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</si>
  <si>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</si>
  <si>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</si>
  <si>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</si>
  <si>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</si>
  <si>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</si>
  <si>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</si>
  <si>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</si>
  <si>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</si>
  <si>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</si>
  <si>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</si>
  <si>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</si>
  <si>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</si>
  <si>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</si>
  <si>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</si>
  <si>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</si>
  <si>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</si>
  <si>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</si>
  <si>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</si>
  <si>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</si>
  <si>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</si>
  <si>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</si>
  <si>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</si>
  <si>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</si>
  <si>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</si>
  <si>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</si>
  <si>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</si>
  <si>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</si>
  <si>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</si>
  <si>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</si>
  <si>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</si>
  <si>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</si>
  <si>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</si>
  <si>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</si>
  <si>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</si>
  <si>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</si>
  <si>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</si>
  <si>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</si>
  <si>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</si>
  <si>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</si>
  <si>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</si>
  <si>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</si>
  <si>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</si>
  <si>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</si>
  <si>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</si>
  <si>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</si>
  <si>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</si>
  <si>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</si>
  <si>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</si>
  <si>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</si>
  <si>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</si>
  <si>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</si>
  <si>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</si>
  <si>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</si>
  <si>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</si>
  <si>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</si>
  <si>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</si>
  <si>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</si>
  <si>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</si>
  <si>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</si>
  <si>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</si>
  <si>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</si>
  <si>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</si>
  <si>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</si>
  <si>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</si>
  <si>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</si>
  <si>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</si>
  <si>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</si>
  <si>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</si>
  <si>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</si>
  <si>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</si>
  <si>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</si>
  <si>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</si>
  <si>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</si>
  <si>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</si>
  <si>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</si>
  <si>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</si>
  <si>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</si>
  <si>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</si>
  <si>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</si>
  <si>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</si>
  <si>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</si>
  <si>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</si>
  <si>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</si>
  <si>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</si>
  <si>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</si>
  <si>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</si>
  <si>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</si>
  <si>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</si>
  <si>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</si>
  <si>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</si>
  <si>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</si>
  <si>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</si>
  <si>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</si>
  <si>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</si>
  <si>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</si>
  <si>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</si>
  <si>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</si>
  <si>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</si>
  <si>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</si>
  <si>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</si>
  <si>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</si>
  <si>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</si>
  <si>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</si>
  <si>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</si>
  <si>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</si>
  <si>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</si>
  <si>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</si>
  <si>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</si>
  <si>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</si>
  <si>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</si>
  <si>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</si>
  <si>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</si>
  <si>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</si>
  <si>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</si>
  <si>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</si>
  <si>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</si>
  <si>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</si>
  <si>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</si>
  <si>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</si>
  <si>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</si>
  <si>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</si>
  <si>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</si>
  <si>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</si>
  <si>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</si>
  <si>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</si>
  <si>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</si>
  <si>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</si>
  <si>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</si>
  <si>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</si>
  <si>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</si>
  <si>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</si>
  <si>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</si>
  <si>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</si>
  <si>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</si>
  <si>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</si>
  <si>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</si>
  <si>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</si>
  <si>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</si>
  <si>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</si>
  <si>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</si>
  <si>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</si>
  <si>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</si>
  <si>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</si>
  <si>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</si>
  <si>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</si>
  <si>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</si>
  <si>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</si>
  <si>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</si>
  <si>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</si>
  <si>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</si>
  <si>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</si>
  <si>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</si>
  <si>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</si>
  <si>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</si>
  <si>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</si>
  <si>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</si>
  <si>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</si>
  <si>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</si>
  <si>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</si>
  <si>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</si>
  <si>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</si>
  <si>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</si>
  <si>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</si>
  <si>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</si>
  <si>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</si>
  <si>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</si>
  <si>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</si>
  <si>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</si>
  <si>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</si>
  <si>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</si>
  <si>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</si>
  <si>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</si>
  <si>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</si>
  <si>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</si>
  <si>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</si>
  <si>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</si>
  <si>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</si>
  <si>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</si>
  <si>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</si>
  <si>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</si>
  <si>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</si>
  <si>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</si>
  <si>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</si>
  <si>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</si>
  <si>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</si>
  <si>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</si>
  <si>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</si>
  <si>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</si>
  <si>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</si>
  <si>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</si>
  <si>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</si>
  <si>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</si>
  <si>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</si>
  <si>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</si>
  <si>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</si>
  <si>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</si>
  <si>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</si>
  <si>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</si>
  <si>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</si>
  <si>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</si>
  <si>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</si>
  <si>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</si>
  <si>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</si>
  <si>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</si>
  <si>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</si>
  <si>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</si>
  <si>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</si>
  <si>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</si>
  <si>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</si>
  <si>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</si>
  <si>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</si>
  <si>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</si>
  <si>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</si>
  <si>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</si>
  <si>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</si>
  <si>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</si>
  <si>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</si>
  <si>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</si>
  <si>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</si>
  <si>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</si>
  <si>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</si>
  <si>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</si>
  <si>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</si>
  <si>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</si>
  <si>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</si>
  <si>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</si>
  <si>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</si>
  <si>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</si>
  <si>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</si>
  <si>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</si>
  <si>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</si>
  <si>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</si>
  <si>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</si>
  <si>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</si>
  <si>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</si>
  <si>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</si>
  <si>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</si>
  <si>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</si>
  <si>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</si>
  <si>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</si>
  <si>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</si>
  <si>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</si>
  <si>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</si>
  <si>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</si>
  <si>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</si>
  <si>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</si>
  <si>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</si>
  <si>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</si>
  <si>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</si>
  <si>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</si>
  <si>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</si>
  <si>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</si>
  <si>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</si>
  <si>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</si>
  <si>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</si>
  <si>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</si>
  <si>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</si>
  <si>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</si>
  <si>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</si>
  <si>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</si>
  <si>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</si>
  <si>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</si>
  <si>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</si>
  <si>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</si>
  <si>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</si>
  <si>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</si>
  <si>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</si>
  <si>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</si>
  <si>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</si>
  <si>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</si>
  <si>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</si>
  <si>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</si>
  <si>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</si>
  <si>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</si>
  <si>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</si>
  <si>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</si>
  <si>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</si>
  <si>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</si>
  <si>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</si>
  <si>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</si>
  <si>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</si>
  <si>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</si>
  <si>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</si>
  <si>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</si>
  <si>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</si>
  <si>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</si>
  <si>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</si>
  <si>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</si>
  <si>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</si>
  <si>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</si>
  <si>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</si>
  <si>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</si>
  <si>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</si>
  <si>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</si>
  <si>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</si>
  <si>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</si>
  <si>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</si>
  <si>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</si>
  <si>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</si>
  <si>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</si>
  <si>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</si>
  <si>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</si>
  <si>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</si>
  <si>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</si>
  <si>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</si>
  <si>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</si>
  <si>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</si>
  <si>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</si>
  <si>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</si>
  <si>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</si>
  <si>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</si>
  <si>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</si>
  <si>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</si>
  <si>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</si>
  <si>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</si>
  <si>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</si>
  <si>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</si>
  <si>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</si>
  <si>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</si>
  <si>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</si>
  <si>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</si>
  <si>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</si>
  <si>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</si>
  <si>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</si>
  <si>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</si>
  <si>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</si>
  <si>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</si>
  <si>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</si>
  <si>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</si>
  <si>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</si>
  <si>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</si>
  <si>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</si>
  <si>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</si>
  <si>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</si>
  <si>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</si>
  <si>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</si>
  <si>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</si>
  <si>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</si>
  <si>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</si>
  <si>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</si>
  <si>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</si>
  <si>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</si>
  <si>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</si>
  <si>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</si>
  <si>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</si>
  <si>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</si>
  <si>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</si>
  <si>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</si>
  <si>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</si>
  <si>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</si>
  <si>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</si>
  <si>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</si>
  <si>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</si>
  <si>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</si>
  <si>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</si>
  <si>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</si>
  <si>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</si>
  <si>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</si>
  <si>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</si>
  <si>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</si>
  <si>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</si>
  <si>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</si>
  <si>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</si>
  <si>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</si>
  <si>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</si>
  <si>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</si>
  <si>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</si>
  <si>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</si>
  <si>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</si>
  <si>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</si>
  <si>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</si>
  <si>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</si>
  <si>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</si>
  <si>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</si>
  <si>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</si>
  <si>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</si>
  <si>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</si>
  <si>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</si>
  <si>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</si>
  <si>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</si>
  <si>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</si>
  <si>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</si>
  <si>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</si>
  <si>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</si>
  <si>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</si>
  <si>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</si>
  <si>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</si>
  <si>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</si>
  <si>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</si>
  <si>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</si>
  <si>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</si>
  <si>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</si>
  <si>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</si>
  <si>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</si>
  <si>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</si>
  <si>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</si>
  <si>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</si>
  <si>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</si>
  <si>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</si>
  <si>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</si>
  <si>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</si>
  <si>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</si>
  <si>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</si>
  <si>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</si>
  <si>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</si>
  <si>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</si>
  <si>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</si>
  <si>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</si>
  <si>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</si>
  <si>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</si>
  <si>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</si>
  <si>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</si>
  <si>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</si>
  <si>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</si>
  <si>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</si>
  <si>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</si>
  <si>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</si>
  <si>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</si>
  <si>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</si>
  <si>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</si>
  <si>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</si>
  <si>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</si>
  <si>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</si>
  <si>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</si>
  <si>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</si>
  <si>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</si>
  <si>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</si>
  <si>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</si>
  <si>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</si>
  <si>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</si>
  <si>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</si>
  <si>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</si>
  <si>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</si>
  <si>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</si>
  <si>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</si>
  <si>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</si>
  <si>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</si>
  <si>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</si>
  <si>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</si>
  <si>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</si>
  <si>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</si>
  <si>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</si>
  <si>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</si>
  <si>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</si>
  <si>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</si>
  <si>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</si>
  <si>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</si>
  <si>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</si>
  <si>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</si>
  <si>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</si>
  <si>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</si>
  <si>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</si>
  <si>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</si>
  <si>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</si>
  <si>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</si>
  <si>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</si>
  <si>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</si>
  <si>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</si>
  <si>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</si>
  <si>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</si>
  <si>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</si>
  <si>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</si>
  <si>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</si>
  <si>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</si>
  <si>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</si>
  <si>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</si>
  <si>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</si>
  <si>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</si>
  <si>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</si>
  <si>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</si>
  <si>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</si>
  <si>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</si>
  <si>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</si>
  <si>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</si>
  <si>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</si>
  <si>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</si>
  <si>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</si>
  <si>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</si>
  <si>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</si>
  <si>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</si>
  <si>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</si>
  <si>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</si>
  <si>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</si>
  <si>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</si>
  <si>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</si>
  <si>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</si>
  <si>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</si>
  <si>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</si>
  <si>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</si>
  <si>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</si>
  <si>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</si>
  <si>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</si>
  <si>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</si>
  <si>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</si>
  <si>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</si>
  <si>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</si>
  <si>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</si>
  <si>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</si>
  <si>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</si>
  <si>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</si>
  <si>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</si>
  <si>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</si>
  <si>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</si>
  <si>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</si>
  <si>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</si>
  <si>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</si>
  <si>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</si>
  <si>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</si>
  <si>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</si>
  <si>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</si>
  <si>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</si>
  <si>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</si>
  <si>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</si>
  <si>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</si>
  <si>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</si>
  <si>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</si>
  <si>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</si>
  <si>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</si>
  <si>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</si>
  <si>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</si>
  <si>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</si>
  <si>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</si>
  <si>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</si>
  <si>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</si>
  <si>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</si>
  <si>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</si>
  <si>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</si>
  <si>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</si>
  <si>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</si>
  <si>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</si>
  <si>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</si>
  <si>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</si>
  <si>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</si>
  <si>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</si>
  <si>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</si>
  <si>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</si>
  <si>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</si>
  <si>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</si>
  <si>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</si>
  <si>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</si>
  <si>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</si>
  <si>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</si>
  <si>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</si>
  <si>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</si>
  <si>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</si>
  <si>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</si>
  <si>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</si>
  <si>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</si>
  <si>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</si>
  <si>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</si>
  <si>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</si>
  <si>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</si>
  <si>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</si>
  <si>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</si>
  <si>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</si>
  <si>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</si>
  <si>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</si>
  <si>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</si>
  <si>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</si>
  <si>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</si>
  <si>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</si>
  <si>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</si>
  <si>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</si>
  <si>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</si>
  <si>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</si>
  <si>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</si>
  <si>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</si>
  <si>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</si>
  <si>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</si>
  <si>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</si>
  <si>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</si>
  <si>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</si>
  <si>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</si>
  <si>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</si>
  <si>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</si>
  <si>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</si>
  <si>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</si>
  <si>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</si>
  <si>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</si>
  <si>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</si>
  <si>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</si>
  <si>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</si>
  <si>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</si>
  <si>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</si>
  <si>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</si>
  <si>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</si>
  <si>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</si>
  <si>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</si>
  <si>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</si>
  <si>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</si>
  <si>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</si>
  <si>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</si>
  <si>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</si>
  <si>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</si>
  <si>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</si>
  <si>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</si>
  <si>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</si>
  <si>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</si>
  <si>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</si>
  <si>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</si>
  <si>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</si>
  <si>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</si>
  <si>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</si>
  <si>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</si>
  <si>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</si>
  <si>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</si>
  <si>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</si>
  <si>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</si>
  <si>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</si>
  <si>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</si>
  <si>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</si>
  <si>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</si>
  <si>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</si>
  <si>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</si>
  <si>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</si>
  <si>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</si>
  <si>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</si>
  <si>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</si>
  <si>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</si>
  <si>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</si>
  <si>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</si>
  <si>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</si>
  <si>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</si>
  <si>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</si>
  <si>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</si>
  <si>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</si>
  <si>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</si>
  <si>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</si>
  <si>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</si>
  <si>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</si>
  <si>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</si>
  <si>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</si>
  <si>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</si>
  <si>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</si>
  <si>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</si>
  <si>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</si>
  <si>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</si>
  <si>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</si>
  <si>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</si>
  <si>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</si>
  <si>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</si>
  <si>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</si>
  <si>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</si>
  <si>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</si>
  <si>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</si>
  <si>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</si>
  <si>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</si>
  <si>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</si>
  <si>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</si>
  <si>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</si>
  <si>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</si>
  <si>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</si>
  <si>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</si>
  <si>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</si>
  <si>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</si>
  <si>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</si>
  <si>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</si>
  <si>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</si>
  <si>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</si>
  <si>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</si>
  <si>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</si>
  <si>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</si>
  <si>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</si>
  <si>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</si>
  <si>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</si>
  <si>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</si>
  <si>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</si>
  <si>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</si>
  <si>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</si>
  <si>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</si>
  <si>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</si>
  <si>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</si>
  <si>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</si>
  <si>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</si>
  <si>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</si>
  <si>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</si>
  <si>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</si>
  <si>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</si>
  <si>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</si>
  <si>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</si>
  <si>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</si>
  <si>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</si>
  <si>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</si>
  <si>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</si>
  <si>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</si>
  <si>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</si>
  <si>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</si>
  <si>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</si>
  <si>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</si>
  <si>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</si>
  <si>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</si>
  <si>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</si>
  <si>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</si>
  <si>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</si>
  <si>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</si>
  <si>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</si>
  <si>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</si>
  <si>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</si>
  <si>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</si>
  <si>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</si>
  <si>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</si>
  <si>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</si>
  <si>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</si>
  <si>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</si>
  <si>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</si>
  <si>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</si>
  <si>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</si>
  <si>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</si>
  <si>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</si>
  <si>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</si>
  <si>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</si>
  <si>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</si>
  <si>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</si>
  <si>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</si>
  <si>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</si>
  <si>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</si>
  <si>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</si>
  <si>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</si>
  <si>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</si>
  <si>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</si>
  <si>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</si>
  <si>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</si>
  <si>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</si>
  <si>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</si>
  <si>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</si>
  <si>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</si>
  <si>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</si>
  <si>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</si>
  <si>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</si>
  <si>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</si>
  <si>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</si>
  <si>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</si>
  <si>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</si>
  <si>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</si>
  <si>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</si>
  <si>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</si>
  <si>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</si>
  <si>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</si>
  <si>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</si>
  <si>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</si>
  <si>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</si>
  <si>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</si>
  <si>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</si>
  <si>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</si>
  <si>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</si>
  <si>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</si>
  <si>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</si>
  <si>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</si>
  <si>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</si>
  <si>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</si>
  <si>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</si>
  <si>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</si>
  <si>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</si>
  <si>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</si>
  <si>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</si>
  <si>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</si>
  <si>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</si>
  <si>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</si>
  <si>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</si>
  <si>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</si>
  <si>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</si>
  <si>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</si>
  <si>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</si>
  <si>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</si>
  <si>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</si>
  <si>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</si>
  <si>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</si>
  <si>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</si>
  <si>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</si>
  <si>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</si>
  <si>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</si>
  <si>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</si>
  <si>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</si>
  <si>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</si>
  <si>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</si>
  <si>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</si>
  <si>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</si>
  <si>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</si>
  <si>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</si>
  <si>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</si>
  <si>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</si>
  <si>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</si>
  <si>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</si>
  <si>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</si>
  <si>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</si>
  <si>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</si>
  <si>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</si>
  <si>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</si>
  <si>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</si>
  <si>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</si>
  <si>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</si>
  <si>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</si>
  <si>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</si>
  <si>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</si>
  <si>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</si>
  <si>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</si>
  <si>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</si>
  <si>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</si>
  <si>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</si>
  <si>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</si>
  <si>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</si>
  <si>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</si>
  <si>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</si>
  <si>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</si>
  <si>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</si>
  <si>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</si>
  <si>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</si>
  <si>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</si>
  <si>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</si>
  <si>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</si>
  <si>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</si>
  <si>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</si>
  <si>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</si>
  <si>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</si>
  <si>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</si>
  <si>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</si>
  <si>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</si>
  <si>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</si>
  <si>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</si>
  <si>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</si>
  <si>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</si>
  <si>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</si>
  <si>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</si>
  <si>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</si>
  <si>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</si>
  <si>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</si>
  <si>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</si>
  <si>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</si>
  <si>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</si>
  <si>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</si>
  <si>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</si>
  <si>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</si>
  <si>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</si>
  <si>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</si>
  <si>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</si>
  <si>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</si>
  <si>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</si>
  <si>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</si>
  <si>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</si>
  <si>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</si>
  <si>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</si>
  <si>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</si>
  <si>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</si>
  <si>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</si>
  <si>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</si>
  <si>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</si>
  <si>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</si>
  <si>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</si>
  <si>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</si>
  <si>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</si>
  <si>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</si>
  <si>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</si>
  <si>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</si>
  <si>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</si>
  <si>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</si>
  <si>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</si>
  <si>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</si>
  <si>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</si>
  <si>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</si>
  <si>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</si>
  <si>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</si>
  <si>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</si>
  <si>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</si>
  <si>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</si>
  <si>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</si>
  <si>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</si>
  <si>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</si>
  <si>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</si>
  <si>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</si>
  <si>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</si>
  <si>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</si>
  <si>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</si>
  <si>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</si>
  <si>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</si>
  <si>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</si>
  <si>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</si>
  <si>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</si>
  <si>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</si>
  <si>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</si>
  <si>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</si>
  <si>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</si>
  <si>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</si>
  <si>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</si>
  <si>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</si>
  <si>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</si>
  <si>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</si>
  <si>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</si>
  <si>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</si>
  <si>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</si>
  <si>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</si>
  <si>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</si>
  <si>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</si>
  <si>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</si>
  <si>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</si>
  <si>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</si>
  <si>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</si>
  <si>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</si>
  <si>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</si>
  <si>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</si>
  <si>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</si>
  <si>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</si>
  <si>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</si>
  <si>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</si>
  <si>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</si>
  <si>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</si>
  <si>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</si>
  <si>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</si>
  <si>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</si>
  <si>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</si>
  <si>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</si>
  <si>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</si>
  <si>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</si>
  <si>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</si>
  <si>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</si>
  <si>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</si>
  <si>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</si>
  <si>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</si>
  <si>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</si>
  <si>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</si>
  <si>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</si>
  <si>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</si>
  <si>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</si>
  <si>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</si>
  <si>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</si>
  <si>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</si>
  <si>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</si>
  <si>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</si>
  <si>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</si>
  <si>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</si>
  <si>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</si>
  <si>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</si>
  <si>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</si>
  <si>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</si>
  <si>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</si>
  <si>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</si>
  <si>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</si>
  <si>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</si>
  <si>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</si>
  <si>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</si>
  <si>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</si>
  <si>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</si>
  <si>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</si>
  <si>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</si>
  <si>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</si>
  <si>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</si>
  <si>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</si>
  <si>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</si>
  <si>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</si>
  <si>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</si>
  <si>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</si>
  <si>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</si>
  <si>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</si>
  <si>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</si>
  <si>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</si>
  <si>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</si>
  <si>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</si>
  <si>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</si>
  <si>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</si>
  <si>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</si>
  <si>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</si>
  <si>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</si>
  <si>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</si>
  <si>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</si>
  <si>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</si>
  <si>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</si>
  <si>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</si>
  <si>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</si>
  <si>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</si>
  <si>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</si>
  <si>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</si>
  <si>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</si>
  <si>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</si>
  <si>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</si>
  <si>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</si>
  <si>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</si>
  <si>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</si>
  <si>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</si>
  <si>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</si>
  <si>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</si>
  <si>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</si>
  <si>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</si>
  <si>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</si>
  <si>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</si>
  <si>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</si>
  <si>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</si>
  <si>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</si>
  <si>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</si>
  <si>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</si>
  <si>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</si>
  <si>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</si>
  <si>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</si>
  <si>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</si>
  <si>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</si>
  <si>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</si>
  <si>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</si>
  <si>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</si>
  <si>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</si>
  <si>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</si>
  <si>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</si>
  <si>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</si>
  <si>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</si>
  <si>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</si>
  <si>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</si>
  <si>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</si>
  <si>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</si>
  <si>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</si>
  <si>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</si>
  <si>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</si>
  <si>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</si>
  <si>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</si>
  <si>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</si>
  <si>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</si>
  <si>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</si>
  <si>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</si>
  <si>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</si>
  <si>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</si>
  <si>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</si>
  <si>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</si>
  <si>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</si>
  <si>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</si>
  <si>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</si>
  <si>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</si>
  <si>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</si>
  <si>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</si>
  <si>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</si>
  <si>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</si>
  <si>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</si>
  <si>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</si>
  <si>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</si>
  <si>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</si>
  <si>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</si>
  <si>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</si>
  <si>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</si>
  <si>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</si>
  <si>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</si>
  <si>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</si>
  <si>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</si>
  <si>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</si>
  <si>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</si>
  <si>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</si>
  <si>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</si>
  <si>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</si>
  <si>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</si>
  <si>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</si>
  <si>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</si>
  <si>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</si>
  <si>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</si>
  <si>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</si>
  <si>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</si>
  <si>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</si>
  <si>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</si>
  <si>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</si>
  <si>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</si>
  <si>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</si>
  <si>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</si>
  <si>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</si>
  <si>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</si>
  <si>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</si>
  <si>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</si>
  <si>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</si>
  <si>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</si>
  <si>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</si>
  <si>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</si>
  <si>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</si>
  <si>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</si>
  <si>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</si>
  <si>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</si>
  <si>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</si>
  <si>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</si>
  <si>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</si>
  <si>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</si>
  <si>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</si>
  <si>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</si>
  <si>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</si>
  <si>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</si>
  <si>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</si>
  <si>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</si>
  <si>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</si>
  <si>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</si>
  <si>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</si>
  <si>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</si>
  <si>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</si>
  <si>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</si>
  <si>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</si>
  <si>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</si>
  <si>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</si>
  <si>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</si>
  <si>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</si>
  <si>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</si>
  <si>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</si>
  <si>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</si>
  <si>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</si>
  <si>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</si>
  <si>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</si>
  <si>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</si>
  <si>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</si>
  <si>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</si>
  <si>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</si>
  <si>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</si>
  <si>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</si>
  <si>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</si>
  <si>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</si>
  <si>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</si>
  <si>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</si>
  <si>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</si>
  <si>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</si>
  <si>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</si>
  <si>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</si>
  <si>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</si>
  <si>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</si>
  <si>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</si>
  <si>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</si>
  <si>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</si>
  <si>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</si>
  <si>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</si>
  <si>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</si>
  <si>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</si>
  <si>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</si>
  <si>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</si>
  <si>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</si>
  <si>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</si>
  <si>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</si>
  <si>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</si>
  <si>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</si>
  <si>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</si>
  <si>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</si>
  <si>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</si>
  <si>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</si>
  <si>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</si>
  <si>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</si>
  <si>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</si>
  <si>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</si>
  <si>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</si>
  <si>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</si>
  <si>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</si>
  <si>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</si>
  <si>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</si>
  <si>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</si>
  <si>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</si>
  <si>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</si>
  <si>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</si>
  <si>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</si>
  <si>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</si>
  <si>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</si>
  <si>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</si>
  <si>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</si>
  <si>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</si>
  <si>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</si>
  <si>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</si>
  <si>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</si>
  <si>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</si>
  <si>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</si>
  <si>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</si>
  <si>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</si>
  <si>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</si>
  <si>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</si>
  <si>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</si>
  <si>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</si>
  <si>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</si>
  <si>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</si>
  <si>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</si>
  <si>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</si>
  <si>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</si>
  <si>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</si>
  <si>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</si>
  <si>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</si>
  <si>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</si>
  <si>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</si>
  <si>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</si>
  <si>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</si>
  <si>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</si>
  <si>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</si>
  <si>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</si>
  <si>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</si>
  <si>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</si>
  <si>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</si>
  <si>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</si>
  <si>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</si>
  <si>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</si>
  <si>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</si>
  <si>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</si>
  <si>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</si>
  <si>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</si>
  <si>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</si>
  <si>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</si>
  <si>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</si>
  <si>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</si>
  <si>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</si>
  <si>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</si>
  <si>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</si>
  <si>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</si>
  <si>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</si>
  <si>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</si>
  <si>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</si>
  <si>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</si>
  <si>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</si>
  <si>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</si>
  <si>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</si>
  <si>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</si>
  <si>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</si>
  <si>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</si>
  <si>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</si>
  <si>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</si>
  <si>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</si>
  <si>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</si>
  <si>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</si>
  <si>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</si>
  <si>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</si>
  <si>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</si>
  <si>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</si>
  <si>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</si>
  <si>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</si>
  <si>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</si>
  <si>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</si>
  <si>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</si>
  <si>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</si>
  <si>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</si>
  <si>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</si>
  <si>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</si>
  <si>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</si>
  <si>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</si>
  <si>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</si>
  <si>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</si>
  <si>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</si>
  <si>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</si>
  <si>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</si>
  <si>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</si>
  <si>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</si>
  <si>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</si>
  <si>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</si>
  <si>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</si>
  <si>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</si>
  <si>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</si>
  <si>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</si>
  <si>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</si>
  <si>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</si>
  <si>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</si>
  <si>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</si>
  <si>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</si>
  <si>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</si>
  <si>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</si>
  <si>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</si>
  <si>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</si>
  <si>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</si>
  <si>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</si>
  <si>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</si>
  <si>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</si>
  <si>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</si>
  <si>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</si>
  <si>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</si>
  <si>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</si>
  <si>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</si>
  <si>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</si>
  <si>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</si>
  <si>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</si>
  <si>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</si>
  <si>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</si>
  <si>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</si>
  <si>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</si>
  <si>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</si>
  <si>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</si>
  <si>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</si>
  <si>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</si>
  <si>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</si>
  <si>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</si>
  <si>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</si>
  <si>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</si>
  <si>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</si>
  <si>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</si>
  <si>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</si>
  <si>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</si>
  <si>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</si>
  <si>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</si>
  <si>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</si>
  <si>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</si>
  <si>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</si>
  <si>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</si>
  <si>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</si>
  <si>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</si>
  <si>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</si>
  <si>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</si>
  <si>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</si>
  <si>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</si>
  <si>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</si>
  <si>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</si>
  <si>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</si>
  <si>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</si>
  <si>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</si>
  <si>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</si>
  <si>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</si>
  <si>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</si>
  <si>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</si>
  <si>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</si>
  <si>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</si>
  <si>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</si>
  <si>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</si>
  <si>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</si>
  <si>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</si>
  <si>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</si>
  <si>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</si>
  <si>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</si>
  <si>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</si>
  <si>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</si>
  <si>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</si>
  <si>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</si>
  <si>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</si>
  <si>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</si>
  <si>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</si>
  <si>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</si>
  <si>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</si>
  <si>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</si>
  <si>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</si>
  <si>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</si>
  <si>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</si>
  <si>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</si>
  <si>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</si>
  <si>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</si>
  <si>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</si>
  <si>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</si>
  <si>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</si>
  <si>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</si>
  <si>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</si>
  <si>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</si>
  <si>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</si>
  <si>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</si>
  <si>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</si>
  <si>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</si>
  <si>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</si>
  <si>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</si>
  <si>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</si>
  <si>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</si>
  <si>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</si>
  <si>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</si>
  <si>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</si>
  <si>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</si>
  <si>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</si>
  <si>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</si>
  <si>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</si>
  <si>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</si>
  <si>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</si>
  <si>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</si>
  <si>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</si>
  <si>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</si>
  <si>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</si>
  <si>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</si>
  <si>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</si>
  <si>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</si>
  <si>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</si>
  <si>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</si>
  <si>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</si>
  <si>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</si>
  <si>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</si>
  <si>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</si>
  <si>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</si>
  <si>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</si>
  <si>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</si>
  <si>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</si>
  <si>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</si>
  <si>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</si>
  <si>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</si>
  <si>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</si>
  <si>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</si>
  <si>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</si>
  <si>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</si>
  <si>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</si>
  <si>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</si>
  <si>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</si>
  <si>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</si>
  <si>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</si>
  <si>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</si>
  <si>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</si>
  <si>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</si>
  <si>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</si>
  <si>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</si>
  <si>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</si>
  <si>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</si>
  <si>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</si>
  <si>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</si>
  <si>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</si>
  <si>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</si>
  <si>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</si>
  <si>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</si>
  <si>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</si>
  <si>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</si>
  <si>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</si>
  <si>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</si>
  <si>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</si>
  <si>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</si>
  <si>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</si>
  <si>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</si>
  <si>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</si>
  <si>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</si>
  <si>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</si>
  <si>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</si>
  <si>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</si>
  <si>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</si>
  <si>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</si>
  <si>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</si>
  <si>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</si>
  <si>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</si>
  <si>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</si>
  <si>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</si>
  <si>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</si>
  <si>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</si>
  <si>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</si>
  <si>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</si>
  <si>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</si>
  <si>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</si>
  <si>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</si>
  <si>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</si>
  <si>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</si>
  <si>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</si>
  <si>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</si>
  <si>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</si>
  <si>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</si>
  <si>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</si>
  <si>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</si>
  <si>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</si>
  <si>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</si>
  <si>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</si>
  <si>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</si>
  <si>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</si>
  <si>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</si>
  <si>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</si>
  <si>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</si>
  <si>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</si>
  <si>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</si>
  <si>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</si>
  <si>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</si>
  <si>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</si>
  <si>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</si>
  <si>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</si>
  <si>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</si>
  <si>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</si>
  <si>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</si>
  <si>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</si>
  <si>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</si>
  <si>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</si>
  <si>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</si>
  <si>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</si>
  <si>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</si>
  <si>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</si>
  <si>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</si>
  <si>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</si>
  <si>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</si>
  <si>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</si>
  <si>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</si>
  <si>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</si>
  <si>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</si>
  <si>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</si>
  <si>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</si>
  <si>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</si>
  <si>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</si>
  <si>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</si>
  <si>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</si>
  <si>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</si>
  <si>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</si>
  <si>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</si>
  <si>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</si>
  <si>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</si>
  <si>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</si>
  <si>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</si>
  <si>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</si>
  <si>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</si>
  <si>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</si>
  <si>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</si>
  <si>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</si>
  <si>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</si>
  <si>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</si>
  <si>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</si>
  <si>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</si>
  <si>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</si>
  <si>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</si>
  <si>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</si>
  <si>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</si>
  <si>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</si>
  <si>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</si>
  <si>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</si>
  <si>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</si>
  <si>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</si>
  <si>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</si>
  <si>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</si>
  <si>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</si>
  <si>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</si>
  <si>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</si>
  <si>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</si>
  <si>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</si>
  <si>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</si>
  <si>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</si>
  <si>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</si>
  <si>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</si>
  <si>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</si>
  <si>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</si>
  <si>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</si>
  <si>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</si>
  <si>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</si>
  <si>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</si>
  <si>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</si>
  <si>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</si>
  <si>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</si>
  <si>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</si>
  <si>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</si>
  <si>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</si>
  <si>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</si>
  <si>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</si>
  <si>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</si>
  <si>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</si>
  <si>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</si>
  <si>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</si>
  <si>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</si>
  <si>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</si>
  <si>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</si>
  <si>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</si>
  <si>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</si>
  <si>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</si>
  <si>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</si>
  <si>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</si>
  <si>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</si>
  <si>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</si>
  <si>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</si>
  <si>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</si>
  <si>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</si>
  <si>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</si>
  <si>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</si>
  <si>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</si>
  <si>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</si>
  <si>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</si>
  <si>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</si>
  <si>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</si>
  <si>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</si>
  <si>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</si>
  <si>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</si>
  <si>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</si>
  <si>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</si>
  <si>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</si>
  <si>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</si>
  <si>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</si>
  <si>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</si>
  <si>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</si>
  <si>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</si>
  <si>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</si>
  <si>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</si>
  <si>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</si>
  <si>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</si>
  <si>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</si>
  <si>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</si>
  <si>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</si>
  <si>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</si>
  <si>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</si>
  <si>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</si>
  <si>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</si>
  <si>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</si>
  <si>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</si>
  <si>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</si>
  <si>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</si>
  <si>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</si>
  <si>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</si>
  <si>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</si>
  <si>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</si>
  <si>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</si>
  <si>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</si>
  <si>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</si>
  <si>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</si>
  <si>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</si>
  <si>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</si>
  <si>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</si>
  <si>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</si>
  <si>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</si>
  <si>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</si>
  <si>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</si>
  <si>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</si>
  <si>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</si>
  <si>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</si>
  <si>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</si>
  <si>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</si>
  <si>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</si>
  <si>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</si>
  <si>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</si>
  <si>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</si>
  <si>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</si>
  <si>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</si>
  <si>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</si>
  <si>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</si>
  <si>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</si>
  <si>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</si>
  <si>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</si>
  <si>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</si>
  <si>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</si>
  <si>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</si>
  <si>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</si>
  <si>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</si>
  <si>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</si>
  <si>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</si>
  <si>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</si>
  <si>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</si>
  <si>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</si>
  <si>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</si>
  <si>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</si>
  <si>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</si>
  <si>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</si>
  <si>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</si>
  <si>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</si>
  <si>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</si>
  <si>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</si>
  <si>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</si>
  <si>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</si>
  <si>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</si>
  <si>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</si>
  <si>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</si>
  <si>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</si>
  <si>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</si>
  <si>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</si>
  <si>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</si>
  <si>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</si>
  <si>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</si>
  <si>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</si>
  <si>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</si>
  <si>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</si>
  <si>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</si>
  <si>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</si>
  <si>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</si>
  <si>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</si>
  <si>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</si>
  <si>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</si>
  <si>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</si>
  <si>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</si>
  <si>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</si>
  <si>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</si>
  <si>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</si>
  <si>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</si>
  <si>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</si>
  <si>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</si>
  <si>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</si>
  <si>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</si>
  <si>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</si>
  <si>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</si>
  <si>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</si>
  <si>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</si>
  <si>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</si>
  <si>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</si>
  <si>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</si>
  <si>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</si>
  <si>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</si>
  <si>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</si>
  <si>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</si>
  <si>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</si>
  <si>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</si>
  <si>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</si>
  <si>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</si>
  <si>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</si>
  <si>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</si>
  <si>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</si>
  <si>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</si>
  <si>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</si>
  <si>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</si>
  <si>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</si>
  <si>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</si>
  <si>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</si>
  <si>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</si>
  <si>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</si>
  <si>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</si>
  <si>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</si>
  <si>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</si>
  <si>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</si>
  <si>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</si>
  <si>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</si>
  <si>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</si>
  <si>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</si>
  <si>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</si>
  <si>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</si>
  <si>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</si>
  <si>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</si>
  <si>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</si>
  <si>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</si>
  <si>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</si>
  <si>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</si>
  <si>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</si>
  <si>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</si>
  <si>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</si>
  <si>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</si>
  <si>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</si>
  <si>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</si>
  <si>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</si>
  <si>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</si>
  <si>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</si>
  <si>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</si>
  <si>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</si>
  <si>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</si>
  <si>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</si>
  <si>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</si>
  <si>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</si>
  <si>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</si>
  <si>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</si>
  <si>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</si>
  <si>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</si>
  <si>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</si>
  <si>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</si>
  <si>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</si>
  <si>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</si>
  <si>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</si>
  <si>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</si>
  <si>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</si>
  <si>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</si>
  <si>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</si>
  <si>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</si>
  <si>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</si>
  <si>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</si>
  <si>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</si>
  <si>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</si>
  <si>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</si>
  <si>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</si>
  <si>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</si>
  <si>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</si>
  <si>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</si>
  <si>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</si>
  <si>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</si>
  <si>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</si>
  <si>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</si>
  <si>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</si>
  <si>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</si>
  <si>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</si>
  <si>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</si>
  <si>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</si>
  <si>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</si>
  <si>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</si>
  <si>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</si>
  <si>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</si>
  <si>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</si>
  <si>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</si>
  <si>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</si>
  <si>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</si>
  <si>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</si>
  <si>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</si>
  <si>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</si>
  <si>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</si>
  <si>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</si>
  <si>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</si>
  <si>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</si>
  <si>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</si>
  <si>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</si>
  <si>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</si>
  <si>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</si>
  <si>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</si>
  <si>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</si>
  <si>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</si>
  <si>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</si>
  <si>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</si>
  <si>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</si>
  <si>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</si>
  <si>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</si>
  <si>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</si>
  <si>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</si>
  <si>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</si>
  <si>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</si>
  <si>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</si>
  <si>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</si>
  <si>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</si>
  <si>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</si>
  <si>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</si>
  <si>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</si>
  <si>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</si>
  <si>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</si>
  <si>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</si>
  <si>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</si>
  <si>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</si>
  <si>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</si>
  <si>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</si>
  <si>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</si>
  <si>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</si>
  <si>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</si>
  <si>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</si>
  <si>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</si>
  <si>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</si>
  <si>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</si>
  <si>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</si>
  <si>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</si>
  <si>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</si>
  <si>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</si>
  <si>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</si>
  <si>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</si>
  <si>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</si>
  <si>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</si>
  <si>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</si>
  <si>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</si>
  <si>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</si>
  <si>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</si>
  <si>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</si>
  <si>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</si>
  <si>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</si>
  <si>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</si>
  <si>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</si>
  <si>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</si>
  <si>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</si>
  <si>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</si>
  <si>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</si>
  <si>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</si>
  <si>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</si>
  <si>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</si>
  <si>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</si>
  <si>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</si>
  <si>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</si>
  <si>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</si>
  <si>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</si>
  <si>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</si>
  <si>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</si>
  <si>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</si>
  <si>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</si>
  <si>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</si>
  <si>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</si>
  <si>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</si>
  <si>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</si>
  <si>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</si>
  <si>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</si>
  <si>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</si>
  <si>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</si>
  <si>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</si>
  <si>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</si>
  <si>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</si>
  <si>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</si>
  <si>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</si>
  <si>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</si>
  <si>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</si>
  <si>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</si>
  <si>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</si>
  <si>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</si>
  <si>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</si>
  <si>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</si>
  <si>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</si>
  <si>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</si>
  <si>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</si>
  <si>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</si>
  <si>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</si>
  <si>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</si>
  <si>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</si>
  <si>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</si>
  <si>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</si>
  <si>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</si>
  <si>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</si>
  <si>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</si>
  <si>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</si>
  <si>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</si>
  <si>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</si>
  <si>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</si>
  <si>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</si>
  <si>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</si>
  <si>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</si>
  <si>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</si>
  <si>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</si>
  <si>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</si>
  <si>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</si>
  <si>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</si>
  <si>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</si>
  <si>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</si>
  <si>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</si>
  <si>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</si>
  <si>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</si>
  <si>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</si>
  <si>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</si>
  <si>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</si>
  <si>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</si>
  <si>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</si>
  <si>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</si>
  <si>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</si>
  <si>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</si>
  <si>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</si>
  <si>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</si>
  <si>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</si>
  <si>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</si>
  <si>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</si>
  <si>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</si>
  <si>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</si>
  <si>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</si>
  <si>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</si>
  <si>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</si>
  <si>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</si>
  <si>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</si>
  <si>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</si>
  <si>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</si>
  <si>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</si>
  <si>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</si>
  <si>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</si>
  <si>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</si>
  <si>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</si>
  <si>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</si>
  <si>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</si>
  <si>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</si>
  <si>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</si>
  <si>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</si>
  <si>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</si>
  <si>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</si>
  <si>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</si>
  <si>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</si>
  <si>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</si>
  <si>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</si>
  <si>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</si>
  <si>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</si>
  <si>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</si>
  <si>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</si>
  <si>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</si>
  <si>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</si>
  <si>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</si>
  <si>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</si>
  <si>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</si>
  <si>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</si>
  <si>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</si>
  <si>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</si>
  <si>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</si>
  <si>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</si>
  <si>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</si>
  <si>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</si>
  <si>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</si>
  <si>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</si>
  <si>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</si>
  <si>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</si>
  <si>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</si>
  <si>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</si>
  <si>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</si>
  <si>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</si>
  <si>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</si>
  <si>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</si>
  <si>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</si>
  <si>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</si>
  <si>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</si>
  <si>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</si>
  <si>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</si>
  <si>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</si>
  <si>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</si>
  <si>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</si>
  <si>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</si>
  <si>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</si>
  <si>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</si>
  <si>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</si>
  <si>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</si>
  <si>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</si>
  <si>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</si>
  <si>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</si>
  <si>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</si>
  <si>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</si>
  <si>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</si>
  <si>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</si>
  <si>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</si>
  <si>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</si>
  <si>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</si>
  <si>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</si>
  <si>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</si>
  <si>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</si>
  <si>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</si>
  <si>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</si>
  <si>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</si>
  <si>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</si>
  <si>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</si>
  <si>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</si>
  <si>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</si>
  <si>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</si>
  <si>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</si>
  <si>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</si>
  <si>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</si>
  <si>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</si>
  <si>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</si>
  <si>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</si>
  <si>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</si>
  <si>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</si>
  <si>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</si>
  <si>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</si>
  <si>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</si>
  <si>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</si>
  <si>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</si>
  <si>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</si>
  <si>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</si>
  <si>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</si>
  <si>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</si>
  <si>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</si>
  <si>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</si>
  <si>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</si>
  <si>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</si>
  <si>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</si>
  <si>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</si>
  <si>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</si>
  <si>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</si>
  <si>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</si>
  <si>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</si>
  <si>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</si>
  <si>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</si>
  <si>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</si>
  <si>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</si>
  <si>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</si>
  <si>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</si>
  <si>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</si>
  <si>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</si>
  <si>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</si>
  <si>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</si>
  <si>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</si>
  <si>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</si>
  <si>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</si>
  <si>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</si>
  <si>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</si>
  <si>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</si>
  <si>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</si>
  <si>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</si>
  <si>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</si>
  <si>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</si>
  <si>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</si>
  <si>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</si>
  <si>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</si>
  <si>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</si>
  <si>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</si>
  <si>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</si>
  <si>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</si>
  <si>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</si>
  <si>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</si>
  <si>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</si>
  <si>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</si>
  <si>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</si>
  <si>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</si>
  <si>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</si>
  <si>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</si>
  <si>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</si>
  <si>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</si>
  <si>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</si>
  <si>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</si>
  <si>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</si>
  <si>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</si>
  <si>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</si>
  <si>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</si>
  <si>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</si>
  <si>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</si>
  <si>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</si>
  <si>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</si>
  <si>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</si>
  <si>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</si>
  <si>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</si>
  <si>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</si>
  <si>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</si>
  <si>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</si>
  <si>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</si>
  <si>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</si>
  <si>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</si>
  <si>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</si>
  <si>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</si>
  <si>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</si>
  <si>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</si>
  <si>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</si>
  <si>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</si>
  <si>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</si>
  <si>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</si>
  <si>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</si>
  <si>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</si>
  <si>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</si>
  <si>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</si>
  <si>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</si>
  <si>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</si>
  <si>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</si>
  <si>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</si>
  <si>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</si>
  <si>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</si>
  <si>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</si>
  <si>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</si>
  <si>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</si>
  <si>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</si>
  <si>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</si>
  <si>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</si>
  <si>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</si>
  <si>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</si>
  <si>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</si>
  <si>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</si>
  <si>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</si>
  <si>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</si>
  <si>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</si>
  <si>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</si>
  <si>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</si>
  <si>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</si>
  <si>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</si>
  <si>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</si>
  <si>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</si>
  <si>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</si>
  <si>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</si>
  <si>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</si>
  <si>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</si>
  <si>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</si>
  <si>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</si>
  <si>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</si>
  <si>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</si>
  <si>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</si>
  <si>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</si>
  <si>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</si>
  <si>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</si>
  <si>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</si>
  <si>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</si>
  <si>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</si>
  <si>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</si>
  <si>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</si>
  <si>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</si>
  <si>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</si>
  <si>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</si>
  <si>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</si>
  <si>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</si>
  <si>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</si>
  <si>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</si>
  <si>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</si>
  <si>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</si>
  <si>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</si>
  <si>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</si>
  <si>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</si>
  <si>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</si>
  <si>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</si>
  <si>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</si>
  <si>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</si>
  <si>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</si>
  <si>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</si>
  <si>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</si>
  <si>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</si>
  <si>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</si>
  <si>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</si>
  <si>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</si>
  <si>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</si>
  <si>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</si>
  <si>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</si>
  <si>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</si>
  <si>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</si>
  <si>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</si>
  <si>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</si>
  <si>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</si>
  <si>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</si>
  <si>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</si>
  <si>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</si>
  <si>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</si>
  <si>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</si>
  <si>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</si>
  <si>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</si>
  <si>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</si>
  <si>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</si>
  <si>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</si>
  <si>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</si>
  <si>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</si>
  <si>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</si>
  <si>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</si>
  <si>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</si>
  <si>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</si>
  <si>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</si>
  <si>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</si>
  <si>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</si>
  <si>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</si>
  <si>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</si>
  <si>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</si>
  <si>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</si>
  <si>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</si>
  <si>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</si>
  <si>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</si>
  <si>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</si>
  <si>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</si>
  <si>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</si>
  <si>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</si>
  <si>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</si>
  <si>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</si>
  <si>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</si>
  <si>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</si>
  <si>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</si>
  <si>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</si>
  <si>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</si>
  <si>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</si>
  <si>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</si>
  <si>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</si>
  <si>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</si>
  <si>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</si>
  <si>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</si>
  <si>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</si>
  <si>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</si>
  <si>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</si>
  <si>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</si>
  <si>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</si>
  <si>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</si>
  <si>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</si>
  <si>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</si>
  <si>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</si>
  <si>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</si>
  <si>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</si>
  <si>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</si>
  <si>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</si>
  <si>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</si>
  <si>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</si>
  <si>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</si>
  <si>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</si>
  <si>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</si>
  <si>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</si>
  <si>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</si>
  <si>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</si>
  <si>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</si>
  <si>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</si>
  <si>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</si>
  <si>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</si>
  <si>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</si>
  <si>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</si>
  <si>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</si>
  <si>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</si>
  <si>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</si>
  <si>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</si>
  <si>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</si>
  <si>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</si>
  <si>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</si>
  <si>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</si>
  <si>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</si>
  <si>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</si>
  <si>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</si>
  <si>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</si>
  <si>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</si>
  <si>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</si>
  <si>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</si>
  <si>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</si>
  <si>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</si>
  <si>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</si>
  <si>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</si>
  <si>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</si>
  <si>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</si>
  <si>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</si>
  <si>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</si>
  <si>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</si>
  <si>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</si>
  <si>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</si>
  <si>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</si>
  <si>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</si>
  <si>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</si>
  <si>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</si>
  <si>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</si>
  <si>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</si>
  <si>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</si>
  <si>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</si>
  <si>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</si>
  <si>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</si>
  <si>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</si>
  <si>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</si>
  <si>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</si>
  <si>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</si>
  <si>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</si>
  <si>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</si>
  <si>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</si>
  <si>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</si>
  <si>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</si>
  <si>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</si>
  <si>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</si>
  <si>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</si>
  <si>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</si>
  <si>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</si>
  <si>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</si>
  <si>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</si>
  <si>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</si>
  <si>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</si>
  <si>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</si>
  <si>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</si>
  <si>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</si>
  <si>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</si>
  <si>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</si>
  <si>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</si>
  <si>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</si>
  <si>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</si>
  <si>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</si>
  <si>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</si>
  <si>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</si>
  <si>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</si>
  <si>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</si>
  <si>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</si>
  <si>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</si>
  <si>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</si>
  <si>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</si>
  <si>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</si>
  <si>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</si>
  <si>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</si>
  <si>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</si>
  <si>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</si>
  <si>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</si>
  <si>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</si>
  <si>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</si>
  <si>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</si>
  <si>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</si>
  <si>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</si>
  <si>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</si>
  <si>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</si>
  <si>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</si>
  <si>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</si>
  <si>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</si>
  <si>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</si>
  <si>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</si>
  <si>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</si>
  <si>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</si>
  <si>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</si>
  <si>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</si>
  <si>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</si>
  <si>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</si>
  <si>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</si>
  <si>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</si>
  <si>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</si>
  <si>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</si>
  <si>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</si>
  <si>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</si>
  <si>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</si>
  <si>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</si>
  <si>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</si>
  <si>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</si>
  <si>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</si>
  <si>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</si>
  <si>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</si>
  <si>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</si>
  <si>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</si>
  <si>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</si>
  <si>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</si>
  <si>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</si>
  <si>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</si>
  <si>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</si>
  <si>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</si>
  <si>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</si>
  <si>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</si>
  <si>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</si>
  <si>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</si>
  <si>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</si>
  <si>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</si>
  <si>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</si>
  <si>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</si>
  <si>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</si>
  <si>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</si>
  <si>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</si>
  <si>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</si>
  <si>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</si>
  <si>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</si>
  <si>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</si>
  <si>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</si>
  <si>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</si>
  <si>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</si>
  <si>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</si>
  <si>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</si>
  <si>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</si>
  <si>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</si>
  <si>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</si>
  <si>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</si>
  <si>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</si>
  <si>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</si>
  <si>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</si>
  <si>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</si>
  <si>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</si>
  <si>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</si>
  <si>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</si>
  <si>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</si>
  <si>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</si>
  <si>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</si>
  <si>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</si>
  <si>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</si>
  <si>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</si>
  <si>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</si>
  <si>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</si>
  <si>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</si>
  <si>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</si>
  <si>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</si>
  <si>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</si>
  <si>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</si>
  <si>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</si>
  <si>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</si>
  <si>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</si>
  <si>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</si>
  <si>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</si>
  <si>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</si>
  <si>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</si>
  <si>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</si>
  <si>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</si>
  <si>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</si>
  <si>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</si>
  <si>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</si>
  <si>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</si>
  <si>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</si>
  <si>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</si>
  <si>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</si>
  <si>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</si>
  <si>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</si>
  <si>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</si>
  <si>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</si>
  <si>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</si>
  <si>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</si>
  <si>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</si>
  <si>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</si>
  <si>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</si>
  <si>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</si>
  <si>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</si>
  <si>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</si>
  <si>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</si>
  <si>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Avg MRR</t>
  </si>
  <si>
    <t>Average MRR by Plan and Billing Frequency</t>
  </si>
  <si>
    <t>Total MRR</t>
  </si>
  <si>
    <t>Total Subs</t>
  </si>
  <si>
    <t>TOTAL ARR</t>
  </si>
  <si>
    <t>Active Subscription</t>
  </si>
  <si>
    <t>month</t>
  </si>
  <si>
    <t>churn_events</t>
  </si>
  <si>
    <t>2023-01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</si>
  <si>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</si>
  <si>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</si>
  <si>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</si>
  <si>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</si>
  <si>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</si>
  <si>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</si>
  <si>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</si>
  <si>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</si>
  <si>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</si>
  <si>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</si>
  <si>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</si>
  <si>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</si>
  <si>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</si>
  <si>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</si>
  <si>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</si>
  <si>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</si>
  <si>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</si>
  <si>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</si>
  <si>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</si>
  <si>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</si>
  <si>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</si>
  <si>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</si>
  <si>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total_tickets</t>
  </si>
  <si>
    <t>avg_satisfaction</t>
  </si>
  <si>
    <t>total_mrr</t>
  </si>
  <si>
    <t>risk level</t>
  </si>
  <si>
    <t>Total MRR at Risk</t>
  </si>
  <si>
    <t>SaaS Retention Report</t>
  </si>
  <si>
    <t>Sheet 1: Account Summary — 500 accounts overview</t>
  </si>
  <si>
    <t>Sheet 2: Churn by Segment — Industry and plan breakdown</t>
  </si>
  <si>
    <t>Sheet 3: Revenue Summary — MRR and ARR analysis</t>
  </si>
  <si>
    <t>Sheet 4: Churn Trend — Monthly churn pattern</t>
  </si>
  <si>
    <t>Sheet 5: At Risk Accounts — 20 accounts to prioritise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</si>
</sst>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B0B0B"/>
      <name val="Courier New"/>
      <family val="3"/>
    </font>
    <font>
      <b/>
      <sz val="18"/>
      <color rgb="FF0B0B0B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B0B0B"/>
      <name val="Calibri"/>
      <family val="2"/>
      <scheme val="minor"/>
    </font>
    <font>
      <b/>
      <sz val="12"/>
      <color rgb="FF0B0B0B"/>
      <name val="Calibri"/>
      <family val="2"/>
      <scheme val="minor"/>
    </font>
    <font>
      <b/>
      <sz val="11"/>
      <color rgb="FF0B0B0B"/>
      <name val="Courier New"/>
      <family val="3"/>
    </font>
    <font>
      <sz val="24"/>
      <color theme="1"/>
      <name val="Calibri"/>
      <family val="2"/>
      <scheme val="minor"/>
    </font>
    <font>
      <b/>
      <sz val="14"/>
      <color rgb="FF0B0B0B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0" fontId="0" fillId="0" borderId="4" xfId="0" applyBorder="1"/>
    <xf numFmtId="0" fontId="0" fillId="0" borderId="7" xfId="0" applyBorder="1"/>
    <xf numFmtId="0" fontId="3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6" fillId="0" borderId="0" xfId="0" applyFont="1"/>
    <xf numFmtId="0" fontId="7" fillId="0" borderId="8" xfId="0" applyFont="1" applyBorder="1"/>
    <xf numFmtId="0" fontId="8" fillId="0" borderId="9" xfId="0" applyFont="1" applyBorder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colors>
    <mruColors>
      <color rgb="FFFF0000"/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[SaaS report.xlsx]churn_segment!PivotTable3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DevTools Churns at 31% — Highest Risk Industry</a:t>
            </a:r>
            <a:endParaRPr lang="en-IN"/>
          </a:p>
        </c:rich>
      </c:tx>
      <c:layout>
        <c:manualLayout>
          <c:xMode val="edge"/>
          <c:yMode val="edge"/>
          <c:x val="0.20317175344105329"/>
          <c:y val="4.1490813648293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350467803546413"/>
          <c:y val="0.2736268766404199"/>
          <c:w val="0.61639763779527557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churn_segment!$B$3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churn_segment!$A$4:$A$9</c:f>
              <c:strCache>
                <c:ptCount val="5"/>
                <c:pt idx="0">
                  <c:v>DevTools</c:v>
                </c:pt>
                <c:pt idx="1">
                  <c:v>FinTech</c:v>
                </c:pt>
                <c:pt idx="2">
                  <c:v>HealthTech</c:v>
                </c:pt>
                <c:pt idx="3">
                  <c:v>EdTech</c:v>
                </c:pt>
                <c:pt idx="4">
                  <c:v>Cybersecurity</c:v>
                </c:pt>
              </c:strCache>
            </c:strRef>
          </c:cat>
          <c:val>
            <c:numRef>
              <c:f>churn_segment!$B$4:$B$9</c:f>
              <c:numCache>
                <c:formatCode>0.0%</c:formatCode>
                <c:ptCount val="5"/>
                <c:pt idx="0">
                  <c:v>0.30973451327433627</c:v>
                </c:pt>
                <c:pt idx="1">
                  <c:v>0.22321428571428573</c:v>
                </c:pt>
                <c:pt idx="2">
                  <c:v>0.21875</c:v>
                </c:pt>
                <c:pt idx="3">
                  <c:v>0.16455696202531644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A-4721-A1FF-9833383CB4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7376720"/>
        <c:axId val="1217377200"/>
      </c:barChart>
      <c:catAx>
        <c:axId val="1217376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77200"/>
        <c:crosses val="autoZero"/>
        <c:auto val="1"/>
        <c:lblAlgn val="ctr"/>
        <c:lblOffset val="100"/>
        <c:noMultiLvlLbl val="0"/>
      </c:catAx>
      <c:valAx>
        <c:axId val="1217377200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7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[SaaS report.xlsx]Revenue 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Enterprise Plan Generates the Most Revenue</a:t>
            </a:r>
            <a:endParaRPr lang="en-IN" b="1"/>
          </a:p>
        </c:rich>
      </c:tx>
      <c:layout>
        <c:manualLayout>
          <c:xMode val="edge"/>
          <c:yMode val="edge"/>
          <c:x val="0.16335411198600175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6920384951881"/>
          <c:y val="0.21657188684747739"/>
          <c:w val="0.83953018372703414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summary'!$B$8</c:f>
              <c:strCache>
                <c:ptCount val="1"/>
                <c:pt idx="0">
                  <c:v>Total MRR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summary'!$A$9:$A$12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'Revenue summary'!$B$9:$B$12</c:f>
              <c:numCache>
                <c:formatCode>General</c:formatCode>
                <c:ptCount val="3"/>
                <c:pt idx="0">
                  <c:v>760437</c:v>
                </c:pt>
                <c:pt idx="1">
                  <c:v>8473221</c:v>
                </c:pt>
                <c:pt idx="2">
                  <c:v>2105089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F-486D-A128-E207587EC60C}"/>
            </c:ext>
          </c:extLst>
        </c:ser>
        <c:ser>
          <c:idx val="1"/>
          <c:order val="1"/>
          <c:tx>
            <c:strRef>
              <c:f>'Revenue summary'!$C$8</c:f>
              <c:strCache>
                <c:ptCount val="1"/>
                <c:pt idx="0">
                  <c:v>Total Subs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summary'!$A$9:$A$12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'Revenue summary'!$C$9:$C$12</c:f>
              <c:numCache>
                <c:formatCode>General</c:formatCode>
                <c:ptCount val="3"/>
                <c:pt idx="0">
                  <c:v>1356</c:v>
                </c:pt>
                <c:pt idx="1">
                  <c:v>1450</c:v>
                </c:pt>
                <c:pt idx="2">
                  <c:v>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F-486D-A128-E207587EC60C}"/>
            </c:ext>
          </c:extLst>
        </c:ser>
        <c:ser>
          <c:idx val="2"/>
          <c:order val="2"/>
          <c:tx>
            <c:strRef>
              <c:f>'Revenue summary'!$D$8</c:f>
              <c:strCache>
                <c:ptCount val="1"/>
                <c:pt idx="0">
                  <c:v>Avg MRR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summary'!$A$9:$A$12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'Revenue summary'!$D$9:$D$12</c:f>
              <c:numCache>
                <c:formatCode>General</c:formatCode>
                <c:ptCount val="3"/>
                <c:pt idx="0">
                  <c:v>560.79424778761063</c:v>
                </c:pt>
                <c:pt idx="1">
                  <c:v>5843.6006896551726</c:v>
                </c:pt>
                <c:pt idx="2">
                  <c:v>1486.6447740112994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1F-486D-A128-E207587EC6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2472336"/>
        <c:axId val="1252468016"/>
      </c:barChart>
      <c:catAx>
        <c:axId val="12524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68016"/>
        <c:crosses val="autoZero"/>
        <c:auto val="1"/>
        <c:lblAlgn val="ctr"/>
        <c:lblOffset val="100"/>
        <c:noMultiLvlLbl val="0"/>
      </c:catAx>
      <c:valAx>
        <c:axId val="125246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7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Churn Events-Consecutive Monthly Increases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 trend'!$B$1</c:f>
              <c:strCache>
                <c:ptCount val="1"/>
                <c:pt idx="0">
                  <c:v>churn_events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'Churn trend'!$A$2:$A$24</c:f>
              <c:strCache>
                <c:ptCount val="23"/>
                <c:pt idx="0">
                  <c:v>2023-01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</c:strCache>
            </c:strRef>
          </c:cat>
          <c:val>
            <c:numRef>
              <c:f>'Churn trend'!$B$2:$B$24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16</c:v>
                </c:pt>
                <c:pt idx="11">
                  <c:v>20</c:v>
                </c:pt>
                <c:pt idx="12">
                  <c:v>10</c:v>
                </c:pt>
                <c:pt idx="13">
                  <c:v>24</c:v>
                </c:pt>
                <c:pt idx="14">
                  <c:v>25</c:v>
                </c:pt>
                <c:pt idx="15">
                  <c:v>27</c:v>
                </c:pt>
                <c:pt idx="16">
                  <c:v>40</c:v>
                </c:pt>
                <c:pt idx="17">
                  <c:v>35</c:v>
                </c:pt>
                <c:pt idx="18">
                  <c:v>42</c:v>
                </c:pt>
                <c:pt idx="19">
                  <c:v>53</c:v>
                </c:pt>
                <c:pt idx="20">
                  <c:v>66</c:v>
                </c:pt>
                <c:pt idx="21">
                  <c:v>68</c:v>
                </c:pt>
                <c:pt idx="2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5-4BBF-B7F0-D6E817DF6B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43777776"/>
        <c:axId val="1141809008"/>
      </c:lineChart>
      <c:catAx>
        <c:axId val="114377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809008"/>
        <c:crosses val="autoZero"/>
        <c:auto val="1"/>
        <c:lblAlgn val="ctr"/>
        <c:lblOffset val="100"/>
        <c:noMultiLvlLbl val="0"/>
      </c:catAx>
      <c:valAx>
        <c:axId val="11418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7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0</xdr:row>
      <xdr:rowOff>156210</xdr:rowOff>
    </xdr:from>
    <xdr:to>
      <xdr:col>8</xdr:col>
      <xdr:colOff>297180</xdr:colOff>
      <xdr:row>13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A6090-A33B-407E-A907-F7B1223EF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4</xdr:row>
      <xdr:rowOff>3810</xdr:rowOff>
    </xdr:from>
    <xdr:to>
      <xdr:col>13</xdr:col>
      <xdr:colOff>198120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EE44E-60AF-3183-2EEE-BDBF66788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5</xdr:row>
      <xdr:rowOff>72390</xdr:rowOff>
    </xdr:from>
    <xdr:to>
      <xdr:col>15</xdr:col>
      <xdr:colOff>15240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C66A6-2265-BB73-CF1A-EC245A5EE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PTI " refreshedDate="46171.706353125002" createdVersion="8" refreshedVersion="8" minRefreshableVersion="3" recordCount="500" xr:uid="{3D042DFC-166F-473F-8C7F-12FFB24EC74E}">
  <cacheSource type="worksheet">
    <worksheetSource ref="A1:L501" sheet="account summary"/>
  </cacheSource>
  <cacheFields count="13">
    <cacheField name="account_id" numFmtId="0">
      <sharedItems/>
    </cacheField>
    <cacheField name="account_name" numFmtId="0">
      <sharedItems/>
    </cacheField>
    <cacheField name="industry" numFmtId="0">
      <sharedItems count="5">
        <s v="EdTech"/>
        <s v="FinTech"/>
        <s v="DevTools"/>
        <s v="HealthTech"/>
        <s v="Cybersecurity"/>
      </sharedItems>
    </cacheField>
    <cacheField name="country" numFmtId="0">
      <sharedItems/>
    </cacheField>
    <cacheField name="signup_date" numFmtId="14">
      <sharedItems containsSemiMixedTypes="0" containsNonDate="0" containsDate="1" containsString="0" minDate="2023-01-02T00:00:00" maxDate="2025-01-01T00:00:00"/>
    </cacheField>
    <cacheField name="referral_source" numFmtId="0">
      <sharedItems/>
    </cacheField>
    <cacheField name="plan_tier" numFmtId="0">
      <sharedItems/>
    </cacheField>
    <cacheField name="seats" numFmtId="1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churn_status" numFmtId="0">
      <sharedItems/>
    </cacheField>
    <cacheField name="churned_flag" numFmtId="0">
      <sharedItems containsSemiMixedTypes="0" containsString="0" containsNumber="1" containsInteger="1" minValue="0" maxValue="1"/>
    </cacheField>
    <cacheField name="Churn rate" numFmtId="0" formula="churned_flag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PTI " refreshedDate="46171.796405324072" createdVersion="8" refreshedVersion="8" minRefreshableVersion="3" recordCount="5000" xr:uid="{CD7F9442-39C0-455C-AEE2-9288BD987C96}">
  <cacheSource type="worksheet">
    <worksheetSource ref="A1:N5001" sheet="subscription_raw"/>
  </cacheSource>
  <cacheFields count="14">
    <cacheField name="subscription_id" numFmtId="0">
      <sharedItems/>
    </cacheField>
    <cacheField name="account_id" numFmtId="0">
      <sharedItems/>
    </cacheField>
    <cacheField name="start_date" numFmtId="14">
      <sharedItems containsSemiMixedTypes="0" containsNonDate="0" containsDate="1" containsString="0" minDate="2023-01-09T00:00:00" maxDate="2025-01-01T00:00:00"/>
    </cacheField>
    <cacheField name="end_date" numFmtId="14">
      <sharedItems containsNonDate="0" containsDate="1" containsString="0" containsBlank="1" minDate="2023-04-05T00:00:00" maxDate="2025-01-01T00:00:00"/>
    </cacheField>
    <cacheField name="plan_tier" numFmtId="0">
      <sharedItems count="3">
        <s v="Enterprise"/>
        <s v="Pro"/>
        <s v="Basic"/>
      </sharedItems>
    </cacheField>
    <cacheField name="seats" numFmtId="0">
      <sharedItems containsSemiMixedTypes="0" containsString="0" containsNumber="1" containsInteger="1" minValue="1" maxValue="189"/>
    </cacheField>
    <cacheField name="mrr_amount" numFmtId="0">
      <sharedItems containsSemiMixedTypes="0" containsString="0" containsNumber="1" containsInteger="1" minValue="0" maxValue="33830"/>
    </cacheField>
    <cacheField name="arr_amount" numFmtId="0">
      <sharedItems containsSemiMixedTypes="0" containsString="0" containsNumber="1" containsInteger="1" minValue="0" maxValue="405960"/>
    </cacheField>
    <cacheField name="is_trial" numFmtId="0">
      <sharedItems count="2">
        <b v="0"/>
        <b v="1"/>
      </sharedItems>
    </cacheField>
    <cacheField name="upgrade_flag" numFmtId="0">
      <sharedItems/>
    </cacheField>
    <cacheField name="downgrade_flag" numFmtId="0">
      <sharedItems/>
    </cacheField>
    <cacheField name="churn_flag" numFmtId="0">
      <sharedItems/>
    </cacheField>
    <cacheField name="billing_frequency" numFmtId="0">
      <sharedItems count="2">
        <s v="monthly"/>
        <s v="annual"/>
      </sharedItems>
    </cacheField>
    <cacheField name="auto_renew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2e4581"/>
    <s v="Company_0"/>
    <x v="0"/>
    <s v="US"/>
    <d v="2024-10-16T00:00:00"/>
    <s v="partner"/>
    <s v="Basic"/>
    <n v="9"/>
    <b v="0"/>
    <b v="0"/>
    <s v="Active"/>
    <n v="0"/>
  </r>
  <r>
    <s v="A-43a9e3"/>
    <s v="Company_1"/>
    <x v="1"/>
    <s v="IN"/>
    <d v="2023-08-17T00:00:00"/>
    <s v="other"/>
    <s v="Basic"/>
    <n v="18"/>
    <b v="0"/>
    <b v="1"/>
    <s v="Churned"/>
    <n v="1"/>
  </r>
  <r>
    <s v="A-0a282f"/>
    <s v="Company_2"/>
    <x v="2"/>
    <s v="US"/>
    <d v="2024-08-27T00:00:00"/>
    <s v="organic"/>
    <s v="Basic"/>
    <n v="1"/>
    <b v="0"/>
    <b v="0"/>
    <s v="Active"/>
    <n v="0"/>
  </r>
  <r>
    <s v="A-1f0ac7"/>
    <s v="Company_3"/>
    <x v="3"/>
    <s v="UK"/>
    <d v="2023-08-27T00:00:00"/>
    <s v="other"/>
    <s v="Basic"/>
    <n v="24"/>
    <b v="1"/>
    <b v="0"/>
    <s v="Active"/>
    <n v="0"/>
  </r>
  <r>
    <s v="A-ce550d"/>
    <s v="Company_4"/>
    <x v="3"/>
    <s v="US"/>
    <d v="2024-10-27T00:00:00"/>
    <s v="event"/>
    <s v="Enterprise"/>
    <n v="35"/>
    <b v="0"/>
    <b v="1"/>
    <s v="Churned"/>
    <n v="1"/>
  </r>
  <r>
    <s v="A-1b9609"/>
    <s v="Company_5"/>
    <x v="0"/>
    <s v="IN"/>
    <d v="2023-10-12T00:00:00"/>
    <s v="ads"/>
    <s v="Enterprise"/>
    <n v="4"/>
    <b v="0"/>
    <b v="0"/>
    <s v="Active"/>
    <n v="0"/>
  </r>
  <r>
    <s v="A-a0ca4e"/>
    <s v="Company_6"/>
    <x v="4"/>
    <s v="US"/>
    <d v="2024-03-08T00:00:00"/>
    <s v="ads"/>
    <s v="Pro"/>
    <n v="11"/>
    <b v="0"/>
    <b v="0"/>
    <s v="Active"/>
    <n v="0"/>
  </r>
  <r>
    <s v="A-e5d6ab"/>
    <s v="Company_7"/>
    <x v="0"/>
    <s v="US"/>
    <d v="2023-04-15T00:00:00"/>
    <s v="partner"/>
    <s v="Pro"/>
    <n v="3"/>
    <b v="0"/>
    <b v="0"/>
    <s v="Active"/>
    <n v="0"/>
  </r>
  <r>
    <s v="A-7dacce"/>
    <s v="Company_8"/>
    <x v="4"/>
    <s v="CA"/>
    <d v="2024-09-10T00:00:00"/>
    <s v="event"/>
    <s v="Enterprise"/>
    <n v="12"/>
    <b v="0"/>
    <b v="1"/>
    <s v="Churned"/>
    <n v="1"/>
  </r>
  <r>
    <s v="A-10b8da"/>
    <s v="Company_9"/>
    <x v="2"/>
    <s v="US"/>
    <d v="2023-05-08T00:00:00"/>
    <s v="partner"/>
    <s v="Enterprise"/>
    <n v="14"/>
    <b v="0"/>
    <b v="1"/>
    <s v="Churned"/>
    <n v="1"/>
  </r>
  <r>
    <s v="A-592832"/>
    <s v="Company_10"/>
    <x v="4"/>
    <s v="US"/>
    <d v="2024-09-25T00:00:00"/>
    <s v="organic"/>
    <s v="Basic"/>
    <n v="18"/>
    <b v="0"/>
    <b v="1"/>
    <s v="Churned"/>
    <n v="1"/>
  </r>
  <r>
    <s v="A-d40bf7"/>
    <s v="Company_11"/>
    <x v="1"/>
    <s v="IN"/>
    <d v="2024-11-08T00:00:00"/>
    <s v="organic"/>
    <s v="Basic"/>
    <n v="59"/>
    <b v="0"/>
    <b v="0"/>
    <s v="Active"/>
    <n v="0"/>
  </r>
  <r>
    <s v="A-6c093d"/>
    <s v="Company_12"/>
    <x v="2"/>
    <s v="US"/>
    <d v="2023-04-14T00:00:00"/>
    <s v="partner"/>
    <s v="Basic"/>
    <n v="7"/>
    <b v="1"/>
    <b v="0"/>
    <s v="Active"/>
    <n v="0"/>
  </r>
  <r>
    <s v="A-462d45"/>
    <s v="Company_13"/>
    <x v="4"/>
    <s v="US"/>
    <d v="2024-01-15T00:00:00"/>
    <s v="partner"/>
    <s v="Enterprise"/>
    <n v="11"/>
    <b v="1"/>
    <b v="0"/>
    <s v="Active"/>
    <n v="0"/>
  </r>
  <r>
    <s v="A-956988"/>
    <s v="Company_14"/>
    <x v="0"/>
    <s v="UK"/>
    <d v="2024-11-30T00:00:00"/>
    <s v="ads"/>
    <s v="Enterprise"/>
    <n v="1"/>
    <b v="0"/>
    <b v="0"/>
    <s v="Active"/>
    <n v="0"/>
  </r>
  <r>
    <s v="A-ac14bb"/>
    <s v="Company_15"/>
    <x v="1"/>
    <s v="US"/>
    <d v="2023-09-08T00:00:00"/>
    <s v="partner"/>
    <s v="Enterprise"/>
    <n v="21"/>
    <b v="0"/>
    <b v="0"/>
    <s v="Active"/>
    <n v="0"/>
  </r>
  <r>
    <s v="A-463db0"/>
    <s v="Company_16"/>
    <x v="3"/>
    <s v="US"/>
    <d v="2024-12-05T00:00:00"/>
    <s v="partner"/>
    <s v="Basic"/>
    <n v="15"/>
    <b v="0"/>
    <b v="0"/>
    <s v="Active"/>
    <n v="0"/>
  </r>
  <r>
    <s v="A-ce66f8"/>
    <s v="Company_17"/>
    <x v="0"/>
    <s v="CA"/>
    <d v="2023-08-23T00:00:00"/>
    <s v="event"/>
    <s v="Pro"/>
    <n v="29"/>
    <b v="0"/>
    <b v="0"/>
    <s v="Active"/>
    <n v="0"/>
  </r>
  <r>
    <s v="A-c4ea60"/>
    <s v="Company_18"/>
    <x v="1"/>
    <s v="DE"/>
    <d v="2023-03-09T00:00:00"/>
    <s v="other"/>
    <s v="Enterprise"/>
    <n v="18"/>
    <b v="0"/>
    <b v="1"/>
    <s v="Churned"/>
    <n v="1"/>
  </r>
  <r>
    <s v="A-832ec2"/>
    <s v="Company_19"/>
    <x v="1"/>
    <s v="UK"/>
    <d v="2023-11-19T00:00:00"/>
    <s v="event"/>
    <s v="Enterprise"/>
    <n v="4"/>
    <b v="1"/>
    <b v="0"/>
    <s v="Active"/>
    <n v="0"/>
  </r>
  <r>
    <s v="A-684255"/>
    <s v="Company_20"/>
    <x v="1"/>
    <s v="US"/>
    <d v="2024-04-14T00:00:00"/>
    <s v="ads"/>
    <s v="Enterprise"/>
    <n v="9"/>
    <b v="0"/>
    <b v="0"/>
    <s v="Active"/>
    <n v="0"/>
  </r>
  <r>
    <s v="A-c42f1f"/>
    <s v="Company_21"/>
    <x v="3"/>
    <s v="US"/>
    <d v="2024-07-28T00:00:00"/>
    <s v="other"/>
    <s v="Pro"/>
    <n v="8"/>
    <b v="0"/>
    <b v="0"/>
    <s v="Active"/>
    <n v="0"/>
  </r>
  <r>
    <s v="A-4e44e8"/>
    <s v="Company_22"/>
    <x v="2"/>
    <s v="US"/>
    <d v="2024-08-20T00:00:00"/>
    <s v="ads"/>
    <s v="Enterprise"/>
    <n v="3"/>
    <b v="0"/>
    <b v="1"/>
    <s v="Churned"/>
    <n v="1"/>
  </r>
  <r>
    <s v="A-30b4ca"/>
    <s v="Company_23"/>
    <x v="0"/>
    <s v="IN"/>
    <d v="2024-05-20T00:00:00"/>
    <s v="organic"/>
    <s v="Basic"/>
    <n v="86"/>
    <b v="0"/>
    <b v="1"/>
    <s v="Churned"/>
    <n v="1"/>
  </r>
  <r>
    <s v="A-9f2731"/>
    <s v="Company_24"/>
    <x v="1"/>
    <s v="IN"/>
    <d v="2024-10-04T00:00:00"/>
    <s v="event"/>
    <s v="Enterprise"/>
    <n v="1"/>
    <b v="0"/>
    <b v="0"/>
    <s v="Active"/>
    <n v="0"/>
  </r>
  <r>
    <s v="A-32fb14"/>
    <s v="Company_25"/>
    <x v="2"/>
    <s v="US"/>
    <d v="2023-03-07T00:00:00"/>
    <s v="event"/>
    <s v="Enterprise"/>
    <n v="26"/>
    <b v="0"/>
    <b v="1"/>
    <s v="Churned"/>
    <n v="1"/>
  </r>
  <r>
    <s v="A-00cac8"/>
    <s v="Company_26"/>
    <x v="3"/>
    <s v="AU"/>
    <d v="2023-09-15T00:00:00"/>
    <s v="organic"/>
    <s v="Enterprise"/>
    <n v="8"/>
    <b v="1"/>
    <b v="0"/>
    <s v="Active"/>
    <n v="0"/>
  </r>
  <r>
    <s v="A-35083d"/>
    <s v="Company_27"/>
    <x v="3"/>
    <s v="IN"/>
    <d v="2023-04-28T00:00:00"/>
    <s v="partner"/>
    <s v="Basic"/>
    <n v="19"/>
    <b v="0"/>
    <b v="1"/>
    <s v="Churned"/>
    <n v="1"/>
  </r>
  <r>
    <s v="A-eb7fac"/>
    <s v="Company_28"/>
    <x v="2"/>
    <s v="US"/>
    <d v="2023-10-28T00:00:00"/>
    <s v="organic"/>
    <s v="Enterprise"/>
    <n v="7"/>
    <b v="0"/>
    <b v="0"/>
    <s v="Active"/>
    <n v="0"/>
  </r>
  <r>
    <s v="A-b20d99"/>
    <s v="Company_29"/>
    <x v="3"/>
    <s v="IN"/>
    <d v="2023-09-27T00:00:00"/>
    <s v="other"/>
    <s v="Basic"/>
    <n v="20"/>
    <b v="0"/>
    <b v="0"/>
    <s v="Active"/>
    <n v="0"/>
  </r>
  <r>
    <s v="A-396e5f"/>
    <s v="Company_30"/>
    <x v="4"/>
    <s v="CA"/>
    <d v="2024-10-02T00:00:00"/>
    <s v="other"/>
    <s v="Enterprise"/>
    <n v="2"/>
    <b v="0"/>
    <b v="0"/>
    <s v="Active"/>
    <n v="0"/>
  </r>
  <r>
    <s v="A-45ce7a"/>
    <s v="Company_31"/>
    <x v="1"/>
    <s v="US"/>
    <d v="2023-07-23T00:00:00"/>
    <s v="ads"/>
    <s v="Enterprise"/>
    <n v="16"/>
    <b v="0"/>
    <b v="0"/>
    <s v="Active"/>
    <n v="0"/>
  </r>
  <r>
    <s v="A-08e34e"/>
    <s v="Company_32"/>
    <x v="0"/>
    <s v="US"/>
    <d v="2024-06-27T00:00:00"/>
    <s v="event"/>
    <s v="Basic"/>
    <n v="14"/>
    <b v="0"/>
    <b v="1"/>
    <s v="Churned"/>
    <n v="1"/>
  </r>
  <r>
    <s v="A-8145a0"/>
    <s v="Company_33"/>
    <x v="4"/>
    <s v="AU"/>
    <d v="2023-04-25T00:00:00"/>
    <s v="partner"/>
    <s v="Basic"/>
    <n v="2"/>
    <b v="1"/>
    <b v="0"/>
    <s v="Active"/>
    <n v="0"/>
  </r>
  <r>
    <s v="A-bad8c1"/>
    <s v="Company_34"/>
    <x v="1"/>
    <s v="AU"/>
    <d v="2023-03-01T00:00:00"/>
    <s v="organic"/>
    <s v="Basic"/>
    <n v="7"/>
    <b v="0"/>
    <b v="0"/>
    <s v="Active"/>
    <n v="0"/>
  </r>
  <r>
    <s v="A-44dc83"/>
    <s v="Company_35"/>
    <x v="0"/>
    <s v="FR"/>
    <d v="2024-05-12T00:00:00"/>
    <s v="other"/>
    <s v="Basic"/>
    <n v="5"/>
    <b v="0"/>
    <b v="0"/>
    <s v="Active"/>
    <n v="0"/>
  </r>
  <r>
    <s v="A-f446b6"/>
    <s v="Company_36"/>
    <x v="2"/>
    <s v="DE"/>
    <d v="2023-05-12T00:00:00"/>
    <s v="ads"/>
    <s v="Pro"/>
    <n v="5"/>
    <b v="1"/>
    <b v="0"/>
    <s v="Active"/>
    <n v="0"/>
  </r>
  <r>
    <s v="A-a45270"/>
    <s v="Company_37"/>
    <x v="3"/>
    <s v="US"/>
    <d v="2024-06-24T00:00:00"/>
    <s v="ads"/>
    <s v="Enterprise"/>
    <n v="3"/>
    <b v="0"/>
    <b v="0"/>
    <s v="Active"/>
    <n v="0"/>
  </r>
  <r>
    <s v="A-854864"/>
    <s v="Company_38"/>
    <x v="1"/>
    <s v="IN"/>
    <d v="2024-12-07T00:00:00"/>
    <s v="event"/>
    <s v="Enterprise"/>
    <n v="20"/>
    <b v="0"/>
    <b v="0"/>
    <s v="Active"/>
    <n v="0"/>
  </r>
  <r>
    <s v="A-1b7577"/>
    <s v="Company_39"/>
    <x v="4"/>
    <s v="US"/>
    <d v="2024-10-27T00:00:00"/>
    <s v="other"/>
    <s v="Pro"/>
    <n v="4"/>
    <b v="0"/>
    <b v="0"/>
    <s v="Active"/>
    <n v="0"/>
  </r>
  <r>
    <s v="A-05f0e5"/>
    <s v="Company_40"/>
    <x v="1"/>
    <s v="US"/>
    <d v="2023-05-04T00:00:00"/>
    <s v="partner"/>
    <s v="Basic"/>
    <n v="32"/>
    <b v="0"/>
    <b v="0"/>
    <s v="Active"/>
    <n v="0"/>
  </r>
  <r>
    <s v="A-9077b0"/>
    <s v="Company_41"/>
    <x v="3"/>
    <s v="US"/>
    <d v="2024-08-25T00:00:00"/>
    <s v="ads"/>
    <s v="Basic"/>
    <n v="2"/>
    <b v="0"/>
    <b v="0"/>
    <s v="Active"/>
    <n v="0"/>
  </r>
  <r>
    <s v="A-7f8241"/>
    <s v="Company_42"/>
    <x v="0"/>
    <s v="US"/>
    <d v="2023-03-14T00:00:00"/>
    <s v="organic"/>
    <s v="Pro"/>
    <n v="34"/>
    <b v="0"/>
    <b v="1"/>
    <s v="Churned"/>
    <n v="1"/>
  </r>
  <r>
    <s v="A-2bc93d"/>
    <s v="Company_43"/>
    <x v="3"/>
    <s v="US"/>
    <d v="2023-03-14T00:00:00"/>
    <s v="event"/>
    <s v="Basic"/>
    <n v="14"/>
    <b v="0"/>
    <b v="0"/>
    <s v="Active"/>
    <n v="0"/>
  </r>
  <r>
    <s v="A-f3ff05"/>
    <s v="Company_44"/>
    <x v="1"/>
    <s v="IN"/>
    <d v="2024-07-06T00:00:00"/>
    <s v="other"/>
    <s v="Enterprise"/>
    <n v="2"/>
    <b v="0"/>
    <b v="0"/>
    <s v="Active"/>
    <n v="0"/>
  </r>
  <r>
    <s v="A-2d4502"/>
    <s v="Company_45"/>
    <x v="1"/>
    <s v="IN"/>
    <d v="2024-04-29T00:00:00"/>
    <s v="event"/>
    <s v="Basic"/>
    <n v="7"/>
    <b v="0"/>
    <b v="0"/>
    <s v="Active"/>
    <n v="0"/>
  </r>
  <r>
    <s v="A-6a4e2d"/>
    <s v="Company_46"/>
    <x v="0"/>
    <s v="UK"/>
    <d v="2023-04-07T00:00:00"/>
    <s v="partner"/>
    <s v="Pro"/>
    <n v="9"/>
    <b v="0"/>
    <b v="0"/>
    <s v="Active"/>
    <n v="0"/>
  </r>
  <r>
    <s v="A-eb7c38"/>
    <s v="Company_47"/>
    <x v="2"/>
    <s v="AU"/>
    <d v="2024-02-25T00:00:00"/>
    <s v="organic"/>
    <s v="Enterprise"/>
    <n v="5"/>
    <b v="0"/>
    <b v="0"/>
    <s v="Active"/>
    <n v="0"/>
  </r>
  <r>
    <s v="A-c37601"/>
    <s v="Company_48"/>
    <x v="0"/>
    <s v="US"/>
    <d v="2024-10-31T00:00:00"/>
    <s v="partner"/>
    <s v="Basic"/>
    <n v="6"/>
    <b v="1"/>
    <b v="0"/>
    <s v="Active"/>
    <n v="0"/>
  </r>
  <r>
    <s v="A-3b5cd1"/>
    <s v="Company_49"/>
    <x v="1"/>
    <s v="US"/>
    <d v="2023-09-12T00:00:00"/>
    <s v="event"/>
    <s v="Basic"/>
    <n v="13"/>
    <b v="1"/>
    <b v="0"/>
    <s v="Active"/>
    <n v="0"/>
  </r>
  <r>
    <s v="A-b2225d"/>
    <s v="Company_50"/>
    <x v="1"/>
    <s v="US"/>
    <d v="2024-03-08T00:00:00"/>
    <s v="ads"/>
    <s v="Basic"/>
    <n v="47"/>
    <b v="0"/>
    <b v="1"/>
    <s v="Churned"/>
    <n v="1"/>
  </r>
  <r>
    <s v="A-94f8c9"/>
    <s v="Company_51"/>
    <x v="3"/>
    <s v="US"/>
    <d v="2024-03-29T00:00:00"/>
    <s v="other"/>
    <s v="Basic"/>
    <n v="13"/>
    <b v="0"/>
    <b v="0"/>
    <s v="Active"/>
    <n v="0"/>
  </r>
  <r>
    <s v="A-02fac6"/>
    <s v="Company_52"/>
    <x v="1"/>
    <s v="US"/>
    <d v="2023-04-06T00:00:00"/>
    <s v="event"/>
    <s v="Pro"/>
    <n v="22"/>
    <b v="0"/>
    <b v="0"/>
    <s v="Active"/>
    <n v="0"/>
  </r>
  <r>
    <s v="A-c1dfe1"/>
    <s v="Company_53"/>
    <x v="2"/>
    <s v="DE"/>
    <d v="2023-08-07T00:00:00"/>
    <s v="ads"/>
    <s v="Pro"/>
    <n v="26"/>
    <b v="0"/>
    <b v="0"/>
    <s v="Active"/>
    <n v="0"/>
  </r>
  <r>
    <s v="A-32728c"/>
    <s v="Company_54"/>
    <x v="2"/>
    <s v="US"/>
    <d v="2023-01-03T00:00:00"/>
    <s v="event"/>
    <s v="Pro"/>
    <n v="20"/>
    <b v="0"/>
    <b v="1"/>
    <s v="Churned"/>
    <n v="1"/>
  </r>
  <r>
    <s v="A-4c38bc"/>
    <s v="Company_55"/>
    <x v="3"/>
    <s v="UK"/>
    <d v="2024-03-09T00:00:00"/>
    <s v="event"/>
    <s v="Basic"/>
    <n v="36"/>
    <b v="0"/>
    <b v="1"/>
    <s v="Churned"/>
    <n v="1"/>
  </r>
  <r>
    <s v="A-1b707d"/>
    <s v="Company_56"/>
    <x v="4"/>
    <s v="US"/>
    <d v="2023-07-14T00:00:00"/>
    <s v="organic"/>
    <s v="Enterprise"/>
    <n v="1"/>
    <b v="0"/>
    <b v="0"/>
    <s v="Active"/>
    <n v="0"/>
  </r>
  <r>
    <s v="A-6f8ad2"/>
    <s v="Company_57"/>
    <x v="0"/>
    <s v="IN"/>
    <d v="2024-07-09T00:00:00"/>
    <s v="organic"/>
    <s v="Basic"/>
    <n v="1"/>
    <b v="0"/>
    <b v="0"/>
    <s v="Active"/>
    <n v="0"/>
  </r>
  <r>
    <s v="A-4d1e75"/>
    <s v="Company_58"/>
    <x v="2"/>
    <s v="US"/>
    <d v="2024-08-21T00:00:00"/>
    <s v="other"/>
    <s v="Basic"/>
    <n v="20"/>
    <b v="0"/>
    <b v="0"/>
    <s v="Active"/>
    <n v="0"/>
  </r>
  <r>
    <s v="A-9ee962"/>
    <s v="Company_59"/>
    <x v="3"/>
    <s v="US"/>
    <d v="2023-02-28T00:00:00"/>
    <s v="ads"/>
    <s v="Basic"/>
    <n v="9"/>
    <b v="0"/>
    <b v="1"/>
    <s v="Churned"/>
    <n v="1"/>
  </r>
  <r>
    <s v="A-378b99"/>
    <s v="Company_60"/>
    <x v="0"/>
    <s v="UK"/>
    <d v="2024-09-01T00:00:00"/>
    <s v="ads"/>
    <s v="Pro"/>
    <n v="8"/>
    <b v="1"/>
    <b v="0"/>
    <s v="Active"/>
    <n v="0"/>
  </r>
  <r>
    <s v="A-94d3da"/>
    <s v="Company_61"/>
    <x v="3"/>
    <s v="US"/>
    <d v="2023-05-03T00:00:00"/>
    <s v="other"/>
    <s v="Basic"/>
    <n v="41"/>
    <b v="0"/>
    <b v="0"/>
    <s v="Active"/>
    <n v="0"/>
  </r>
  <r>
    <s v="A-e351e1"/>
    <s v="Company_62"/>
    <x v="0"/>
    <s v="US"/>
    <d v="2024-09-26T00:00:00"/>
    <s v="other"/>
    <s v="Enterprise"/>
    <n v="33"/>
    <b v="0"/>
    <b v="0"/>
    <s v="Active"/>
    <n v="0"/>
  </r>
  <r>
    <s v="A-9badbd"/>
    <s v="Company_63"/>
    <x v="4"/>
    <s v="DE"/>
    <d v="2024-06-19T00:00:00"/>
    <s v="ads"/>
    <s v="Enterprise"/>
    <n v="5"/>
    <b v="1"/>
    <b v="0"/>
    <s v="Active"/>
    <n v="0"/>
  </r>
  <r>
    <s v="A-7e0a10"/>
    <s v="Company_64"/>
    <x v="1"/>
    <s v="US"/>
    <d v="2023-11-18T00:00:00"/>
    <s v="ads"/>
    <s v="Enterprise"/>
    <n v="46"/>
    <b v="0"/>
    <b v="0"/>
    <s v="Active"/>
    <n v="0"/>
  </r>
  <r>
    <s v="A-118d55"/>
    <s v="Company_65"/>
    <x v="4"/>
    <s v="US"/>
    <d v="2024-10-22T00:00:00"/>
    <s v="organic"/>
    <s v="Basic"/>
    <n v="8"/>
    <b v="0"/>
    <b v="0"/>
    <s v="Active"/>
    <n v="0"/>
  </r>
  <r>
    <s v="A-526d93"/>
    <s v="Company_66"/>
    <x v="3"/>
    <s v="FR"/>
    <d v="2024-04-14T00:00:00"/>
    <s v="organic"/>
    <s v="Basic"/>
    <n v="43"/>
    <b v="0"/>
    <b v="0"/>
    <s v="Active"/>
    <n v="0"/>
  </r>
  <r>
    <s v="A-f92792"/>
    <s v="Company_67"/>
    <x v="1"/>
    <s v="US"/>
    <d v="2024-07-04T00:00:00"/>
    <s v="ads"/>
    <s v="Pro"/>
    <n v="1"/>
    <b v="0"/>
    <b v="0"/>
    <s v="Active"/>
    <n v="0"/>
  </r>
  <r>
    <s v="A-84ebe4"/>
    <s v="Company_68"/>
    <x v="1"/>
    <s v="US"/>
    <d v="2023-03-12T00:00:00"/>
    <s v="ads"/>
    <s v="Pro"/>
    <n v="18"/>
    <b v="1"/>
    <b v="1"/>
    <s v="Churned"/>
    <n v="1"/>
  </r>
  <r>
    <s v="A-5b4ebb"/>
    <s v="Company_69"/>
    <x v="4"/>
    <s v="UK"/>
    <d v="2024-07-10T00:00:00"/>
    <s v="other"/>
    <s v="Basic"/>
    <n v="21"/>
    <b v="1"/>
    <b v="1"/>
    <s v="Churned"/>
    <n v="1"/>
  </r>
  <r>
    <s v="A-2922b6"/>
    <s v="Company_70"/>
    <x v="3"/>
    <s v="US"/>
    <d v="2024-11-14T00:00:00"/>
    <s v="organic"/>
    <s v="Basic"/>
    <n v="15"/>
    <b v="0"/>
    <b v="0"/>
    <s v="Active"/>
    <n v="0"/>
  </r>
  <r>
    <s v="A-9b9fe9"/>
    <s v="Company_71"/>
    <x v="0"/>
    <s v="AU"/>
    <d v="2023-09-28T00:00:00"/>
    <s v="other"/>
    <s v="Basic"/>
    <n v="5"/>
    <b v="0"/>
    <b v="0"/>
    <s v="Active"/>
    <n v="0"/>
  </r>
  <r>
    <s v="A-a8b49c"/>
    <s v="Company_72"/>
    <x v="4"/>
    <s v="UK"/>
    <d v="2023-10-06T00:00:00"/>
    <s v="partner"/>
    <s v="Basic"/>
    <n v="7"/>
    <b v="0"/>
    <b v="0"/>
    <s v="Active"/>
    <n v="0"/>
  </r>
  <r>
    <s v="A-9174e0"/>
    <s v="Company_73"/>
    <x v="4"/>
    <s v="US"/>
    <d v="2024-12-04T00:00:00"/>
    <s v="partner"/>
    <s v="Basic"/>
    <n v="37"/>
    <b v="0"/>
    <b v="0"/>
    <s v="Active"/>
    <n v="0"/>
  </r>
  <r>
    <s v="A-a1bbb6"/>
    <s v="Company_74"/>
    <x v="2"/>
    <s v="CA"/>
    <d v="2023-04-05T00:00:00"/>
    <s v="organic"/>
    <s v="Basic"/>
    <n v="1"/>
    <b v="0"/>
    <b v="0"/>
    <s v="Active"/>
    <n v="0"/>
  </r>
  <r>
    <s v="A-c45b23"/>
    <s v="Company_75"/>
    <x v="1"/>
    <s v="UK"/>
    <d v="2023-12-08T00:00:00"/>
    <s v="partner"/>
    <s v="Basic"/>
    <n v="5"/>
    <b v="0"/>
    <b v="0"/>
    <s v="Active"/>
    <n v="0"/>
  </r>
  <r>
    <s v="A-02cd81"/>
    <s v="Company_76"/>
    <x v="3"/>
    <s v="IN"/>
    <d v="2024-03-28T00:00:00"/>
    <s v="other"/>
    <s v="Basic"/>
    <n v="44"/>
    <b v="0"/>
    <b v="0"/>
    <s v="Active"/>
    <n v="0"/>
  </r>
  <r>
    <s v="A-ee42db"/>
    <s v="Company_77"/>
    <x v="0"/>
    <s v="DE"/>
    <d v="2023-04-25T00:00:00"/>
    <s v="ads"/>
    <s v="Enterprise"/>
    <n v="13"/>
    <b v="0"/>
    <b v="0"/>
    <s v="Active"/>
    <n v="0"/>
  </r>
  <r>
    <s v="A-432483"/>
    <s v="Company_78"/>
    <x v="4"/>
    <s v="US"/>
    <d v="2023-02-06T00:00:00"/>
    <s v="ads"/>
    <s v="Pro"/>
    <n v="4"/>
    <b v="0"/>
    <b v="0"/>
    <s v="Active"/>
    <n v="0"/>
  </r>
  <r>
    <s v="A-9208f0"/>
    <s v="Company_79"/>
    <x v="0"/>
    <s v="US"/>
    <d v="2023-05-11T00:00:00"/>
    <s v="organic"/>
    <s v="Pro"/>
    <n v="1"/>
    <b v="0"/>
    <b v="1"/>
    <s v="Churned"/>
    <n v="1"/>
  </r>
  <r>
    <s v="A-98a59a"/>
    <s v="Company_80"/>
    <x v="1"/>
    <s v="UK"/>
    <d v="2023-08-04T00:00:00"/>
    <s v="partner"/>
    <s v="Enterprise"/>
    <n v="56"/>
    <b v="0"/>
    <b v="0"/>
    <s v="Active"/>
    <n v="0"/>
  </r>
  <r>
    <s v="A-fe79a5"/>
    <s v="Company_81"/>
    <x v="3"/>
    <s v="IN"/>
    <d v="2024-02-21T00:00:00"/>
    <s v="ads"/>
    <s v="Basic"/>
    <n v="9"/>
    <b v="1"/>
    <b v="0"/>
    <s v="Active"/>
    <n v="0"/>
  </r>
  <r>
    <s v="A-726cfa"/>
    <s v="Company_82"/>
    <x v="2"/>
    <s v="US"/>
    <d v="2023-07-01T00:00:00"/>
    <s v="partner"/>
    <s v="Pro"/>
    <n v="11"/>
    <b v="0"/>
    <b v="0"/>
    <s v="Active"/>
    <n v="0"/>
  </r>
  <r>
    <s v="A-c43359"/>
    <s v="Company_83"/>
    <x v="1"/>
    <s v="US"/>
    <d v="2024-11-16T00:00:00"/>
    <s v="organic"/>
    <s v="Pro"/>
    <n v="38"/>
    <b v="0"/>
    <b v="0"/>
    <s v="Active"/>
    <n v="0"/>
  </r>
  <r>
    <s v="A-271f46"/>
    <s v="Company_84"/>
    <x v="2"/>
    <s v="US"/>
    <d v="2023-02-09T00:00:00"/>
    <s v="event"/>
    <s v="Pro"/>
    <n v="38"/>
    <b v="0"/>
    <b v="1"/>
    <s v="Churned"/>
    <n v="1"/>
  </r>
  <r>
    <s v="A-157070"/>
    <s v="Company_85"/>
    <x v="1"/>
    <s v="US"/>
    <d v="2023-11-09T00:00:00"/>
    <s v="ads"/>
    <s v="Pro"/>
    <n v="16"/>
    <b v="0"/>
    <b v="0"/>
    <s v="Active"/>
    <n v="0"/>
  </r>
  <r>
    <s v="A-40a557"/>
    <s v="Company_86"/>
    <x v="4"/>
    <s v="AU"/>
    <d v="2023-12-03T00:00:00"/>
    <s v="partner"/>
    <s v="Pro"/>
    <n v="16"/>
    <b v="1"/>
    <b v="0"/>
    <s v="Active"/>
    <n v="0"/>
  </r>
  <r>
    <s v="A-66224b"/>
    <s v="Company_87"/>
    <x v="3"/>
    <s v="US"/>
    <d v="2024-10-18T00:00:00"/>
    <s v="other"/>
    <s v="Pro"/>
    <n v="92"/>
    <b v="1"/>
    <b v="0"/>
    <s v="Active"/>
    <n v="0"/>
  </r>
  <r>
    <s v="A-91e948"/>
    <s v="Company_88"/>
    <x v="0"/>
    <s v="AU"/>
    <d v="2023-01-29T00:00:00"/>
    <s v="partner"/>
    <s v="Basic"/>
    <n v="41"/>
    <b v="0"/>
    <b v="0"/>
    <s v="Active"/>
    <n v="0"/>
  </r>
  <r>
    <s v="A-104f1a"/>
    <s v="Company_89"/>
    <x v="4"/>
    <s v="US"/>
    <d v="2024-08-17T00:00:00"/>
    <s v="other"/>
    <s v="Pro"/>
    <n v="24"/>
    <b v="0"/>
    <b v="0"/>
    <s v="Active"/>
    <n v="0"/>
  </r>
  <r>
    <s v="A-7988d1"/>
    <s v="Company_90"/>
    <x v="4"/>
    <s v="US"/>
    <d v="2023-12-20T00:00:00"/>
    <s v="other"/>
    <s v="Basic"/>
    <n v="33"/>
    <b v="0"/>
    <b v="0"/>
    <s v="Active"/>
    <n v="0"/>
  </r>
  <r>
    <s v="A-faa28c"/>
    <s v="Company_91"/>
    <x v="3"/>
    <s v="US"/>
    <d v="2024-01-30T00:00:00"/>
    <s v="organic"/>
    <s v="Enterprise"/>
    <n v="48"/>
    <b v="0"/>
    <b v="0"/>
    <s v="Active"/>
    <n v="0"/>
  </r>
  <r>
    <s v="A-f25509"/>
    <s v="Company_92"/>
    <x v="0"/>
    <s v="US"/>
    <d v="2024-03-22T00:00:00"/>
    <s v="other"/>
    <s v="Enterprise"/>
    <n v="32"/>
    <b v="0"/>
    <b v="0"/>
    <s v="Active"/>
    <n v="0"/>
  </r>
  <r>
    <s v="A-3a7284"/>
    <s v="Company_93"/>
    <x v="1"/>
    <s v="US"/>
    <d v="2024-11-17T00:00:00"/>
    <s v="organic"/>
    <s v="Enterprise"/>
    <n v="31"/>
    <b v="0"/>
    <b v="0"/>
    <s v="Active"/>
    <n v="0"/>
  </r>
  <r>
    <s v="A-3a5ad8"/>
    <s v="Company_94"/>
    <x v="3"/>
    <s v="US"/>
    <d v="2023-12-05T00:00:00"/>
    <s v="organic"/>
    <s v="Enterprise"/>
    <n v="9"/>
    <b v="1"/>
    <b v="0"/>
    <s v="Active"/>
    <n v="0"/>
  </r>
  <r>
    <s v="A-65a46c"/>
    <s v="Company_95"/>
    <x v="3"/>
    <s v="US"/>
    <d v="2023-11-04T00:00:00"/>
    <s v="event"/>
    <s v="Pro"/>
    <n v="1"/>
    <b v="0"/>
    <b v="0"/>
    <s v="Active"/>
    <n v="0"/>
  </r>
  <r>
    <s v="A-8b25f2"/>
    <s v="Company_96"/>
    <x v="4"/>
    <s v="US"/>
    <d v="2024-02-17T00:00:00"/>
    <s v="ads"/>
    <s v="Pro"/>
    <n v="6"/>
    <b v="0"/>
    <b v="1"/>
    <s v="Churned"/>
    <n v="1"/>
  </r>
  <r>
    <s v="A-fabe19"/>
    <s v="Company_97"/>
    <x v="2"/>
    <s v="UK"/>
    <d v="2024-11-11T00:00:00"/>
    <s v="ads"/>
    <s v="Enterprise"/>
    <n v="1"/>
    <b v="0"/>
    <b v="0"/>
    <s v="Active"/>
    <n v="0"/>
  </r>
  <r>
    <s v="A-adc1f3"/>
    <s v="Company_98"/>
    <x v="4"/>
    <s v="US"/>
    <d v="2024-08-05T00:00:00"/>
    <s v="organic"/>
    <s v="Pro"/>
    <n v="2"/>
    <b v="0"/>
    <b v="0"/>
    <s v="Active"/>
    <n v="0"/>
  </r>
  <r>
    <s v="A-503d5a"/>
    <s v="Company_99"/>
    <x v="1"/>
    <s v="US"/>
    <d v="2023-10-21T00:00:00"/>
    <s v="other"/>
    <s v="Enterprise"/>
    <n v="4"/>
    <b v="0"/>
    <b v="1"/>
    <s v="Churned"/>
    <n v="1"/>
  </r>
  <r>
    <s v="A-fd7ad3"/>
    <s v="Company_100"/>
    <x v="4"/>
    <s v="US"/>
    <d v="2024-11-01T00:00:00"/>
    <s v="event"/>
    <s v="Enterprise"/>
    <n v="1"/>
    <b v="0"/>
    <b v="0"/>
    <s v="Active"/>
    <n v="0"/>
  </r>
  <r>
    <s v="A-186a44"/>
    <s v="Company_101"/>
    <x v="3"/>
    <s v="US"/>
    <d v="2023-08-07T00:00:00"/>
    <s v="ads"/>
    <s v="Enterprise"/>
    <n v="20"/>
    <b v="0"/>
    <b v="0"/>
    <s v="Active"/>
    <n v="0"/>
  </r>
  <r>
    <s v="A-e888d1"/>
    <s v="Company_102"/>
    <x v="4"/>
    <s v="US"/>
    <d v="2023-03-28T00:00:00"/>
    <s v="other"/>
    <s v="Pro"/>
    <n v="14"/>
    <b v="0"/>
    <b v="0"/>
    <s v="Active"/>
    <n v="0"/>
  </r>
  <r>
    <s v="A-69fad4"/>
    <s v="Company_103"/>
    <x v="1"/>
    <s v="UK"/>
    <d v="2023-04-06T00:00:00"/>
    <s v="ads"/>
    <s v="Basic"/>
    <n v="6"/>
    <b v="0"/>
    <b v="1"/>
    <s v="Churned"/>
    <n v="1"/>
  </r>
  <r>
    <s v="A-9289f6"/>
    <s v="Company_104"/>
    <x v="0"/>
    <s v="US"/>
    <d v="2023-05-31T00:00:00"/>
    <s v="event"/>
    <s v="Enterprise"/>
    <n v="1"/>
    <b v="0"/>
    <b v="0"/>
    <s v="Active"/>
    <n v="0"/>
  </r>
  <r>
    <s v="A-f19409"/>
    <s v="Company_105"/>
    <x v="2"/>
    <s v="US"/>
    <d v="2023-03-16T00:00:00"/>
    <s v="other"/>
    <s v="Basic"/>
    <n v="23"/>
    <b v="0"/>
    <b v="1"/>
    <s v="Churned"/>
    <n v="1"/>
  </r>
  <r>
    <s v="A-22f2df"/>
    <s v="Company_106"/>
    <x v="2"/>
    <s v="US"/>
    <d v="2024-12-14T00:00:00"/>
    <s v="ads"/>
    <s v="Basic"/>
    <n v="3"/>
    <b v="0"/>
    <b v="0"/>
    <s v="Active"/>
    <n v="0"/>
  </r>
  <r>
    <s v="A-039727"/>
    <s v="Company_107"/>
    <x v="0"/>
    <s v="AU"/>
    <d v="2024-11-02T00:00:00"/>
    <s v="organic"/>
    <s v="Pro"/>
    <n v="25"/>
    <b v="0"/>
    <b v="0"/>
    <s v="Active"/>
    <n v="0"/>
  </r>
  <r>
    <s v="A-2e3bad"/>
    <s v="Company_108"/>
    <x v="1"/>
    <s v="CA"/>
    <d v="2023-08-13T00:00:00"/>
    <s v="other"/>
    <s v="Pro"/>
    <n v="61"/>
    <b v="0"/>
    <b v="0"/>
    <s v="Active"/>
    <n v="0"/>
  </r>
  <r>
    <s v="A-484819"/>
    <s v="Company_109"/>
    <x v="3"/>
    <s v="US"/>
    <d v="2023-02-21T00:00:00"/>
    <s v="organic"/>
    <s v="Pro"/>
    <n v="18"/>
    <b v="0"/>
    <b v="0"/>
    <s v="Active"/>
    <n v="0"/>
  </r>
  <r>
    <s v="A-425e76"/>
    <s v="Company_110"/>
    <x v="2"/>
    <s v="UK"/>
    <d v="2023-05-17T00:00:00"/>
    <s v="other"/>
    <s v="Enterprise"/>
    <n v="8"/>
    <b v="0"/>
    <b v="1"/>
    <s v="Churned"/>
    <n v="1"/>
  </r>
  <r>
    <s v="A-e83938"/>
    <s v="Company_111"/>
    <x v="2"/>
    <s v="UK"/>
    <d v="2023-11-21T00:00:00"/>
    <s v="other"/>
    <s v="Pro"/>
    <n v="2"/>
    <b v="1"/>
    <b v="1"/>
    <s v="Churned"/>
    <n v="1"/>
  </r>
  <r>
    <s v="A-ad296b"/>
    <s v="Company_112"/>
    <x v="2"/>
    <s v="AU"/>
    <d v="2024-07-15T00:00:00"/>
    <s v="event"/>
    <s v="Pro"/>
    <n v="38"/>
    <b v="0"/>
    <b v="0"/>
    <s v="Active"/>
    <n v="0"/>
  </r>
  <r>
    <s v="A-e51ec7"/>
    <s v="Company_113"/>
    <x v="1"/>
    <s v="CA"/>
    <d v="2023-09-23T00:00:00"/>
    <s v="partner"/>
    <s v="Enterprise"/>
    <n v="2"/>
    <b v="0"/>
    <b v="0"/>
    <s v="Active"/>
    <n v="0"/>
  </r>
  <r>
    <s v="A-0aaf6e"/>
    <s v="Company_114"/>
    <x v="1"/>
    <s v="US"/>
    <d v="2024-05-11T00:00:00"/>
    <s v="organic"/>
    <s v="Enterprise"/>
    <n v="3"/>
    <b v="0"/>
    <b v="0"/>
    <s v="Active"/>
    <n v="0"/>
  </r>
  <r>
    <s v="A-e61e98"/>
    <s v="Company_115"/>
    <x v="1"/>
    <s v="US"/>
    <d v="2023-10-20T00:00:00"/>
    <s v="partner"/>
    <s v="Enterprise"/>
    <n v="19"/>
    <b v="0"/>
    <b v="1"/>
    <s v="Churned"/>
    <n v="1"/>
  </r>
  <r>
    <s v="A-92a333"/>
    <s v="Company_116"/>
    <x v="1"/>
    <s v="US"/>
    <d v="2023-03-24T00:00:00"/>
    <s v="event"/>
    <s v="Enterprise"/>
    <n v="9"/>
    <b v="0"/>
    <b v="0"/>
    <s v="Active"/>
    <n v="0"/>
  </r>
  <r>
    <s v="A-95b24a"/>
    <s v="Company_117"/>
    <x v="1"/>
    <s v="US"/>
    <d v="2023-06-06T00:00:00"/>
    <s v="event"/>
    <s v="Pro"/>
    <n v="38"/>
    <b v="0"/>
    <b v="1"/>
    <s v="Churned"/>
    <n v="1"/>
  </r>
  <r>
    <s v="A-42e5e1"/>
    <s v="Company_118"/>
    <x v="2"/>
    <s v="US"/>
    <d v="2024-07-09T00:00:00"/>
    <s v="ads"/>
    <s v="Pro"/>
    <n v="1"/>
    <b v="0"/>
    <b v="1"/>
    <s v="Churned"/>
    <n v="1"/>
  </r>
  <r>
    <s v="A-7d514c"/>
    <s v="Company_119"/>
    <x v="3"/>
    <s v="DE"/>
    <d v="2024-02-03T00:00:00"/>
    <s v="organic"/>
    <s v="Enterprise"/>
    <n v="17"/>
    <b v="0"/>
    <b v="0"/>
    <s v="Active"/>
    <n v="0"/>
  </r>
  <r>
    <s v="A-65aeb5"/>
    <s v="Company_120"/>
    <x v="2"/>
    <s v="US"/>
    <d v="2024-01-25T00:00:00"/>
    <s v="partner"/>
    <s v="Pro"/>
    <n v="9"/>
    <b v="0"/>
    <b v="0"/>
    <s v="Active"/>
    <n v="0"/>
  </r>
  <r>
    <s v="A-e2cd1b"/>
    <s v="Company_121"/>
    <x v="2"/>
    <s v="US"/>
    <d v="2024-02-04T00:00:00"/>
    <s v="other"/>
    <s v="Enterprise"/>
    <n v="15"/>
    <b v="0"/>
    <b v="0"/>
    <s v="Active"/>
    <n v="0"/>
  </r>
  <r>
    <s v="A-180abf"/>
    <s v="Company_122"/>
    <x v="2"/>
    <s v="US"/>
    <d v="2023-08-14T00:00:00"/>
    <s v="event"/>
    <s v="Pro"/>
    <n v="64"/>
    <b v="0"/>
    <b v="1"/>
    <s v="Churned"/>
    <n v="1"/>
  </r>
  <r>
    <s v="A-f17767"/>
    <s v="Company_123"/>
    <x v="2"/>
    <s v="US"/>
    <d v="2023-01-30T00:00:00"/>
    <s v="event"/>
    <s v="Enterprise"/>
    <n v="1"/>
    <b v="1"/>
    <b v="1"/>
    <s v="Churned"/>
    <n v="1"/>
  </r>
  <r>
    <s v="A-5a184f"/>
    <s v="Company_124"/>
    <x v="2"/>
    <s v="DE"/>
    <d v="2023-06-19T00:00:00"/>
    <s v="other"/>
    <s v="Enterprise"/>
    <n v="1"/>
    <b v="0"/>
    <b v="1"/>
    <s v="Churned"/>
    <n v="1"/>
  </r>
  <r>
    <s v="A-7df7a7"/>
    <s v="Company_125"/>
    <x v="2"/>
    <s v="US"/>
    <d v="2023-01-28T00:00:00"/>
    <s v="organic"/>
    <s v="Basic"/>
    <n v="7"/>
    <b v="0"/>
    <b v="1"/>
    <s v="Churned"/>
    <n v="1"/>
  </r>
  <r>
    <s v="A-1ac5e0"/>
    <s v="Company_126"/>
    <x v="2"/>
    <s v="US"/>
    <d v="2024-10-20T00:00:00"/>
    <s v="event"/>
    <s v="Basic"/>
    <n v="33"/>
    <b v="0"/>
    <b v="1"/>
    <s v="Churned"/>
    <n v="1"/>
  </r>
  <r>
    <s v="A-52dd88"/>
    <s v="Company_127"/>
    <x v="4"/>
    <s v="US"/>
    <d v="2023-02-21T00:00:00"/>
    <s v="ads"/>
    <s v="Pro"/>
    <n v="23"/>
    <b v="0"/>
    <b v="0"/>
    <s v="Active"/>
    <n v="0"/>
  </r>
  <r>
    <s v="A-bece89"/>
    <s v="Company_128"/>
    <x v="4"/>
    <s v="IN"/>
    <d v="2023-12-01T00:00:00"/>
    <s v="event"/>
    <s v="Pro"/>
    <n v="26"/>
    <b v="0"/>
    <b v="0"/>
    <s v="Active"/>
    <n v="0"/>
  </r>
  <r>
    <s v="A-029f69"/>
    <s v="Company_129"/>
    <x v="4"/>
    <s v="CA"/>
    <d v="2024-03-07T00:00:00"/>
    <s v="event"/>
    <s v="Basic"/>
    <n v="3"/>
    <b v="0"/>
    <b v="0"/>
    <s v="Active"/>
    <n v="0"/>
  </r>
  <r>
    <s v="A-5c046d"/>
    <s v="Company_130"/>
    <x v="0"/>
    <s v="FR"/>
    <d v="2024-07-06T00:00:00"/>
    <s v="partner"/>
    <s v="Basic"/>
    <n v="93"/>
    <b v="0"/>
    <b v="0"/>
    <s v="Active"/>
    <n v="0"/>
  </r>
  <r>
    <s v="A-fb186e"/>
    <s v="Company_131"/>
    <x v="0"/>
    <s v="IN"/>
    <d v="2024-10-27T00:00:00"/>
    <s v="organic"/>
    <s v="Basic"/>
    <n v="29"/>
    <b v="0"/>
    <b v="0"/>
    <s v="Active"/>
    <n v="0"/>
  </r>
  <r>
    <s v="A-ae052e"/>
    <s v="Company_132"/>
    <x v="1"/>
    <s v="CA"/>
    <d v="2023-09-11T00:00:00"/>
    <s v="other"/>
    <s v="Basic"/>
    <n v="39"/>
    <b v="0"/>
    <b v="0"/>
    <s v="Active"/>
    <n v="0"/>
  </r>
  <r>
    <s v="A-9f9299"/>
    <s v="Company_133"/>
    <x v="1"/>
    <s v="US"/>
    <d v="2023-09-02T00:00:00"/>
    <s v="organic"/>
    <s v="Enterprise"/>
    <n v="28"/>
    <b v="1"/>
    <b v="0"/>
    <s v="Active"/>
    <n v="0"/>
  </r>
  <r>
    <s v="A-96e141"/>
    <s v="Company_134"/>
    <x v="2"/>
    <s v="UK"/>
    <d v="2023-08-12T00:00:00"/>
    <s v="partner"/>
    <s v="Basic"/>
    <n v="14"/>
    <b v="0"/>
    <b v="0"/>
    <s v="Active"/>
    <n v="0"/>
  </r>
  <r>
    <s v="A-117171"/>
    <s v="Company_135"/>
    <x v="3"/>
    <s v="FR"/>
    <d v="2024-09-12T00:00:00"/>
    <s v="organic"/>
    <s v="Basic"/>
    <n v="45"/>
    <b v="0"/>
    <b v="1"/>
    <s v="Churned"/>
    <n v="1"/>
  </r>
  <r>
    <s v="A-313be3"/>
    <s v="Company_136"/>
    <x v="0"/>
    <s v="US"/>
    <d v="2023-11-15T00:00:00"/>
    <s v="partner"/>
    <s v="Enterprise"/>
    <n v="47"/>
    <b v="1"/>
    <b v="0"/>
    <s v="Active"/>
    <n v="0"/>
  </r>
  <r>
    <s v="A-671f31"/>
    <s v="Company_137"/>
    <x v="2"/>
    <s v="US"/>
    <d v="2024-11-24T00:00:00"/>
    <s v="ads"/>
    <s v="Basic"/>
    <n v="59"/>
    <b v="0"/>
    <b v="0"/>
    <s v="Active"/>
    <n v="0"/>
  </r>
  <r>
    <s v="A-bbc346"/>
    <s v="Company_138"/>
    <x v="1"/>
    <s v="US"/>
    <d v="2024-08-29T00:00:00"/>
    <s v="partner"/>
    <s v="Enterprise"/>
    <n v="19"/>
    <b v="0"/>
    <b v="0"/>
    <s v="Active"/>
    <n v="0"/>
  </r>
  <r>
    <s v="A-c16101"/>
    <s v="Company_139"/>
    <x v="0"/>
    <s v="IN"/>
    <d v="2024-09-06T00:00:00"/>
    <s v="other"/>
    <s v="Basic"/>
    <n v="7"/>
    <b v="0"/>
    <b v="0"/>
    <s v="Active"/>
    <n v="0"/>
  </r>
  <r>
    <s v="A-50f3f7"/>
    <s v="Company_140"/>
    <x v="3"/>
    <s v="US"/>
    <d v="2023-12-22T00:00:00"/>
    <s v="partner"/>
    <s v="Basic"/>
    <n v="31"/>
    <b v="0"/>
    <b v="1"/>
    <s v="Churned"/>
    <n v="1"/>
  </r>
  <r>
    <s v="A-7da956"/>
    <s v="Company_141"/>
    <x v="4"/>
    <s v="US"/>
    <d v="2024-06-02T00:00:00"/>
    <s v="event"/>
    <s v="Pro"/>
    <n v="13"/>
    <b v="1"/>
    <b v="0"/>
    <s v="Active"/>
    <n v="0"/>
  </r>
  <r>
    <s v="A-019782"/>
    <s v="Company_142"/>
    <x v="2"/>
    <s v="FR"/>
    <d v="2023-04-19T00:00:00"/>
    <s v="event"/>
    <s v="Enterprise"/>
    <n v="11"/>
    <b v="0"/>
    <b v="0"/>
    <s v="Active"/>
    <n v="0"/>
  </r>
  <r>
    <s v="A-df10db"/>
    <s v="Company_143"/>
    <x v="2"/>
    <s v="US"/>
    <d v="2023-06-06T00:00:00"/>
    <s v="other"/>
    <s v="Enterprise"/>
    <n v="2"/>
    <b v="1"/>
    <b v="0"/>
    <s v="Active"/>
    <n v="0"/>
  </r>
  <r>
    <s v="A-3932db"/>
    <s v="Company_144"/>
    <x v="3"/>
    <s v="CA"/>
    <d v="2023-10-04T00:00:00"/>
    <s v="other"/>
    <s v="Pro"/>
    <n v="19"/>
    <b v="1"/>
    <b v="1"/>
    <s v="Churned"/>
    <n v="1"/>
  </r>
  <r>
    <s v="A-4f18f0"/>
    <s v="Company_145"/>
    <x v="2"/>
    <s v="CA"/>
    <d v="2024-04-21T00:00:00"/>
    <s v="other"/>
    <s v="Pro"/>
    <n v="24"/>
    <b v="1"/>
    <b v="0"/>
    <s v="Active"/>
    <n v="0"/>
  </r>
  <r>
    <s v="A-4c6f11"/>
    <s v="Company_146"/>
    <x v="1"/>
    <s v="CA"/>
    <d v="2023-11-27T00:00:00"/>
    <s v="organic"/>
    <s v="Pro"/>
    <n v="24"/>
    <b v="1"/>
    <b v="1"/>
    <s v="Churned"/>
    <n v="1"/>
  </r>
  <r>
    <s v="A-8ae05d"/>
    <s v="Company_147"/>
    <x v="1"/>
    <s v="IN"/>
    <d v="2024-04-06T00:00:00"/>
    <s v="other"/>
    <s v="Enterprise"/>
    <n v="86"/>
    <b v="0"/>
    <b v="0"/>
    <s v="Active"/>
    <n v="0"/>
  </r>
  <r>
    <s v="A-b78bf8"/>
    <s v="Company_148"/>
    <x v="2"/>
    <s v="US"/>
    <d v="2024-11-15T00:00:00"/>
    <s v="event"/>
    <s v="Pro"/>
    <n v="33"/>
    <b v="0"/>
    <b v="0"/>
    <s v="Active"/>
    <n v="0"/>
  </r>
  <r>
    <s v="A-eafc6e"/>
    <s v="Company_149"/>
    <x v="2"/>
    <s v="US"/>
    <d v="2023-07-06T00:00:00"/>
    <s v="partner"/>
    <s v="Pro"/>
    <n v="27"/>
    <b v="0"/>
    <b v="1"/>
    <s v="Churned"/>
    <n v="1"/>
  </r>
  <r>
    <s v="A-37f969"/>
    <s v="Company_150"/>
    <x v="3"/>
    <s v="IN"/>
    <d v="2023-10-14T00:00:00"/>
    <s v="partner"/>
    <s v="Enterprise"/>
    <n v="30"/>
    <b v="0"/>
    <b v="0"/>
    <s v="Active"/>
    <n v="0"/>
  </r>
  <r>
    <s v="A-10b8f2"/>
    <s v="Company_151"/>
    <x v="3"/>
    <s v="DE"/>
    <d v="2023-01-11T00:00:00"/>
    <s v="organic"/>
    <s v="Basic"/>
    <n v="47"/>
    <b v="1"/>
    <b v="0"/>
    <s v="Active"/>
    <n v="0"/>
  </r>
  <r>
    <s v="A-439b2f"/>
    <s v="Company_152"/>
    <x v="2"/>
    <s v="US"/>
    <d v="2024-02-21T00:00:00"/>
    <s v="ads"/>
    <s v="Enterprise"/>
    <n v="1"/>
    <b v="0"/>
    <b v="1"/>
    <s v="Churned"/>
    <n v="1"/>
  </r>
  <r>
    <s v="A-544d0a"/>
    <s v="Company_153"/>
    <x v="2"/>
    <s v="US"/>
    <d v="2024-05-02T00:00:00"/>
    <s v="organic"/>
    <s v="Basic"/>
    <n v="2"/>
    <b v="1"/>
    <b v="0"/>
    <s v="Active"/>
    <n v="0"/>
  </r>
  <r>
    <s v="A-ba6516"/>
    <s v="Company_154"/>
    <x v="1"/>
    <s v="US"/>
    <d v="2023-10-29T00:00:00"/>
    <s v="ads"/>
    <s v="Pro"/>
    <n v="27"/>
    <b v="0"/>
    <b v="0"/>
    <s v="Active"/>
    <n v="0"/>
  </r>
  <r>
    <s v="A-712426"/>
    <s v="Company_155"/>
    <x v="3"/>
    <s v="US"/>
    <d v="2024-11-10T00:00:00"/>
    <s v="other"/>
    <s v="Enterprise"/>
    <n v="9"/>
    <b v="0"/>
    <b v="0"/>
    <s v="Active"/>
    <n v="0"/>
  </r>
  <r>
    <s v="A-038089"/>
    <s v="Company_156"/>
    <x v="2"/>
    <s v="FR"/>
    <d v="2023-12-19T00:00:00"/>
    <s v="other"/>
    <s v="Pro"/>
    <n v="5"/>
    <b v="0"/>
    <b v="1"/>
    <s v="Churned"/>
    <n v="1"/>
  </r>
  <r>
    <s v="A-afa505"/>
    <s v="Company_157"/>
    <x v="2"/>
    <s v="US"/>
    <d v="2023-12-27T00:00:00"/>
    <s v="partner"/>
    <s v="Basic"/>
    <n v="70"/>
    <b v="1"/>
    <b v="0"/>
    <s v="Active"/>
    <n v="0"/>
  </r>
  <r>
    <s v="A-d5a319"/>
    <s v="Company_158"/>
    <x v="1"/>
    <s v="US"/>
    <d v="2023-05-04T00:00:00"/>
    <s v="other"/>
    <s v="Enterprise"/>
    <n v="15"/>
    <b v="0"/>
    <b v="1"/>
    <s v="Churned"/>
    <n v="1"/>
  </r>
  <r>
    <s v="A-f97b9a"/>
    <s v="Company_159"/>
    <x v="1"/>
    <s v="US"/>
    <d v="2023-07-09T00:00:00"/>
    <s v="event"/>
    <s v="Pro"/>
    <n v="16"/>
    <b v="0"/>
    <b v="0"/>
    <s v="Active"/>
    <n v="0"/>
  </r>
  <r>
    <s v="A-2f6a32"/>
    <s v="Company_160"/>
    <x v="3"/>
    <s v="US"/>
    <d v="2024-08-26T00:00:00"/>
    <s v="organic"/>
    <s v="Basic"/>
    <n v="19"/>
    <b v="0"/>
    <b v="0"/>
    <s v="Active"/>
    <n v="0"/>
  </r>
  <r>
    <s v="A-856b1e"/>
    <s v="Company_161"/>
    <x v="1"/>
    <s v="US"/>
    <d v="2023-10-31T00:00:00"/>
    <s v="partner"/>
    <s v="Basic"/>
    <n v="19"/>
    <b v="0"/>
    <b v="0"/>
    <s v="Active"/>
    <n v="0"/>
  </r>
  <r>
    <s v="A-17939a"/>
    <s v="Company_162"/>
    <x v="3"/>
    <s v="US"/>
    <d v="2024-12-26T00:00:00"/>
    <s v="organic"/>
    <s v="Basic"/>
    <n v="1"/>
    <b v="0"/>
    <b v="0"/>
    <s v="Active"/>
    <n v="0"/>
  </r>
  <r>
    <s v="A-d27f50"/>
    <s v="Company_163"/>
    <x v="4"/>
    <s v="UK"/>
    <d v="2024-07-20T00:00:00"/>
    <s v="ads"/>
    <s v="Enterprise"/>
    <n v="44"/>
    <b v="0"/>
    <b v="0"/>
    <s v="Active"/>
    <n v="0"/>
  </r>
  <r>
    <s v="A-e36807"/>
    <s v="Company_164"/>
    <x v="0"/>
    <s v="AU"/>
    <d v="2024-05-17T00:00:00"/>
    <s v="other"/>
    <s v="Pro"/>
    <n v="6"/>
    <b v="0"/>
    <b v="0"/>
    <s v="Active"/>
    <n v="0"/>
  </r>
  <r>
    <s v="A-ff79f2"/>
    <s v="Company_165"/>
    <x v="2"/>
    <s v="US"/>
    <d v="2024-04-25T00:00:00"/>
    <s v="ads"/>
    <s v="Basic"/>
    <n v="8"/>
    <b v="0"/>
    <b v="1"/>
    <s v="Churned"/>
    <n v="1"/>
  </r>
  <r>
    <s v="A-5b1bcd"/>
    <s v="Company_166"/>
    <x v="2"/>
    <s v="US"/>
    <d v="2023-09-16T00:00:00"/>
    <s v="organic"/>
    <s v="Pro"/>
    <n v="73"/>
    <b v="0"/>
    <b v="0"/>
    <s v="Active"/>
    <n v="0"/>
  </r>
  <r>
    <s v="A-71615e"/>
    <s v="Company_167"/>
    <x v="0"/>
    <s v="US"/>
    <d v="2024-05-18T00:00:00"/>
    <s v="organic"/>
    <s v="Basic"/>
    <n v="15"/>
    <b v="0"/>
    <b v="0"/>
    <s v="Active"/>
    <n v="0"/>
  </r>
  <r>
    <s v="A-794a0b"/>
    <s v="Company_168"/>
    <x v="3"/>
    <s v="DE"/>
    <d v="2023-06-02T00:00:00"/>
    <s v="organic"/>
    <s v="Basic"/>
    <n v="23"/>
    <b v="0"/>
    <b v="0"/>
    <s v="Active"/>
    <n v="0"/>
  </r>
  <r>
    <s v="A-86902e"/>
    <s v="Company_169"/>
    <x v="3"/>
    <s v="IN"/>
    <d v="2023-05-02T00:00:00"/>
    <s v="other"/>
    <s v="Enterprise"/>
    <n v="34"/>
    <b v="0"/>
    <b v="0"/>
    <s v="Active"/>
    <n v="0"/>
  </r>
  <r>
    <s v="A-0532a9"/>
    <s v="Company_170"/>
    <x v="1"/>
    <s v="IN"/>
    <d v="2024-09-25T00:00:00"/>
    <s v="event"/>
    <s v="Pro"/>
    <n v="19"/>
    <b v="0"/>
    <b v="0"/>
    <s v="Active"/>
    <n v="0"/>
  </r>
  <r>
    <s v="A-9779ad"/>
    <s v="Company_171"/>
    <x v="4"/>
    <s v="AU"/>
    <d v="2024-03-29T00:00:00"/>
    <s v="event"/>
    <s v="Pro"/>
    <n v="40"/>
    <b v="1"/>
    <b v="1"/>
    <s v="Churned"/>
    <n v="1"/>
  </r>
  <r>
    <s v="A-f45426"/>
    <s v="Company_172"/>
    <x v="3"/>
    <s v="US"/>
    <d v="2024-08-05T00:00:00"/>
    <s v="organic"/>
    <s v="Basic"/>
    <n v="9"/>
    <b v="0"/>
    <b v="0"/>
    <s v="Active"/>
    <n v="0"/>
  </r>
  <r>
    <s v="A-c1e51e"/>
    <s v="Company_173"/>
    <x v="1"/>
    <s v="US"/>
    <d v="2024-10-02T00:00:00"/>
    <s v="organic"/>
    <s v="Basic"/>
    <n v="3"/>
    <b v="0"/>
    <b v="0"/>
    <s v="Active"/>
    <n v="0"/>
  </r>
  <r>
    <s v="A-fa3095"/>
    <s v="Company_174"/>
    <x v="1"/>
    <s v="US"/>
    <d v="2023-09-03T00:00:00"/>
    <s v="ads"/>
    <s v="Basic"/>
    <n v="70"/>
    <b v="0"/>
    <b v="0"/>
    <s v="Active"/>
    <n v="0"/>
  </r>
  <r>
    <s v="A-ad64c6"/>
    <s v="Company_175"/>
    <x v="2"/>
    <s v="UK"/>
    <d v="2024-02-23T00:00:00"/>
    <s v="event"/>
    <s v="Pro"/>
    <n v="12"/>
    <b v="0"/>
    <b v="0"/>
    <s v="Active"/>
    <n v="0"/>
  </r>
  <r>
    <s v="A-39b19f"/>
    <s v="Company_176"/>
    <x v="1"/>
    <s v="US"/>
    <d v="2023-02-03T00:00:00"/>
    <s v="partner"/>
    <s v="Enterprise"/>
    <n v="1"/>
    <b v="0"/>
    <b v="0"/>
    <s v="Active"/>
    <n v="0"/>
  </r>
  <r>
    <s v="A-56962b"/>
    <s v="Company_177"/>
    <x v="0"/>
    <s v="UK"/>
    <d v="2024-04-09T00:00:00"/>
    <s v="partner"/>
    <s v="Enterprise"/>
    <n v="163"/>
    <b v="0"/>
    <b v="0"/>
    <s v="Active"/>
    <n v="0"/>
  </r>
  <r>
    <s v="A-e60f9d"/>
    <s v="Company_178"/>
    <x v="1"/>
    <s v="US"/>
    <d v="2024-08-26T00:00:00"/>
    <s v="other"/>
    <s v="Basic"/>
    <n v="29"/>
    <b v="0"/>
    <b v="0"/>
    <s v="Active"/>
    <n v="0"/>
  </r>
  <r>
    <s v="A-88c6ca"/>
    <s v="Company_179"/>
    <x v="1"/>
    <s v="DE"/>
    <d v="2024-10-25T00:00:00"/>
    <s v="ads"/>
    <s v="Basic"/>
    <n v="5"/>
    <b v="0"/>
    <b v="1"/>
    <s v="Churned"/>
    <n v="1"/>
  </r>
  <r>
    <s v="A-158f4e"/>
    <s v="Company_180"/>
    <x v="1"/>
    <s v="IN"/>
    <d v="2023-03-03T00:00:00"/>
    <s v="other"/>
    <s v="Enterprise"/>
    <n v="61"/>
    <b v="0"/>
    <b v="0"/>
    <s v="Active"/>
    <n v="0"/>
  </r>
  <r>
    <s v="A-5b051a"/>
    <s v="Company_181"/>
    <x v="4"/>
    <s v="US"/>
    <d v="2024-08-05T00:00:00"/>
    <s v="event"/>
    <s v="Enterprise"/>
    <n v="22"/>
    <b v="0"/>
    <b v="0"/>
    <s v="Active"/>
    <n v="0"/>
  </r>
  <r>
    <s v="A-296d7c"/>
    <s v="Company_182"/>
    <x v="2"/>
    <s v="DE"/>
    <d v="2023-11-08T00:00:00"/>
    <s v="other"/>
    <s v="Enterprise"/>
    <n v="2"/>
    <b v="0"/>
    <b v="0"/>
    <s v="Active"/>
    <n v="0"/>
  </r>
  <r>
    <s v="A-1619f8"/>
    <s v="Company_183"/>
    <x v="2"/>
    <s v="US"/>
    <d v="2024-05-20T00:00:00"/>
    <s v="organic"/>
    <s v="Pro"/>
    <n v="29"/>
    <b v="0"/>
    <b v="0"/>
    <s v="Active"/>
    <n v="0"/>
  </r>
  <r>
    <s v="A-a1b80b"/>
    <s v="Company_184"/>
    <x v="3"/>
    <s v="US"/>
    <d v="2023-11-27T00:00:00"/>
    <s v="organic"/>
    <s v="Basic"/>
    <n v="16"/>
    <b v="0"/>
    <b v="0"/>
    <s v="Active"/>
    <n v="0"/>
  </r>
  <r>
    <s v="A-139c3b"/>
    <s v="Company_185"/>
    <x v="3"/>
    <s v="US"/>
    <d v="2024-11-21T00:00:00"/>
    <s v="organic"/>
    <s v="Enterprise"/>
    <n v="10"/>
    <b v="1"/>
    <b v="1"/>
    <s v="Churned"/>
    <n v="1"/>
  </r>
  <r>
    <s v="A-702032"/>
    <s v="Company_186"/>
    <x v="3"/>
    <s v="US"/>
    <d v="2023-10-03T00:00:00"/>
    <s v="ads"/>
    <s v="Pro"/>
    <n v="28"/>
    <b v="0"/>
    <b v="0"/>
    <s v="Active"/>
    <n v="0"/>
  </r>
  <r>
    <s v="A-7a0d69"/>
    <s v="Company_187"/>
    <x v="2"/>
    <s v="DE"/>
    <d v="2024-06-15T00:00:00"/>
    <s v="ads"/>
    <s v="Enterprise"/>
    <n v="4"/>
    <b v="1"/>
    <b v="1"/>
    <s v="Churned"/>
    <n v="1"/>
  </r>
  <r>
    <s v="A-22d9d2"/>
    <s v="Company_188"/>
    <x v="2"/>
    <s v="FR"/>
    <d v="2024-03-22T00:00:00"/>
    <s v="event"/>
    <s v="Pro"/>
    <n v="8"/>
    <b v="0"/>
    <b v="0"/>
    <s v="Active"/>
    <n v="0"/>
  </r>
  <r>
    <s v="A-b9eed8"/>
    <s v="Company_189"/>
    <x v="4"/>
    <s v="US"/>
    <d v="2024-02-23T00:00:00"/>
    <s v="organic"/>
    <s v="Basic"/>
    <n v="11"/>
    <b v="0"/>
    <b v="0"/>
    <s v="Active"/>
    <n v="0"/>
  </r>
  <r>
    <s v="A-dfbd31"/>
    <s v="Company_190"/>
    <x v="2"/>
    <s v="UK"/>
    <d v="2023-12-04T00:00:00"/>
    <s v="partner"/>
    <s v="Enterprise"/>
    <n v="14"/>
    <b v="0"/>
    <b v="0"/>
    <s v="Active"/>
    <n v="0"/>
  </r>
  <r>
    <s v="A-8e47ca"/>
    <s v="Company_191"/>
    <x v="3"/>
    <s v="US"/>
    <d v="2024-02-15T00:00:00"/>
    <s v="organic"/>
    <s v="Pro"/>
    <n v="19"/>
    <b v="0"/>
    <b v="0"/>
    <s v="Active"/>
    <n v="0"/>
  </r>
  <r>
    <s v="A-4437e4"/>
    <s v="Company_192"/>
    <x v="4"/>
    <s v="US"/>
    <d v="2023-09-16T00:00:00"/>
    <s v="event"/>
    <s v="Enterprise"/>
    <n v="3"/>
    <b v="0"/>
    <b v="0"/>
    <s v="Active"/>
    <n v="0"/>
  </r>
  <r>
    <s v="A-779e4e"/>
    <s v="Company_193"/>
    <x v="3"/>
    <s v="US"/>
    <d v="2023-01-02T00:00:00"/>
    <s v="organic"/>
    <s v="Basic"/>
    <n v="5"/>
    <b v="0"/>
    <b v="0"/>
    <s v="Active"/>
    <n v="0"/>
  </r>
  <r>
    <s v="A-53f4e3"/>
    <s v="Company_194"/>
    <x v="4"/>
    <s v="UK"/>
    <d v="2024-06-14T00:00:00"/>
    <s v="event"/>
    <s v="Enterprise"/>
    <n v="13"/>
    <b v="0"/>
    <b v="0"/>
    <s v="Active"/>
    <n v="0"/>
  </r>
  <r>
    <s v="A-692f18"/>
    <s v="Company_195"/>
    <x v="0"/>
    <s v="US"/>
    <d v="2024-03-28T00:00:00"/>
    <s v="other"/>
    <s v="Basic"/>
    <n v="5"/>
    <b v="1"/>
    <b v="1"/>
    <s v="Churned"/>
    <n v="1"/>
  </r>
  <r>
    <s v="A-13466a"/>
    <s v="Company_196"/>
    <x v="2"/>
    <s v="AU"/>
    <d v="2023-10-22T00:00:00"/>
    <s v="event"/>
    <s v="Basic"/>
    <n v="2"/>
    <b v="0"/>
    <b v="1"/>
    <s v="Churned"/>
    <n v="1"/>
  </r>
  <r>
    <s v="A-1986ca"/>
    <s v="Company_197"/>
    <x v="3"/>
    <s v="IN"/>
    <d v="2023-01-30T00:00:00"/>
    <s v="ads"/>
    <s v="Pro"/>
    <n v="20"/>
    <b v="0"/>
    <b v="0"/>
    <s v="Active"/>
    <n v="0"/>
  </r>
  <r>
    <s v="A-0cc442"/>
    <s v="Company_198"/>
    <x v="0"/>
    <s v="US"/>
    <d v="2024-07-18T00:00:00"/>
    <s v="organic"/>
    <s v="Basic"/>
    <n v="45"/>
    <b v="0"/>
    <b v="0"/>
    <s v="Active"/>
    <n v="0"/>
  </r>
  <r>
    <s v="A-c608c8"/>
    <s v="Company_199"/>
    <x v="2"/>
    <s v="DE"/>
    <d v="2023-04-27T00:00:00"/>
    <s v="ads"/>
    <s v="Pro"/>
    <n v="3"/>
    <b v="0"/>
    <b v="1"/>
    <s v="Churned"/>
    <n v="1"/>
  </r>
  <r>
    <s v="A-3be56b"/>
    <s v="Company_200"/>
    <x v="3"/>
    <s v="IN"/>
    <d v="2023-10-26T00:00:00"/>
    <s v="event"/>
    <s v="Pro"/>
    <n v="3"/>
    <b v="0"/>
    <b v="1"/>
    <s v="Churned"/>
    <n v="1"/>
  </r>
  <r>
    <s v="A-354f12"/>
    <s v="Company_201"/>
    <x v="1"/>
    <s v="US"/>
    <d v="2024-04-28T00:00:00"/>
    <s v="ads"/>
    <s v="Pro"/>
    <n v="1"/>
    <b v="1"/>
    <b v="0"/>
    <s v="Active"/>
    <n v="0"/>
  </r>
  <r>
    <s v="A-68f37c"/>
    <s v="Company_202"/>
    <x v="3"/>
    <s v="US"/>
    <d v="2023-07-15T00:00:00"/>
    <s v="ads"/>
    <s v="Basic"/>
    <n v="4"/>
    <b v="0"/>
    <b v="0"/>
    <s v="Active"/>
    <n v="0"/>
  </r>
  <r>
    <s v="A-aa9511"/>
    <s v="Company_203"/>
    <x v="2"/>
    <s v="US"/>
    <d v="2023-10-10T00:00:00"/>
    <s v="other"/>
    <s v="Pro"/>
    <n v="23"/>
    <b v="1"/>
    <b v="0"/>
    <s v="Active"/>
    <n v="0"/>
  </r>
  <r>
    <s v="A-af0cd2"/>
    <s v="Company_204"/>
    <x v="4"/>
    <s v="IN"/>
    <d v="2023-01-03T00:00:00"/>
    <s v="other"/>
    <s v="Enterprise"/>
    <n v="19"/>
    <b v="1"/>
    <b v="0"/>
    <s v="Active"/>
    <n v="0"/>
  </r>
  <r>
    <s v="A-bd4513"/>
    <s v="Company_205"/>
    <x v="2"/>
    <s v="AU"/>
    <d v="2024-11-06T00:00:00"/>
    <s v="event"/>
    <s v="Enterprise"/>
    <n v="50"/>
    <b v="1"/>
    <b v="0"/>
    <s v="Active"/>
    <n v="0"/>
  </r>
  <r>
    <s v="A-c222ab"/>
    <s v="Company_206"/>
    <x v="4"/>
    <s v="US"/>
    <d v="2024-05-10T00:00:00"/>
    <s v="other"/>
    <s v="Pro"/>
    <n v="32"/>
    <b v="0"/>
    <b v="1"/>
    <s v="Churned"/>
    <n v="1"/>
  </r>
  <r>
    <s v="A-34d880"/>
    <s v="Company_207"/>
    <x v="4"/>
    <s v="AU"/>
    <d v="2024-04-11T00:00:00"/>
    <s v="ads"/>
    <s v="Enterprise"/>
    <n v="4"/>
    <b v="0"/>
    <b v="0"/>
    <s v="Active"/>
    <n v="0"/>
  </r>
  <r>
    <s v="A-508199"/>
    <s v="Company_208"/>
    <x v="1"/>
    <s v="AU"/>
    <d v="2024-01-28T00:00:00"/>
    <s v="event"/>
    <s v="Basic"/>
    <n v="19"/>
    <b v="0"/>
    <b v="0"/>
    <s v="Active"/>
    <n v="0"/>
  </r>
  <r>
    <s v="A-f03140"/>
    <s v="Company_209"/>
    <x v="2"/>
    <s v="IN"/>
    <d v="2023-11-22T00:00:00"/>
    <s v="event"/>
    <s v="Pro"/>
    <n v="27"/>
    <b v="1"/>
    <b v="0"/>
    <s v="Active"/>
    <n v="0"/>
  </r>
  <r>
    <s v="A-410e86"/>
    <s v="Company_210"/>
    <x v="1"/>
    <s v="US"/>
    <d v="2024-11-10T00:00:00"/>
    <s v="organic"/>
    <s v="Basic"/>
    <n v="24"/>
    <b v="0"/>
    <b v="0"/>
    <s v="Active"/>
    <n v="0"/>
  </r>
  <r>
    <s v="A-fa2041"/>
    <s v="Company_211"/>
    <x v="3"/>
    <s v="US"/>
    <d v="2024-05-29T00:00:00"/>
    <s v="organic"/>
    <s v="Pro"/>
    <n v="15"/>
    <b v="1"/>
    <b v="0"/>
    <s v="Active"/>
    <n v="0"/>
  </r>
  <r>
    <s v="A-de58ca"/>
    <s v="Company_212"/>
    <x v="3"/>
    <s v="DE"/>
    <d v="2023-04-13T00:00:00"/>
    <s v="organic"/>
    <s v="Enterprise"/>
    <n v="15"/>
    <b v="0"/>
    <b v="0"/>
    <s v="Active"/>
    <n v="0"/>
  </r>
  <r>
    <s v="A-05d3b3"/>
    <s v="Company_213"/>
    <x v="2"/>
    <s v="AU"/>
    <d v="2023-05-28T00:00:00"/>
    <s v="ads"/>
    <s v="Basic"/>
    <n v="9"/>
    <b v="1"/>
    <b v="0"/>
    <s v="Active"/>
    <n v="0"/>
  </r>
  <r>
    <s v="A-249769"/>
    <s v="Company_214"/>
    <x v="4"/>
    <s v="US"/>
    <d v="2024-04-25T00:00:00"/>
    <s v="event"/>
    <s v="Enterprise"/>
    <n v="4"/>
    <b v="0"/>
    <b v="1"/>
    <s v="Churned"/>
    <n v="1"/>
  </r>
  <r>
    <s v="A-e43bf7"/>
    <s v="Company_215"/>
    <x v="4"/>
    <s v="AU"/>
    <d v="2023-03-24T00:00:00"/>
    <s v="other"/>
    <s v="Pro"/>
    <n v="44"/>
    <b v="0"/>
    <b v="0"/>
    <s v="Active"/>
    <n v="0"/>
  </r>
  <r>
    <s v="A-eb2fdc"/>
    <s v="Company_216"/>
    <x v="2"/>
    <s v="AU"/>
    <d v="2023-11-21T00:00:00"/>
    <s v="organic"/>
    <s v="Enterprise"/>
    <n v="31"/>
    <b v="0"/>
    <b v="1"/>
    <s v="Churned"/>
    <n v="1"/>
  </r>
  <r>
    <s v="A-e1462e"/>
    <s v="Company_217"/>
    <x v="1"/>
    <s v="UK"/>
    <d v="2023-03-12T00:00:00"/>
    <s v="partner"/>
    <s v="Basic"/>
    <n v="15"/>
    <b v="0"/>
    <b v="0"/>
    <s v="Active"/>
    <n v="0"/>
  </r>
  <r>
    <s v="A-cab532"/>
    <s v="Company_218"/>
    <x v="2"/>
    <s v="FR"/>
    <d v="2023-04-03T00:00:00"/>
    <s v="organic"/>
    <s v="Pro"/>
    <n v="11"/>
    <b v="1"/>
    <b v="0"/>
    <s v="Active"/>
    <n v="0"/>
  </r>
  <r>
    <s v="A-9123ac"/>
    <s v="Company_219"/>
    <x v="4"/>
    <s v="DE"/>
    <d v="2023-06-20T00:00:00"/>
    <s v="organic"/>
    <s v="Pro"/>
    <n v="9"/>
    <b v="0"/>
    <b v="0"/>
    <s v="Active"/>
    <n v="0"/>
  </r>
  <r>
    <s v="A-6e08f3"/>
    <s v="Company_220"/>
    <x v="4"/>
    <s v="US"/>
    <d v="2023-02-27T00:00:00"/>
    <s v="event"/>
    <s v="Basic"/>
    <n v="8"/>
    <b v="0"/>
    <b v="0"/>
    <s v="Active"/>
    <n v="0"/>
  </r>
  <r>
    <s v="A-d922bf"/>
    <s v="Company_221"/>
    <x v="3"/>
    <s v="US"/>
    <d v="2023-09-08T00:00:00"/>
    <s v="ads"/>
    <s v="Basic"/>
    <n v="5"/>
    <b v="1"/>
    <b v="1"/>
    <s v="Churned"/>
    <n v="1"/>
  </r>
  <r>
    <s v="A-8ed5dd"/>
    <s v="Company_222"/>
    <x v="0"/>
    <s v="UK"/>
    <d v="2023-06-29T00:00:00"/>
    <s v="event"/>
    <s v="Enterprise"/>
    <n v="5"/>
    <b v="0"/>
    <b v="1"/>
    <s v="Churned"/>
    <n v="1"/>
  </r>
  <r>
    <s v="A-7c6b6b"/>
    <s v="Company_223"/>
    <x v="1"/>
    <s v="US"/>
    <d v="2024-11-30T00:00:00"/>
    <s v="other"/>
    <s v="Basic"/>
    <n v="6"/>
    <b v="0"/>
    <b v="0"/>
    <s v="Active"/>
    <n v="0"/>
  </r>
  <r>
    <s v="A-3c1a3f"/>
    <s v="Company_224"/>
    <x v="2"/>
    <s v="UK"/>
    <d v="2023-08-26T00:00:00"/>
    <s v="event"/>
    <s v="Pro"/>
    <n v="1"/>
    <b v="0"/>
    <b v="0"/>
    <s v="Active"/>
    <n v="0"/>
  </r>
  <r>
    <s v="A-b48f73"/>
    <s v="Company_225"/>
    <x v="0"/>
    <s v="AU"/>
    <d v="2024-11-13T00:00:00"/>
    <s v="event"/>
    <s v="Pro"/>
    <n v="80"/>
    <b v="1"/>
    <b v="0"/>
    <s v="Active"/>
    <n v="0"/>
  </r>
  <r>
    <s v="A-76fa4d"/>
    <s v="Company_226"/>
    <x v="3"/>
    <s v="US"/>
    <d v="2024-11-24T00:00:00"/>
    <s v="event"/>
    <s v="Pro"/>
    <n v="69"/>
    <b v="0"/>
    <b v="0"/>
    <s v="Active"/>
    <n v="0"/>
  </r>
  <r>
    <s v="A-b2af2e"/>
    <s v="Company_227"/>
    <x v="4"/>
    <s v="UK"/>
    <d v="2024-08-24T00:00:00"/>
    <s v="event"/>
    <s v="Enterprise"/>
    <n v="5"/>
    <b v="0"/>
    <b v="0"/>
    <s v="Active"/>
    <n v="0"/>
  </r>
  <r>
    <s v="A-9bfc9f"/>
    <s v="Company_228"/>
    <x v="2"/>
    <s v="CA"/>
    <d v="2023-09-14T00:00:00"/>
    <s v="ads"/>
    <s v="Pro"/>
    <n v="53"/>
    <b v="0"/>
    <b v="0"/>
    <s v="Active"/>
    <n v="0"/>
  </r>
  <r>
    <s v="A-4ae22a"/>
    <s v="Company_229"/>
    <x v="0"/>
    <s v="US"/>
    <d v="2024-05-09T00:00:00"/>
    <s v="other"/>
    <s v="Pro"/>
    <n v="6"/>
    <b v="0"/>
    <b v="1"/>
    <s v="Churned"/>
    <n v="1"/>
  </r>
  <r>
    <s v="A-fda07f"/>
    <s v="Company_230"/>
    <x v="4"/>
    <s v="FR"/>
    <d v="2024-08-11T00:00:00"/>
    <s v="partner"/>
    <s v="Basic"/>
    <n v="7"/>
    <b v="0"/>
    <b v="0"/>
    <s v="Active"/>
    <n v="0"/>
  </r>
  <r>
    <s v="A-de24d5"/>
    <s v="Company_231"/>
    <x v="2"/>
    <s v="US"/>
    <d v="2024-11-05T00:00:00"/>
    <s v="other"/>
    <s v="Enterprise"/>
    <n v="5"/>
    <b v="1"/>
    <b v="0"/>
    <s v="Active"/>
    <n v="0"/>
  </r>
  <r>
    <s v="A-977ca0"/>
    <s v="Company_232"/>
    <x v="3"/>
    <s v="IN"/>
    <d v="2023-02-20T00:00:00"/>
    <s v="partner"/>
    <s v="Basic"/>
    <n v="6"/>
    <b v="0"/>
    <b v="1"/>
    <s v="Churned"/>
    <n v="1"/>
  </r>
  <r>
    <s v="A-ab438f"/>
    <s v="Company_233"/>
    <x v="4"/>
    <s v="US"/>
    <d v="2024-09-13T00:00:00"/>
    <s v="ads"/>
    <s v="Enterprise"/>
    <n v="13"/>
    <b v="0"/>
    <b v="1"/>
    <s v="Churned"/>
    <n v="1"/>
  </r>
  <r>
    <s v="A-e89151"/>
    <s v="Company_234"/>
    <x v="1"/>
    <s v="UK"/>
    <d v="2023-09-14T00:00:00"/>
    <s v="organic"/>
    <s v="Pro"/>
    <n v="8"/>
    <b v="1"/>
    <b v="1"/>
    <s v="Churned"/>
    <n v="1"/>
  </r>
  <r>
    <s v="A-40906c"/>
    <s v="Company_235"/>
    <x v="0"/>
    <s v="US"/>
    <d v="2024-03-27T00:00:00"/>
    <s v="ads"/>
    <s v="Basic"/>
    <n v="92"/>
    <b v="0"/>
    <b v="0"/>
    <s v="Active"/>
    <n v="0"/>
  </r>
  <r>
    <s v="A-81edc3"/>
    <s v="Company_236"/>
    <x v="4"/>
    <s v="IN"/>
    <d v="2023-10-30T00:00:00"/>
    <s v="ads"/>
    <s v="Basic"/>
    <n v="5"/>
    <b v="0"/>
    <b v="0"/>
    <s v="Active"/>
    <n v="0"/>
  </r>
  <r>
    <s v="A-328bd0"/>
    <s v="Company_237"/>
    <x v="3"/>
    <s v="AU"/>
    <d v="2023-05-16T00:00:00"/>
    <s v="partner"/>
    <s v="Enterprise"/>
    <n v="18"/>
    <b v="0"/>
    <b v="0"/>
    <s v="Active"/>
    <n v="0"/>
  </r>
  <r>
    <s v="A-b3fe05"/>
    <s v="Company_238"/>
    <x v="4"/>
    <s v="CA"/>
    <d v="2024-05-28T00:00:00"/>
    <s v="partner"/>
    <s v="Pro"/>
    <n v="8"/>
    <b v="0"/>
    <b v="0"/>
    <s v="Active"/>
    <n v="0"/>
  </r>
  <r>
    <s v="A-09540c"/>
    <s v="Company_239"/>
    <x v="4"/>
    <s v="CA"/>
    <d v="2023-10-30T00:00:00"/>
    <s v="event"/>
    <s v="Basic"/>
    <n v="67"/>
    <b v="1"/>
    <b v="0"/>
    <s v="Active"/>
    <n v="0"/>
  </r>
  <r>
    <s v="A-e693b6"/>
    <s v="Company_240"/>
    <x v="1"/>
    <s v="AU"/>
    <d v="2023-05-25T00:00:00"/>
    <s v="event"/>
    <s v="Enterprise"/>
    <n v="55"/>
    <b v="0"/>
    <b v="1"/>
    <s v="Churned"/>
    <n v="1"/>
  </r>
  <r>
    <s v="A-2446e3"/>
    <s v="Company_241"/>
    <x v="0"/>
    <s v="IN"/>
    <d v="2024-01-10T00:00:00"/>
    <s v="organic"/>
    <s v="Pro"/>
    <n v="27"/>
    <b v="0"/>
    <b v="0"/>
    <s v="Active"/>
    <n v="0"/>
  </r>
  <r>
    <s v="A-241e75"/>
    <s v="Company_242"/>
    <x v="0"/>
    <s v="US"/>
    <d v="2024-07-03T00:00:00"/>
    <s v="partner"/>
    <s v="Enterprise"/>
    <n v="3"/>
    <b v="0"/>
    <b v="0"/>
    <s v="Active"/>
    <n v="0"/>
  </r>
  <r>
    <s v="A-922109"/>
    <s v="Company_243"/>
    <x v="4"/>
    <s v="US"/>
    <d v="2024-01-26T00:00:00"/>
    <s v="ads"/>
    <s v="Pro"/>
    <n v="3"/>
    <b v="0"/>
    <b v="0"/>
    <s v="Active"/>
    <n v="0"/>
  </r>
  <r>
    <s v="A-ff3c73"/>
    <s v="Company_244"/>
    <x v="3"/>
    <s v="AU"/>
    <d v="2023-01-26T00:00:00"/>
    <s v="other"/>
    <s v="Pro"/>
    <n v="21"/>
    <b v="0"/>
    <b v="0"/>
    <s v="Active"/>
    <n v="0"/>
  </r>
  <r>
    <s v="A-8b0451"/>
    <s v="Company_245"/>
    <x v="1"/>
    <s v="UK"/>
    <d v="2024-09-16T00:00:00"/>
    <s v="event"/>
    <s v="Enterprise"/>
    <n v="41"/>
    <b v="0"/>
    <b v="0"/>
    <s v="Active"/>
    <n v="0"/>
  </r>
  <r>
    <s v="A-331424"/>
    <s v="Company_246"/>
    <x v="2"/>
    <s v="US"/>
    <d v="2023-11-06T00:00:00"/>
    <s v="organic"/>
    <s v="Basic"/>
    <n v="11"/>
    <b v="0"/>
    <b v="0"/>
    <s v="Active"/>
    <n v="0"/>
  </r>
  <r>
    <s v="A-51ec1b"/>
    <s v="Company_247"/>
    <x v="2"/>
    <s v="US"/>
    <d v="2023-11-08T00:00:00"/>
    <s v="ads"/>
    <s v="Enterprise"/>
    <n v="7"/>
    <b v="0"/>
    <b v="0"/>
    <s v="Active"/>
    <n v="0"/>
  </r>
  <r>
    <s v="A-bcf664"/>
    <s v="Company_248"/>
    <x v="2"/>
    <s v="US"/>
    <d v="2023-05-19T00:00:00"/>
    <s v="other"/>
    <s v="Pro"/>
    <n v="5"/>
    <b v="0"/>
    <b v="0"/>
    <s v="Active"/>
    <n v="0"/>
  </r>
  <r>
    <s v="A-90a8c8"/>
    <s v="Company_249"/>
    <x v="1"/>
    <s v="AU"/>
    <d v="2024-08-24T00:00:00"/>
    <s v="organic"/>
    <s v="Pro"/>
    <n v="15"/>
    <b v="0"/>
    <b v="0"/>
    <s v="Active"/>
    <n v="0"/>
  </r>
  <r>
    <s v="A-86cdb4"/>
    <s v="Company_250"/>
    <x v="2"/>
    <s v="DE"/>
    <d v="2024-09-22T00:00:00"/>
    <s v="partner"/>
    <s v="Basic"/>
    <n v="2"/>
    <b v="0"/>
    <b v="0"/>
    <s v="Active"/>
    <n v="0"/>
  </r>
  <r>
    <s v="A-4bfa33"/>
    <s v="Company_251"/>
    <x v="4"/>
    <s v="US"/>
    <d v="2024-12-07T00:00:00"/>
    <s v="event"/>
    <s v="Basic"/>
    <n v="8"/>
    <b v="1"/>
    <b v="0"/>
    <s v="Active"/>
    <n v="0"/>
  </r>
  <r>
    <s v="A-dbc825"/>
    <s v="Company_252"/>
    <x v="0"/>
    <s v="FR"/>
    <d v="2024-01-07T00:00:00"/>
    <s v="partner"/>
    <s v="Enterprise"/>
    <n v="19"/>
    <b v="0"/>
    <b v="0"/>
    <s v="Active"/>
    <n v="0"/>
  </r>
  <r>
    <s v="A-c70870"/>
    <s v="Company_253"/>
    <x v="4"/>
    <s v="US"/>
    <d v="2024-10-22T00:00:00"/>
    <s v="partner"/>
    <s v="Basic"/>
    <n v="31"/>
    <b v="0"/>
    <b v="0"/>
    <s v="Active"/>
    <n v="0"/>
  </r>
  <r>
    <s v="A-7c4956"/>
    <s v="Company_254"/>
    <x v="2"/>
    <s v="US"/>
    <d v="2023-05-06T00:00:00"/>
    <s v="ads"/>
    <s v="Enterprise"/>
    <n v="5"/>
    <b v="0"/>
    <b v="1"/>
    <s v="Churned"/>
    <n v="1"/>
  </r>
  <r>
    <s v="A-0651a4"/>
    <s v="Company_255"/>
    <x v="3"/>
    <s v="FR"/>
    <d v="2024-10-16T00:00:00"/>
    <s v="organic"/>
    <s v="Pro"/>
    <n v="16"/>
    <b v="0"/>
    <b v="0"/>
    <s v="Active"/>
    <n v="0"/>
  </r>
  <r>
    <s v="A-3ce5b8"/>
    <s v="Company_256"/>
    <x v="1"/>
    <s v="IN"/>
    <d v="2023-09-07T00:00:00"/>
    <s v="ads"/>
    <s v="Basic"/>
    <n v="8"/>
    <b v="0"/>
    <b v="1"/>
    <s v="Churned"/>
    <n v="1"/>
  </r>
  <r>
    <s v="A-bd4708"/>
    <s v="Company_257"/>
    <x v="1"/>
    <s v="US"/>
    <d v="2024-07-21T00:00:00"/>
    <s v="ads"/>
    <s v="Pro"/>
    <n v="37"/>
    <b v="1"/>
    <b v="0"/>
    <s v="Active"/>
    <n v="0"/>
  </r>
  <r>
    <s v="A-993085"/>
    <s v="Company_258"/>
    <x v="3"/>
    <s v="US"/>
    <d v="2023-06-01T00:00:00"/>
    <s v="ads"/>
    <s v="Basic"/>
    <n v="31"/>
    <b v="1"/>
    <b v="0"/>
    <s v="Active"/>
    <n v="0"/>
  </r>
  <r>
    <s v="A-92a3af"/>
    <s v="Company_259"/>
    <x v="4"/>
    <s v="IN"/>
    <d v="2024-07-07T00:00:00"/>
    <s v="organic"/>
    <s v="Enterprise"/>
    <n v="25"/>
    <b v="0"/>
    <b v="0"/>
    <s v="Active"/>
    <n v="0"/>
  </r>
  <r>
    <s v="A-151c9a"/>
    <s v="Company_260"/>
    <x v="1"/>
    <s v="US"/>
    <d v="2023-01-27T00:00:00"/>
    <s v="ads"/>
    <s v="Enterprise"/>
    <n v="23"/>
    <b v="0"/>
    <b v="0"/>
    <s v="Active"/>
    <n v="0"/>
  </r>
  <r>
    <s v="A-474ad4"/>
    <s v="Company_261"/>
    <x v="0"/>
    <s v="US"/>
    <d v="2023-11-28T00:00:00"/>
    <s v="organic"/>
    <s v="Basic"/>
    <n v="8"/>
    <b v="0"/>
    <b v="0"/>
    <s v="Active"/>
    <n v="0"/>
  </r>
  <r>
    <s v="A-4ef964"/>
    <s v="Company_262"/>
    <x v="3"/>
    <s v="US"/>
    <d v="2024-03-07T00:00:00"/>
    <s v="organic"/>
    <s v="Pro"/>
    <n v="17"/>
    <b v="0"/>
    <b v="0"/>
    <s v="Active"/>
    <n v="0"/>
  </r>
  <r>
    <s v="A-fd9422"/>
    <s v="Company_263"/>
    <x v="4"/>
    <s v="US"/>
    <d v="2024-04-04T00:00:00"/>
    <s v="organic"/>
    <s v="Pro"/>
    <n v="58"/>
    <b v="0"/>
    <b v="0"/>
    <s v="Active"/>
    <n v="0"/>
  </r>
  <r>
    <s v="A-0baac2"/>
    <s v="Company_264"/>
    <x v="1"/>
    <s v="DE"/>
    <d v="2024-05-30T00:00:00"/>
    <s v="organic"/>
    <s v="Enterprise"/>
    <n v="14"/>
    <b v="0"/>
    <b v="1"/>
    <s v="Churned"/>
    <n v="1"/>
  </r>
  <r>
    <s v="A-bb1486"/>
    <s v="Company_265"/>
    <x v="3"/>
    <s v="US"/>
    <d v="2024-11-05T00:00:00"/>
    <s v="organic"/>
    <s v="Basic"/>
    <n v="41"/>
    <b v="0"/>
    <b v="0"/>
    <s v="Active"/>
    <n v="0"/>
  </r>
  <r>
    <s v="A-560d27"/>
    <s v="Company_266"/>
    <x v="2"/>
    <s v="US"/>
    <d v="2024-05-05T00:00:00"/>
    <s v="organic"/>
    <s v="Pro"/>
    <n v="23"/>
    <b v="0"/>
    <b v="0"/>
    <s v="Active"/>
    <n v="0"/>
  </r>
  <r>
    <s v="A-0b0d6d"/>
    <s v="Company_267"/>
    <x v="2"/>
    <s v="US"/>
    <d v="2024-12-30T00:00:00"/>
    <s v="organic"/>
    <s v="Pro"/>
    <n v="3"/>
    <b v="0"/>
    <b v="0"/>
    <s v="Active"/>
    <n v="0"/>
  </r>
  <r>
    <s v="A-2789e3"/>
    <s v="Company_268"/>
    <x v="1"/>
    <s v="US"/>
    <d v="2024-09-14T00:00:00"/>
    <s v="partner"/>
    <s v="Enterprise"/>
    <n v="11"/>
    <b v="0"/>
    <b v="0"/>
    <s v="Active"/>
    <n v="0"/>
  </r>
  <r>
    <s v="A-b07346"/>
    <s v="Company_269"/>
    <x v="3"/>
    <s v="US"/>
    <d v="2024-10-10T00:00:00"/>
    <s v="partner"/>
    <s v="Pro"/>
    <n v="51"/>
    <b v="0"/>
    <b v="1"/>
    <s v="Churned"/>
    <n v="1"/>
  </r>
  <r>
    <s v="A-902ef7"/>
    <s v="Company_270"/>
    <x v="3"/>
    <s v="US"/>
    <d v="2024-09-03T00:00:00"/>
    <s v="other"/>
    <s v="Enterprise"/>
    <n v="83"/>
    <b v="0"/>
    <b v="1"/>
    <s v="Churned"/>
    <n v="1"/>
  </r>
  <r>
    <s v="A-20736a"/>
    <s v="Company_271"/>
    <x v="0"/>
    <s v="IN"/>
    <d v="2024-03-16T00:00:00"/>
    <s v="organic"/>
    <s v="Enterprise"/>
    <n v="50"/>
    <b v="0"/>
    <b v="0"/>
    <s v="Active"/>
    <n v="0"/>
  </r>
  <r>
    <s v="A-e4bf56"/>
    <s v="Company_272"/>
    <x v="3"/>
    <s v="IN"/>
    <d v="2024-10-28T00:00:00"/>
    <s v="ads"/>
    <s v="Pro"/>
    <n v="17"/>
    <b v="0"/>
    <b v="1"/>
    <s v="Churned"/>
    <n v="1"/>
  </r>
  <r>
    <s v="A-cea1f0"/>
    <s v="Company_273"/>
    <x v="1"/>
    <s v="US"/>
    <d v="2024-04-07T00:00:00"/>
    <s v="event"/>
    <s v="Pro"/>
    <n v="8"/>
    <b v="0"/>
    <b v="1"/>
    <s v="Churned"/>
    <n v="1"/>
  </r>
  <r>
    <s v="A-ef84cf"/>
    <s v="Company_274"/>
    <x v="0"/>
    <s v="US"/>
    <d v="2024-03-01T00:00:00"/>
    <s v="partner"/>
    <s v="Enterprise"/>
    <n v="8"/>
    <b v="0"/>
    <b v="0"/>
    <s v="Active"/>
    <n v="0"/>
  </r>
  <r>
    <s v="A-d49cc5"/>
    <s v="Company_275"/>
    <x v="4"/>
    <s v="FR"/>
    <d v="2023-09-19T00:00:00"/>
    <s v="event"/>
    <s v="Basic"/>
    <n v="50"/>
    <b v="0"/>
    <b v="0"/>
    <s v="Active"/>
    <n v="0"/>
  </r>
  <r>
    <s v="A-67be94"/>
    <s v="Company_276"/>
    <x v="0"/>
    <s v="US"/>
    <d v="2023-04-04T00:00:00"/>
    <s v="organic"/>
    <s v="Enterprise"/>
    <n v="26"/>
    <b v="0"/>
    <b v="0"/>
    <s v="Active"/>
    <n v="0"/>
  </r>
  <r>
    <s v="A-4e960a"/>
    <s v="Company_277"/>
    <x v="1"/>
    <s v="US"/>
    <d v="2024-01-17T00:00:00"/>
    <s v="other"/>
    <s v="Enterprise"/>
    <n v="12"/>
    <b v="1"/>
    <b v="1"/>
    <s v="Churned"/>
    <n v="1"/>
  </r>
  <r>
    <s v="A-c37cab"/>
    <s v="Company_278"/>
    <x v="4"/>
    <s v="UK"/>
    <d v="2024-07-29T00:00:00"/>
    <s v="event"/>
    <s v="Pro"/>
    <n v="13"/>
    <b v="0"/>
    <b v="0"/>
    <s v="Active"/>
    <n v="0"/>
  </r>
  <r>
    <s v="A-533452"/>
    <s v="Company_279"/>
    <x v="2"/>
    <s v="AU"/>
    <d v="2024-11-12T00:00:00"/>
    <s v="organic"/>
    <s v="Pro"/>
    <n v="9"/>
    <b v="0"/>
    <b v="0"/>
    <s v="Active"/>
    <n v="0"/>
  </r>
  <r>
    <s v="A-443b7c"/>
    <s v="Company_280"/>
    <x v="4"/>
    <s v="US"/>
    <d v="2024-09-06T00:00:00"/>
    <s v="other"/>
    <s v="Enterprise"/>
    <n v="1"/>
    <b v="0"/>
    <b v="1"/>
    <s v="Churned"/>
    <n v="1"/>
  </r>
  <r>
    <s v="A-1f7acb"/>
    <s v="Company_281"/>
    <x v="1"/>
    <s v="UK"/>
    <d v="2023-08-06T00:00:00"/>
    <s v="ads"/>
    <s v="Basic"/>
    <n v="64"/>
    <b v="1"/>
    <b v="0"/>
    <s v="Active"/>
    <n v="0"/>
  </r>
  <r>
    <s v="A-f51f16"/>
    <s v="Company_282"/>
    <x v="3"/>
    <s v="US"/>
    <d v="2023-12-25T00:00:00"/>
    <s v="partner"/>
    <s v="Enterprise"/>
    <n v="1"/>
    <b v="0"/>
    <b v="0"/>
    <s v="Active"/>
    <n v="0"/>
  </r>
  <r>
    <s v="A-5a3eb9"/>
    <s v="Company_283"/>
    <x v="2"/>
    <s v="CA"/>
    <d v="2023-08-20T00:00:00"/>
    <s v="other"/>
    <s v="Enterprise"/>
    <n v="18"/>
    <b v="1"/>
    <b v="0"/>
    <s v="Active"/>
    <n v="0"/>
  </r>
  <r>
    <s v="A-5f2961"/>
    <s v="Company_284"/>
    <x v="3"/>
    <s v="US"/>
    <d v="2024-11-22T00:00:00"/>
    <s v="partner"/>
    <s v="Basic"/>
    <n v="4"/>
    <b v="0"/>
    <b v="0"/>
    <s v="Active"/>
    <n v="0"/>
  </r>
  <r>
    <s v="A-417d2f"/>
    <s v="Company_285"/>
    <x v="4"/>
    <s v="IN"/>
    <d v="2023-07-04T00:00:00"/>
    <s v="partner"/>
    <s v="Pro"/>
    <n v="4"/>
    <b v="1"/>
    <b v="0"/>
    <s v="Active"/>
    <n v="0"/>
  </r>
  <r>
    <s v="A-e98302"/>
    <s v="Company_286"/>
    <x v="0"/>
    <s v="US"/>
    <d v="2023-12-26T00:00:00"/>
    <s v="ads"/>
    <s v="Enterprise"/>
    <n v="16"/>
    <b v="1"/>
    <b v="0"/>
    <s v="Active"/>
    <n v="0"/>
  </r>
  <r>
    <s v="A-8bde0c"/>
    <s v="Company_287"/>
    <x v="2"/>
    <s v="US"/>
    <d v="2024-11-04T00:00:00"/>
    <s v="organic"/>
    <s v="Basic"/>
    <n v="12"/>
    <b v="0"/>
    <b v="0"/>
    <s v="Active"/>
    <n v="0"/>
  </r>
  <r>
    <s v="A-bcf87c"/>
    <s v="Company_288"/>
    <x v="1"/>
    <s v="US"/>
    <d v="2024-06-27T00:00:00"/>
    <s v="event"/>
    <s v="Pro"/>
    <n v="10"/>
    <b v="0"/>
    <b v="1"/>
    <s v="Churned"/>
    <n v="1"/>
  </r>
  <r>
    <s v="A-54ecc2"/>
    <s v="Company_289"/>
    <x v="4"/>
    <s v="US"/>
    <d v="2023-06-11T00:00:00"/>
    <s v="partner"/>
    <s v="Enterprise"/>
    <n v="4"/>
    <b v="0"/>
    <b v="0"/>
    <s v="Active"/>
    <n v="0"/>
  </r>
  <r>
    <s v="A-625d0b"/>
    <s v="Company_290"/>
    <x v="0"/>
    <s v="AU"/>
    <d v="2024-09-02T00:00:00"/>
    <s v="ads"/>
    <s v="Basic"/>
    <n v="9"/>
    <b v="0"/>
    <b v="0"/>
    <s v="Active"/>
    <n v="0"/>
  </r>
  <r>
    <s v="A-fce879"/>
    <s v="Company_291"/>
    <x v="0"/>
    <s v="UK"/>
    <d v="2024-09-24T00:00:00"/>
    <s v="partner"/>
    <s v="Pro"/>
    <n v="10"/>
    <b v="1"/>
    <b v="1"/>
    <s v="Churned"/>
    <n v="1"/>
  </r>
  <r>
    <s v="A-b07b56"/>
    <s v="Company_292"/>
    <x v="2"/>
    <s v="US"/>
    <d v="2024-11-08T00:00:00"/>
    <s v="event"/>
    <s v="Pro"/>
    <n v="25"/>
    <b v="0"/>
    <b v="1"/>
    <s v="Churned"/>
    <n v="1"/>
  </r>
  <r>
    <s v="A-6da850"/>
    <s v="Company_293"/>
    <x v="1"/>
    <s v="IN"/>
    <d v="2023-10-07T00:00:00"/>
    <s v="organic"/>
    <s v="Pro"/>
    <n v="5"/>
    <b v="0"/>
    <b v="0"/>
    <s v="Active"/>
    <n v="0"/>
  </r>
  <r>
    <s v="A-342303"/>
    <s v="Company_294"/>
    <x v="0"/>
    <s v="US"/>
    <d v="2024-03-16T00:00:00"/>
    <s v="other"/>
    <s v="Pro"/>
    <n v="1"/>
    <b v="1"/>
    <b v="0"/>
    <s v="Active"/>
    <n v="0"/>
  </r>
  <r>
    <s v="A-e7a1e2"/>
    <s v="Company_295"/>
    <x v="4"/>
    <s v="US"/>
    <d v="2024-06-23T00:00:00"/>
    <s v="event"/>
    <s v="Enterprise"/>
    <n v="3"/>
    <b v="0"/>
    <b v="0"/>
    <s v="Active"/>
    <n v="0"/>
  </r>
  <r>
    <s v="A-f1f639"/>
    <s v="Company_296"/>
    <x v="0"/>
    <s v="US"/>
    <d v="2023-02-26T00:00:00"/>
    <s v="ads"/>
    <s v="Basic"/>
    <n v="2"/>
    <b v="0"/>
    <b v="0"/>
    <s v="Active"/>
    <n v="0"/>
  </r>
  <r>
    <s v="A-a865bd"/>
    <s v="Company_297"/>
    <x v="4"/>
    <s v="US"/>
    <d v="2023-09-19T00:00:00"/>
    <s v="organic"/>
    <s v="Pro"/>
    <n v="38"/>
    <b v="0"/>
    <b v="0"/>
    <s v="Active"/>
    <n v="0"/>
  </r>
  <r>
    <s v="A-4e631b"/>
    <s v="Company_298"/>
    <x v="1"/>
    <s v="US"/>
    <d v="2024-03-16T00:00:00"/>
    <s v="other"/>
    <s v="Enterprise"/>
    <n v="22"/>
    <b v="0"/>
    <b v="0"/>
    <s v="Active"/>
    <n v="0"/>
  </r>
  <r>
    <s v="A-7f6b86"/>
    <s v="Company_299"/>
    <x v="3"/>
    <s v="US"/>
    <d v="2023-08-24T00:00:00"/>
    <s v="partner"/>
    <s v="Basic"/>
    <n v="45"/>
    <b v="1"/>
    <b v="1"/>
    <s v="Churned"/>
    <n v="1"/>
  </r>
  <r>
    <s v="A-8adedc"/>
    <s v="Company_300"/>
    <x v="0"/>
    <s v="US"/>
    <d v="2024-02-11T00:00:00"/>
    <s v="event"/>
    <s v="Basic"/>
    <n v="4"/>
    <b v="1"/>
    <b v="1"/>
    <s v="Churned"/>
    <n v="1"/>
  </r>
  <r>
    <s v="A-2edab2"/>
    <s v="Company_301"/>
    <x v="3"/>
    <s v="US"/>
    <d v="2023-11-17T00:00:00"/>
    <s v="event"/>
    <s v="Enterprise"/>
    <n v="17"/>
    <b v="0"/>
    <b v="0"/>
    <s v="Active"/>
    <n v="0"/>
  </r>
  <r>
    <s v="A-149a69"/>
    <s v="Company_302"/>
    <x v="2"/>
    <s v="US"/>
    <d v="2024-10-17T00:00:00"/>
    <s v="event"/>
    <s v="Basic"/>
    <n v="34"/>
    <b v="0"/>
    <b v="0"/>
    <s v="Active"/>
    <n v="0"/>
  </r>
  <r>
    <s v="A-a6d261"/>
    <s v="Company_303"/>
    <x v="1"/>
    <s v="CA"/>
    <d v="2023-11-29T00:00:00"/>
    <s v="other"/>
    <s v="Pro"/>
    <n v="9"/>
    <b v="0"/>
    <b v="0"/>
    <s v="Active"/>
    <n v="0"/>
  </r>
  <r>
    <s v="A-443f6f"/>
    <s v="Company_304"/>
    <x v="4"/>
    <s v="US"/>
    <d v="2024-12-07T00:00:00"/>
    <s v="organic"/>
    <s v="Basic"/>
    <n v="19"/>
    <b v="0"/>
    <b v="0"/>
    <s v="Active"/>
    <n v="0"/>
  </r>
  <r>
    <s v="A-202b67"/>
    <s v="Company_305"/>
    <x v="3"/>
    <s v="US"/>
    <d v="2024-03-22T00:00:00"/>
    <s v="organic"/>
    <s v="Pro"/>
    <n v="11"/>
    <b v="0"/>
    <b v="0"/>
    <s v="Active"/>
    <n v="0"/>
  </r>
  <r>
    <s v="A-00bed1"/>
    <s v="Company_306"/>
    <x v="4"/>
    <s v="US"/>
    <d v="2023-11-14T00:00:00"/>
    <s v="ads"/>
    <s v="Basic"/>
    <n v="28"/>
    <b v="1"/>
    <b v="0"/>
    <s v="Active"/>
    <n v="0"/>
  </r>
  <r>
    <s v="A-ffc04f"/>
    <s v="Company_307"/>
    <x v="0"/>
    <s v="US"/>
    <d v="2024-06-06T00:00:00"/>
    <s v="ads"/>
    <s v="Pro"/>
    <n v="13"/>
    <b v="0"/>
    <b v="0"/>
    <s v="Active"/>
    <n v="0"/>
  </r>
  <r>
    <s v="A-65c341"/>
    <s v="Company_308"/>
    <x v="1"/>
    <s v="US"/>
    <d v="2023-12-26T00:00:00"/>
    <s v="ads"/>
    <s v="Pro"/>
    <n v="11"/>
    <b v="1"/>
    <b v="0"/>
    <s v="Active"/>
    <n v="0"/>
  </r>
  <r>
    <s v="A-dcc2f0"/>
    <s v="Company_309"/>
    <x v="1"/>
    <s v="UK"/>
    <d v="2023-07-22T00:00:00"/>
    <s v="organic"/>
    <s v="Basic"/>
    <n v="15"/>
    <b v="0"/>
    <b v="0"/>
    <s v="Active"/>
    <n v="0"/>
  </r>
  <r>
    <s v="A-ced9aa"/>
    <s v="Company_310"/>
    <x v="2"/>
    <s v="US"/>
    <d v="2024-10-05T00:00:00"/>
    <s v="other"/>
    <s v="Enterprise"/>
    <n v="3"/>
    <b v="0"/>
    <b v="0"/>
    <s v="Active"/>
    <n v="0"/>
  </r>
  <r>
    <s v="A-3d957b"/>
    <s v="Company_311"/>
    <x v="3"/>
    <s v="UK"/>
    <d v="2024-04-04T00:00:00"/>
    <s v="other"/>
    <s v="Pro"/>
    <n v="14"/>
    <b v="0"/>
    <b v="0"/>
    <s v="Active"/>
    <n v="0"/>
  </r>
  <r>
    <s v="A-89ee83"/>
    <s v="Company_312"/>
    <x v="4"/>
    <s v="US"/>
    <d v="2024-10-04T00:00:00"/>
    <s v="organic"/>
    <s v="Pro"/>
    <n v="1"/>
    <b v="0"/>
    <b v="1"/>
    <s v="Churned"/>
    <n v="1"/>
  </r>
  <r>
    <s v="A-883b7d"/>
    <s v="Company_313"/>
    <x v="4"/>
    <s v="IN"/>
    <d v="2024-03-28T00:00:00"/>
    <s v="other"/>
    <s v="Basic"/>
    <n v="17"/>
    <b v="0"/>
    <b v="0"/>
    <s v="Active"/>
    <n v="0"/>
  </r>
  <r>
    <s v="A-dcc3f1"/>
    <s v="Company_314"/>
    <x v="3"/>
    <s v="US"/>
    <d v="2023-12-27T00:00:00"/>
    <s v="event"/>
    <s v="Pro"/>
    <n v="21"/>
    <b v="0"/>
    <b v="0"/>
    <s v="Active"/>
    <n v="0"/>
  </r>
  <r>
    <s v="A-c62e55"/>
    <s v="Company_315"/>
    <x v="0"/>
    <s v="US"/>
    <d v="2023-02-08T00:00:00"/>
    <s v="partner"/>
    <s v="Basic"/>
    <n v="1"/>
    <b v="1"/>
    <b v="0"/>
    <s v="Active"/>
    <n v="0"/>
  </r>
  <r>
    <s v="A-e4144b"/>
    <s v="Company_316"/>
    <x v="0"/>
    <s v="UK"/>
    <d v="2024-10-22T00:00:00"/>
    <s v="other"/>
    <s v="Pro"/>
    <n v="41"/>
    <b v="0"/>
    <b v="0"/>
    <s v="Active"/>
    <n v="0"/>
  </r>
  <r>
    <s v="A-e40f45"/>
    <s v="Company_317"/>
    <x v="3"/>
    <s v="US"/>
    <d v="2024-04-18T00:00:00"/>
    <s v="organic"/>
    <s v="Pro"/>
    <n v="21"/>
    <b v="0"/>
    <b v="0"/>
    <s v="Active"/>
    <n v="0"/>
  </r>
  <r>
    <s v="A-96215d"/>
    <s v="Company_318"/>
    <x v="1"/>
    <s v="US"/>
    <d v="2024-08-08T00:00:00"/>
    <s v="event"/>
    <s v="Enterprise"/>
    <n v="10"/>
    <b v="0"/>
    <b v="0"/>
    <s v="Active"/>
    <n v="0"/>
  </r>
  <r>
    <s v="A-2b9d3e"/>
    <s v="Company_319"/>
    <x v="0"/>
    <s v="US"/>
    <d v="2023-06-04T00:00:00"/>
    <s v="partner"/>
    <s v="Enterprise"/>
    <n v="1"/>
    <b v="0"/>
    <b v="0"/>
    <s v="Active"/>
    <n v="0"/>
  </r>
  <r>
    <s v="A-b7724f"/>
    <s v="Company_320"/>
    <x v="3"/>
    <s v="UK"/>
    <d v="2023-03-28T00:00:00"/>
    <s v="organic"/>
    <s v="Basic"/>
    <n v="1"/>
    <b v="0"/>
    <b v="0"/>
    <s v="Active"/>
    <n v="0"/>
  </r>
  <r>
    <s v="A-310452"/>
    <s v="Company_321"/>
    <x v="2"/>
    <s v="FR"/>
    <d v="2024-12-25T00:00:00"/>
    <s v="other"/>
    <s v="Enterprise"/>
    <n v="9"/>
    <b v="0"/>
    <b v="0"/>
    <s v="Active"/>
    <n v="0"/>
  </r>
  <r>
    <s v="A-eb1312"/>
    <s v="Company_322"/>
    <x v="1"/>
    <s v="US"/>
    <d v="2024-09-16T00:00:00"/>
    <s v="partner"/>
    <s v="Pro"/>
    <n v="25"/>
    <b v="0"/>
    <b v="0"/>
    <s v="Active"/>
    <n v="0"/>
  </r>
  <r>
    <s v="A-df1e44"/>
    <s v="Company_323"/>
    <x v="4"/>
    <s v="UK"/>
    <d v="2024-02-23T00:00:00"/>
    <s v="organic"/>
    <s v="Enterprise"/>
    <n v="12"/>
    <b v="0"/>
    <b v="0"/>
    <s v="Active"/>
    <n v="0"/>
  </r>
  <r>
    <s v="A-6a7c9d"/>
    <s v="Company_324"/>
    <x v="4"/>
    <s v="US"/>
    <d v="2024-10-24T00:00:00"/>
    <s v="organic"/>
    <s v="Enterprise"/>
    <n v="26"/>
    <b v="0"/>
    <b v="1"/>
    <s v="Churned"/>
    <n v="1"/>
  </r>
  <r>
    <s v="A-cbd1a3"/>
    <s v="Company_325"/>
    <x v="2"/>
    <s v="US"/>
    <d v="2024-11-25T00:00:00"/>
    <s v="other"/>
    <s v="Basic"/>
    <n v="6"/>
    <b v="0"/>
    <b v="1"/>
    <s v="Churned"/>
    <n v="1"/>
  </r>
  <r>
    <s v="A-a8d89d"/>
    <s v="Company_326"/>
    <x v="0"/>
    <s v="US"/>
    <d v="2023-12-08T00:00:00"/>
    <s v="ads"/>
    <s v="Pro"/>
    <n v="13"/>
    <b v="0"/>
    <b v="0"/>
    <s v="Active"/>
    <n v="0"/>
  </r>
  <r>
    <s v="A-600734"/>
    <s v="Company_327"/>
    <x v="2"/>
    <s v="US"/>
    <d v="2023-11-14T00:00:00"/>
    <s v="organic"/>
    <s v="Pro"/>
    <n v="29"/>
    <b v="1"/>
    <b v="1"/>
    <s v="Churned"/>
    <n v="1"/>
  </r>
  <r>
    <s v="A-86fc1d"/>
    <s v="Company_328"/>
    <x v="2"/>
    <s v="UK"/>
    <d v="2024-07-26T00:00:00"/>
    <s v="partner"/>
    <s v="Basic"/>
    <n v="26"/>
    <b v="0"/>
    <b v="0"/>
    <s v="Active"/>
    <n v="0"/>
  </r>
  <r>
    <s v="A-78f02b"/>
    <s v="Company_329"/>
    <x v="3"/>
    <s v="US"/>
    <d v="2024-11-17T00:00:00"/>
    <s v="event"/>
    <s v="Enterprise"/>
    <n v="11"/>
    <b v="0"/>
    <b v="0"/>
    <s v="Active"/>
    <n v="0"/>
  </r>
  <r>
    <s v="A-acb7f7"/>
    <s v="Company_330"/>
    <x v="0"/>
    <s v="US"/>
    <d v="2024-01-06T00:00:00"/>
    <s v="ads"/>
    <s v="Basic"/>
    <n v="32"/>
    <b v="0"/>
    <b v="0"/>
    <s v="Active"/>
    <n v="0"/>
  </r>
  <r>
    <s v="A-712f1c"/>
    <s v="Company_331"/>
    <x v="2"/>
    <s v="US"/>
    <d v="2023-12-16T00:00:00"/>
    <s v="ads"/>
    <s v="Basic"/>
    <n v="17"/>
    <b v="0"/>
    <b v="1"/>
    <s v="Churned"/>
    <n v="1"/>
  </r>
  <r>
    <s v="A-3793ee"/>
    <s v="Company_332"/>
    <x v="4"/>
    <s v="CA"/>
    <d v="2023-03-21T00:00:00"/>
    <s v="organic"/>
    <s v="Enterprise"/>
    <n v="49"/>
    <b v="1"/>
    <b v="0"/>
    <s v="Active"/>
    <n v="0"/>
  </r>
  <r>
    <s v="A-9a532a"/>
    <s v="Company_333"/>
    <x v="3"/>
    <s v="US"/>
    <d v="2024-07-06T00:00:00"/>
    <s v="partner"/>
    <s v="Enterprise"/>
    <n v="11"/>
    <b v="0"/>
    <b v="0"/>
    <s v="Active"/>
    <n v="0"/>
  </r>
  <r>
    <s v="A-2ebb4b"/>
    <s v="Company_334"/>
    <x v="3"/>
    <s v="US"/>
    <d v="2023-05-15T00:00:00"/>
    <s v="ads"/>
    <s v="Basic"/>
    <n v="41"/>
    <b v="0"/>
    <b v="0"/>
    <s v="Active"/>
    <n v="0"/>
  </r>
  <r>
    <s v="A-6843f2"/>
    <s v="Company_335"/>
    <x v="3"/>
    <s v="CA"/>
    <d v="2024-12-10T00:00:00"/>
    <s v="ads"/>
    <s v="Enterprise"/>
    <n v="21"/>
    <b v="0"/>
    <b v="0"/>
    <s v="Active"/>
    <n v="0"/>
  </r>
  <r>
    <s v="A-c9bb3e"/>
    <s v="Company_336"/>
    <x v="0"/>
    <s v="US"/>
    <d v="2024-03-24T00:00:00"/>
    <s v="ads"/>
    <s v="Pro"/>
    <n v="5"/>
    <b v="0"/>
    <b v="0"/>
    <s v="Active"/>
    <n v="0"/>
  </r>
  <r>
    <s v="A-4814a3"/>
    <s v="Company_337"/>
    <x v="4"/>
    <s v="IN"/>
    <d v="2024-09-17T00:00:00"/>
    <s v="event"/>
    <s v="Basic"/>
    <n v="87"/>
    <b v="0"/>
    <b v="1"/>
    <s v="Churned"/>
    <n v="1"/>
  </r>
  <r>
    <s v="A-b7b7b7"/>
    <s v="Company_338"/>
    <x v="1"/>
    <s v="US"/>
    <d v="2024-06-30T00:00:00"/>
    <s v="event"/>
    <s v="Basic"/>
    <n v="24"/>
    <b v="0"/>
    <b v="1"/>
    <s v="Churned"/>
    <n v="1"/>
  </r>
  <r>
    <s v="A-ccc747"/>
    <s v="Company_339"/>
    <x v="3"/>
    <s v="FR"/>
    <d v="2024-01-12T00:00:00"/>
    <s v="event"/>
    <s v="Pro"/>
    <n v="16"/>
    <b v="0"/>
    <b v="1"/>
    <s v="Churned"/>
    <n v="1"/>
  </r>
  <r>
    <s v="A-bb3bd4"/>
    <s v="Company_340"/>
    <x v="3"/>
    <s v="US"/>
    <d v="2024-01-27T00:00:00"/>
    <s v="ads"/>
    <s v="Basic"/>
    <n v="23"/>
    <b v="0"/>
    <b v="0"/>
    <s v="Active"/>
    <n v="0"/>
  </r>
  <r>
    <s v="A-09316c"/>
    <s v="Company_341"/>
    <x v="1"/>
    <s v="AU"/>
    <d v="2024-09-11T00:00:00"/>
    <s v="organic"/>
    <s v="Enterprise"/>
    <n v="70"/>
    <b v="0"/>
    <b v="0"/>
    <s v="Active"/>
    <n v="0"/>
  </r>
  <r>
    <s v="A-96bbc6"/>
    <s v="Company_342"/>
    <x v="4"/>
    <s v="US"/>
    <d v="2024-05-07T00:00:00"/>
    <s v="organic"/>
    <s v="Enterprise"/>
    <n v="39"/>
    <b v="0"/>
    <b v="0"/>
    <s v="Active"/>
    <n v="0"/>
  </r>
  <r>
    <s v="A-bc4d48"/>
    <s v="Company_343"/>
    <x v="0"/>
    <s v="US"/>
    <d v="2024-06-12T00:00:00"/>
    <s v="ads"/>
    <s v="Pro"/>
    <n v="35"/>
    <b v="1"/>
    <b v="0"/>
    <s v="Active"/>
    <n v="0"/>
  </r>
  <r>
    <s v="A-b30291"/>
    <s v="Company_344"/>
    <x v="3"/>
    <s v="US"/>
    <d v="2024-04-05T00:00:00"/>
    <s v="event"/>
    <s v="Basic"/>
    <n v="5"/>
    <b v="1"/>
    <b v="1"/>
    <s v="Churned"/>
    <n v="1"/>
  </r>
  <r>
    <s v="A-cdf020"/>
    <s v="Company_345"/>
    <x v="2"/>
    <s v="AU"/>
    <d v="2023-08-16T00:00:00"/>
    <s v="organic"/>
    <s v="Pro"/>
    <n v="23"/>
    <b v="0"/>
    <b v="0"/>
    <s v="Active"/>
    <n v="0"/>
  </r>
  <r>
    <s v="A-e6afc1"/>
    <s v="Company_346"/>
    <x v="2"/>
    <s v="US"/>
    <d v="2023-02-24T00:00:00"/>
    <s v="ads"/>
    <s v="Pro"/>
    <n v="1"/>
    <b v="0"/>
    <b v="0"/>
    <s v="Active"/>
    <n v="0"/>
  </r>
  <r>
    <s v="A-e3bd71"/>
    <s v="Company_347"/>
    <x v="4"/>
    <s v="US"/>
    <d v="2023-03-25T00:00:00"/>
    <s v="partner"/>
    <s v="Basic"/>
    <n v="31"/>
    <b v="0"/>
    <b v="0"/>
    <s v="Active"/>
    <n v="0"/>
  </r>
  <r>
    <s v="A-b179bf"/>
    <s v="Company_348"/>
    <x v="4"/>
    <s v="IN"/>
    <d v="2024-10-27T00:00:00"/>
    <s v="ads"/>
    <s v="Basic"/>
    <n v="43"/>
    <b v="0"/>
    <b v="0"/>
    <s v="Active"/>
    <n v="0"/>
  </r>
  <r>
    <s v="A-098560"/>
    <s v="Company_349"/>
    <x v="2"/>
    <s v="UK"/>
    <d v="2023-10-21T00:00:00"/>
    <s v="ads"/>
    <s v="Enterprise"/>
    <n v="1"/>
    <b v="0"/>
    <b v="1"/>
    <s v="Churned"/>
    <n v="1"/>
  </r>
  <r>
    <s v="A-82861f"/>
    <s v="Company_350"/>
    <x v="2"/>
    <s v="UK"/>
    <d v="2024-04-25T00:00:00"/>
    <s v="organic"/>
    <s v="Basic"/>
    <n v="41"/>
    <b v="0"/>
    <b v="0"/>
    <s v="Active"/>
    <n v="0"/>
  </r>
  <r>
    <s v="A-94c3cd"/>
    <s v="Company_351"/>
    <x v="1"/>
    <s v="CA"/>
    <d v="2023-09-20T00:00:00"/>
    <s v="other"/>
    <s v="Enterprise"/>
    <n v="32"/>
    <b v="0"/>
    <b v="0"/>
    <s v="Active"/>
    <n v="0"/>
  </r>
  <r>
    <s v="A-a33200"/>
    <s v="Company_352"/>
    <x v="3"/>
    <s v="US"/>
    <d v="2024-09-15T00:00:00"/>
    <s v="partner"/>
    <s v="Basic"/>
    <n v="29"/>
    <b v="0"/>
    <b v="0"/>
    <s v="Active"/>
    <n v="0"/>
  </r>
  <r>
    <s v="A-034368"/>
    <s v="Company_353"/>
    <x v="0"/>
    <s v="US"/>
    <d v="2023-11-05T00:00:00"/>
    <s v="event"/>
    <s v="Enterprise"/>
    <n v="19"/>
    <b v="0"/>
    <b v="0"/>
    <s v="Active"/>
    <n v="0"/>
  </r>
  <r>
    <s v="A-b54c01"/>
    <s v="Company_354"/>
    <x v="2"/>
    <s v="US"/>
    <d v="2024-09-29T00:00:00"/>
    <s v="event"/>
    <s v="Enterprise"/>
    <n v="29"/>
    <b v="0"/>
    <b v="0"/>
    <s v="Active"/>
    <n v="0"/>
  </r>
  <r>
    <s v="A-d82ef9"/>
    <s v="Company_355"/>
    <x v="0"/>
    <s v="UK"/>
    <d v="2024-07-02T00:00:00"/>
    <s v="other"/>
    <s v="Basic"/>
    <n v="26"/>
    <b v="0"/>
    <b v="1"/>
    <s v="Churned"/>
    <n v="1"/>
  </r>
  <r>
    <s v="A-bb2f49"/>
    <s v="Company_356"/>
    <x v="4"/>
    <s v="US"/>
    <d v="2023-05-28T00:00:00"/>
    <s v="other"/>
    <s v="Pro"/>
    <n v="8"/>
    <b v="0"/>
    <b v="0"/>
    <s v="Active"/>
    <n v="0"/>
  </r>
  <r>
    <s v="A-1f559b"/>
    <s v="Company_357"/>
    <x v="3"/>
    <s v="US"/>
    <d v="2023-09-04T00:00:00"/>
    <s v="organic"/>
    <s v="Enterprise"/>
    <n v="5"/>
    <b v="1"/>
    <b v="1"/>
    <s v="Churned"/>
    <n v="1"/>
  </r>
  <r>
    <s v="A-5a215a"/>
    <s v="Company_358"/>
    <x v="0"/>
    <s v="FR"/>
    <d v="2024-01-05T00:00:00"/>
    <s v="other"/>
    <s v="Enterprise"/>
    <n v="87"/>
    <b v="0"/>
    <b v="0"/>
    <s v="Active"/>
    <n v="0"/>
  </r>
  <r>
    <s v="A-3f9cc0"/>
    <s v="Company_359"/>
    <x v="3"/>
    <s v="US"/>
    <d v="2024-06-03T00:00:00"/>
    <s v="event"/>
    <s v="Basic"/>
    <n v="22"/>
    <b v="0"/>
    <b v="0"/>
    <s v="Active"/>
    <n v="0"/>
  </r>
  <r>
    <s v="A-f9cc74"/>
    <s v="Company_360"/>
    <x v="2"/>
    <s v="FR"/>
    <d v="2024-10-12T00:00:00"/>
    <s v="partner"/>
    <s v="Enterprise"/>
    <n v="30"/>
    <b v="1"/>
    <b v="0"/>
    <s v="Active"/>
    <n v="0"/>
  </r>
  <r>
    <s v="A-ed510f"/>
    <s v="Company_361"/>
    <x v="4"/>
    <s v="IN"/>
    <d v="2023-01-17T00:00:00"/>
    <s v="partner"/>
    <s v="Basic"/>
    <n v="42"/>
    <b v="0"/>
    <b v="0"/>
    <s v="Active"/>
    <n v="0"/>
  </r>
  <r>
    <s v="A-5c9849"/>
    <s v="Company_362"/>
    <x v="0"/>
    <s v="IN"/>
    <d v="2024-11-03T00:00:00"/>
    <s v="partner"/>
    <s v="Basic"/>
    <n v="19"/>
    <b v="0"/>
    <b v="0"/>
    <s v="Active"/>
    <n v="0"/>
  </r>
  <r>
    <s v="A-a7bd4b"/>
    <s v="Company_363"/>
    <x v="4"/>
    <s v="US"/>
    <d v="2023-02-15T00:00:00"/>
    <s v="ads"/>
    <s v="Enterprise"/>
    <n v="5"/>
    <b v="0"/>
    <b v="0"/>
    <s v="Active"/>
    <n v="0"/>
  </r>
  <r>
    <s v="A-d4ac0e"/>
    <s v="Company_364"/>
    <x v="2"/>
    <s v="UK"/>
    <d v="2024-04-20T00:00:00"/>
    <s v="ads"/>
    <s v="Basic"/>
    <n v="18"/>
    <b v="0"/>
    <b v="0"/>
    <s v="Active"/>
    <n v="0"/>
  </r>
  <r>
    <s v="A-ffdfd5"/>
    <s v="Company_365"/>
    <x v="0"/>
    <s v="US"/>
    <d v="2024-04-13T00:00:00"/>
    <s v="organic"/>
    <s v="Basic"/>
    <n v="3"/>
    <b v="0"/>
    <b v="1"/>
    <s v="Churned"/>
    <n v="1"/>
  </r>
  <r>
    <s v="A-0dbdc6"/>
    <s v="Company_366"/>
    <x v="4"/>
    <s v="DE"/>
    <d v="2023-02-12T00:00:00"/>
    <s v="other"/>
    <s v="Pro"/>
    <n v="30"/>
    <b v="0"/>
    <b v="1"/>
    <s v="Churned"/>
    <n v="1"/>
  </r>
  <r>
    <s v="A-7cfe77"/>
    <s v="Company_367"/>
    <x v="2"/>
    <s v="US"/>
    <d v="2024-07-10T00:00:00"/>
    <s v="ads"/>
    <s v="Pro"/>
    <n v="69"/>
    <b v="0"/>
    <b v="0"/>
    <s v="Active"/>
    <n v="0"/>
  </r>
  <r>
    <s v="A-1f0636"/>
    <s v="Company_368"/>
    <x v="0"/>
    <s v="AU"/>
    <d v="2024-01-01T00:00:00"/>
    <s v="partner"/>
    <s v="Pro"/>
    <n v="105"/>
    <b v="0"/>
    <b v="0"/>
    <s v="Active"/>
    <n v="0"/>
  </r>
  <r>
    <s v="A-40de06"/>
    <s v="Company_369"/>
    <x v="4"/>
    <s v="US"/>
    <d v="2023-05-08T00:00:00"/>
    <s v="event"/>
    <s v="Enterprise"/>
    <n v="28"/>
    <b v="0"/>
    <b v="1"/>
    <s v="Churned"/>
    <n v="1"/>
  </r>
  <r>
    <s v="A-cb5333"/>
    <s v="Company_370"/>
    <x v="2"/>
    <s v="US"/>
    <d v="2024-03-26T00:00:00"/>
    <s v="ads"/>
    <s v="Pro"/>
    <n v="33"/>
    <b v="0"/>
    <b v="0"/>
    <s v="Active"/>
    <n v="0"/>
  </r>
  <r>
    <s v="A-309e54"/>
    <s v="Company_371"/>
    <x v="2"/>
    <s v="US"/>
    <d v="2024-12-09T00:00:00"/>
    <s v="other"/>
    <s v="Pro"/>
    <n v="15"/>
    <b v="0"/>
    <b v="0"/>
    <s v="Active"/>
    <n v="0"/>
  </r>
  <r>
    <s v="A-6e7827"/>
    <s v="Company_372"/>
    <x v="2"/>
    <s v="US"/>
    <d v="2023-03-26T00:00:00"/>
    <s v="other"/>
    <s v="Basic"/>
    <n v="1"/>
    <b v="0"/>
    <b v="0"/>
    <s v="Active"/>
    <n v="0"/>
  </r>
  <r>
    <s v="A-50bb9f"/>
    <s v="Company_373"/>
    <x v="4"/>
    <s v="US"/>
    <d v="2024-07-12T00:00:00"/>
    <s v="organic"/>
    <s v="Pro"/>
    <n v="2"/>
    <b v="0"/>
    <b v="0"/>
    <s v="Active"/>
    <n v="0"/>
  </r>
  <r>
    <s v="A-5fe118"/>
    <s v="Company_374"/>
    <x v="4"/>
    <s v="US"/>
    <d v="2024-11-07T00:00:00"/>
    <s v="other"/>
    <s v="Enterprise"/>
    <n v="39"/>
    <b v="0"/>
    <b v="0"/>
    <s v="Active"/>
    <n v="0"/>
  </r>
  <r>
    <s v="A-5247b3"/>
    <s v="Company_375"/>
    <x v="1"/>
    <s v="UK"/>
    <d v="2024-03-12T00:00:00"/>
    <s v="partner"/>
    <s v="Pro"/>
    <n v="16"/>
    <b v="1"/>
    <b v="0"/>
    <s v="Active"/>
    <n v="0"/>
  </r>
  <r>
    <s v="A-f44180"/>
    <s v="Company_376"/>
    <x v="4"/>
    <s v="UK"/>
    <d v="2023-02-13T00:00:00"/>
    <s v="event"/>
    <s v="Pro"/>
    <n v="9"/>
    <b v="0"/>
    <b v="0"/>
    <s v="Active"/>
    <n v="0"/>
  </r>
  <r>
    <s v="A-c16cf7"/>
    <s v="Company_377"/>
    <x v="0"/>
    <s v="US"/>
    <d v="2024-10-16T00:00:00"/>
    <s v="event"/>
    <s v="Pro"/>
    <n v="13"/>
    <b v="1"/>
    <b v="0"/>
    <s v="Active"/>
    <n v="0"/>
  </r>
  <r>
    <s v="A-d42431"/>
    <s v="Company_378"/>
    <x v="1"/>
    <s v="FR"/>
    <d v="2024-06-09T00:00:00"/>
    <s v="ads"/>
    <s v="Enterprise"/>
    <n v="22"/>
    <b v="1"/>
    <b v="0"/>
    <s v="Active"/>
    <n v="0"/>
  </r>
  <r>
    <s v="A-6965e1"/>
    <s v="Company_379"/>
    <x v="2"/>
    <s v="US"/>
    <d v="2024-11-25T00:00:00"/>
    <s v="organic"/>
    <s v="Basic"/>
    <n v="13"/>
    <b v="0"/>
    <b v="0"/>
    <s v="Active"/>
    <n v="0"/>
  </r>
  <r>
    <s v="A-0354fe"/>
    <s v="Company_380"/>
    <x v="4"/>
    <s v="US"/>
    <d v="2024-10-22T00:00:00"/>
    <s v="other"/>
    <s v="Basic"/>
    <n v="34"/>
    <b v="0"/>
    <b v="0"/>
    <s v="Active"/>
    <n v="0"/>
  </r>
  <r>
    <s v="A-0a62f5"/>
    <s v="Company_381"/>
    <x v="1"/>
    <s v="UK"/>
    <d v="2024-09-11T00:00:00"/>
    <s v="partner"/>
    <s v="Pro"/>
    <n v="16"/>
    <b v="0"/>
    <b v="0"/>
    <s v="Active"/>
    <n v="0"/>
  </r>
  <r>
    <s v="A-f5641b"/>
    <s v="Company_382"/>
    <x v="0"/>
    <s v="US"/>
    <d v="2024-03-30T00:00:00"/>
    <s v="other"/>
    <s v="Pro"/>
    <n v="31"/>
    <b v="0"/>
    <b v="0"/>
    <s v="Active"/>
    <n v="0"/>
  </r>
  <r>
    <s v="A-b44e3e"/>
    <s v="Company_383"/>
    <x v="4"/>
    <s v="UK"/>
    <d v="2024-02-12T00:00:00"/>
    <s v="ads"/>
    <s v="Basic"/>
    <n v="40"/>
    <b v="0"/>
    <b v="0"/>
    <s v="Active"/>
    <n v="0"/>
  </r>
  <r>
    <s v="A-3b37d9"/>
    <s v="Company_384"/>
    <x v="1"/>
    <s v="US"/>
    <d v="2023-01-27T00:00:00"/>
    <s v="event"/>
    <s v="Enterprise"/>
    <n v="23"/>
    <b v="0"/>
    <b v="0"/>
    <s v="Active"/>
    <n v="0"/>
  </r>
  <r>
    <s v="A-54d94a"/>
    <s v="Company_385"/>
    <x v="4"/>
    <s v="IN"/>
    <d v="2023-05-01T00:00:00"/>
    <s v="event"/>
    <s v="Basic"/>
    <n v="27"/>
    <b v="0"/>
    <b v="0"/>
    <s v="Active"/>
    <n v="0"/>
  </r>
  <r>
    <s v="A-7f29a7"/>
    <s v="Company_386"/>
    <x v="4"/>
    <s v="UK"/>
    <d v="2024-09-18T00:00:00"/>
    <s v="event"/>
    <s v="Basic"/>
    <n v="41"/>
    <b v="1"/>
    <b v="0"/>
    <s v="Active"/>
    <n v="0"/>
  </r>
  <r>
    <s v="A-089363"/>
    <s v="Company_387"/>
    <x v="1"/>
    <s v="AU"/>
    <d v="2023-05-06T00:00:00"/>
    <s v="event"/>
    <s v="Basic"/>
    <n v="2"/>
    <b v="0"/>
    <b v="0"/>
    <s v="Active"/>
    <n v="0"/>
  </r>
  <r>
    <s v="A-524364"/>
    <s v="Company_388"/>
    <x v="2"/>
    <s v="FR"/>
    <d v="2024-12-31T00:00:00"/>
    <s v="partner"/>
    <s v="Enterprise"/>
    <n v="3"/>
    <b v="0"/>
    <b v="0"/>
    <s v="Active"/>
    <n v="0"/>
  </r>
  <r>
    <s v="A-855a48"/>
    <s v="Company_389"/>
    <x v="0"/>
    <s v="US"/>
    <d v="2023-12-22T00:00:00"/>
    <s v="partner"/>
    <s v="Pro"/>
    <n v="14"/>
    <b v="1"/>
    <b v="0"/>
    <s v="Active"/>
    <n v="0"/>
  </r>
  <r>
    <s v="A-756192"/>
    <s v="Company_390"/>
    <x v="1"/>
    <s v="IN"/>
    <d v="2023-06-11T00:00:00"/>
    <s v="other"/>
    <s v="Basic"/>
    <n v="19"/>
    <b v="0"/>
    <b v="0"/>
    <s v="Active"/>
    <n v="0"/>
  </r>
  <r>
    <s v="A-49b828"/>
    <s v="Company_391"/>
    <x v="1"/>
    <s v="IN"/>
    <d v="2023-05-05T00:00:00"/>
    <s v="ads"/>
    <s v="Pro"/>
    <n v="6"/>
    <b v="0"/>
    <b v="0"/>
    <s v="Active"/>
    <n v="0"/>
  </r>
  <r>
    <s v="A-c7ffc2"/>
    <s v="Company_392"/>
    <x v="4"/>
    <s v="US"/>
    <d v="2023-01-27T00:00:00"/>
    <s v="partner"/>
    <s v="Pro"/>
    <n v="30"/>
    <b v="1"/>
    <b v="0"/>
    <s v="Active"/>
    <n v="0"/>
  </r>
  <r>
    <s v="A-751c58"/>
    <s v="Company_393"/>
    <x v="1"/>
    <s v="UK"/>
    <d v="2024-07-18T00:00:00"/>
    <s v="organic"/>
    <s v="Basic"/>
    <n v="15"/>
    <b v="0"/>
    <b v="0"/>
    <s v="Active"/>
    <n v="0"/>
  </r>
  <r>
    <s v="A-72799b"/>
    <s v="Company_394"/>
    <x v="2"/>
    <s v="FR"/>
    <d v="2023-11-13T00:00:00"/>
    <s v="event"/>
    <s v="Enterprise"/>
    <n v="20"/>
    <b v="0"/>
    <b v="1"/>
    <s v="Churned"/>
    <n v="1"/>
  </r>
  <r>
    <s v="A-812c5b"/>
    <s v="Company_395"/>
    <x v="2"/>
    <s v="CA"/>
    <d v="2024-02-25T00:00:00"/>
    <s v="organic"/>
    <s v="Basic"/>
    <n v="55"/>
    <b v="0"/>
    <b v="1"/>
    <s v="Churned"/>
    <n v="1"/>
  </r>
  <r>
    <s v="A-69b156"/>
    <s v="Company_396"/>
    <x v="0"/>
    <s v="US"/>
    <d v="2023-11-21T00:00:00"/>
    <s v="other"/>
    <s v="Pro"/>
    <n v="7"/>
    <b v="0"/>
    <b v="1"/>
    <s v="Churned"/>
    <n v="1"/>
  </r>
  <r>
    <s v="A-075038"/>
    <s v="Company_397"/>
    <x v="3"/>
    <s v="UK"/>
    <d v="2023-05-12T00:00:00"/>
    <s v="ads"/>
    <s v="Basic"/>
    <n v="17"/>
    <b v="0"/>
    <b v="0"/>
    <s v="Active"/>
    <n v="0"/>
  </r>
  <r>
    <s v="A-940b8b"/>
    <s v="Company_398"/>
    <x v="3"/>
    <s v="DE"/>
    <d v="2024-03-19T00:00:00"/>
    <s v="organic"/>
    <s v="Basic"/>
    <n v="1"/>
    <b v="0"/>
    <b v="0"/>
    <s v="Active"/>
    <n v="0"/>
  </r>
  <r>
    <s v="A-2d1036"/>
    <s v="Company_399"/>
    <x v="1"/>
    <s v="US"/>
    <d v="2024-06-14T00:00:00"/>
    <s v="ads"/>
    <s v="Pro"/>
    <n v="69"/>
    <b v="0"/>
    <b v="1"/>
    <s v="Churned"/>
    <n v="1"/>
  </r>
  <r>
    <s v="A-0f6450"/>
    <s v="Company_400"/>
    <x v="1"/>
    <s v="US"/>
    <d v="2024-12-27T00:00:00"/>
    <s v="other"/>
    <s v="Pro"/>
    <n v="28"/>
    <b v="1"/>
    <b v="1"/>
    <s v="Churned"/>
    <n v="1"/>
  </r>
  <r>
    <s v="A-9affe6"/>
    <s v="Company_401"/>
    <x v="4"/>
    <s v="US"/>
    <d v="2023-03-22T00:00:00"/>
    <s v="other"/>
    <s v="Pro"/>
    <n v="7"/>
    <b v="0"/>
    <b v="0"/>
    <s v="Active"/>
    <n v="0"/>
  </r>
  <r>
    <s v="A-80eeb6"/>
    <s v="Company_402"/>
    <x v="4"/>
    <s v="UK"/>
    <d v="2023-05-09T00:00:00"/>
    <s v="organic"/>
    <s v="Enterprise"/>
    <n v="22"/>
    <b v="0"/>
    <b v="0"/>
    <s v="Active"/>
    <n v="0"/>
  </r>
  <r>
    <s v="A-d4e0d4"/>
    <s v="Company_403"/>
    <x v="1"/>
    <s v="US"/>
    <d v="2024-10-18T00:00:00"/>
    <s v="other"/>
    <s v="Basic"/>
    <n v="117"/>
    <b v="0"/>
    <b v="0"/>
    <s v="Active"/>
    <n v="0"/>
  </r>
  <r>
    <s v="A-c7e58b"/>
    <s v="Company_404"/>
    <x v="3"/>
    <s v="IN"/>
    <d v="2023-06-25T00:00:00"/>
    <s v="other"/>
    <s v="Pro"/>
    <n v="3"/>
    <b v="0"/>
    <b v="0"/>
    <s v="Active"/>
    <n v="0"/>
  </r>
  <r>
    <s v="A-016043"/>
    <s v="Company_405"/>
    <x v="0"/>
    <s v="CA"/>
    <d v="2024-07-31T00:00:00"/>
    <s v="organic"/>
    <s v="Basic"/>
    <n v="4"/>
    <b v="1"/>
    <b v="0"/>
    <s v="Active"/>
    <n v="0"/>
  </r>
  <r>
    <s v="A-bbe56f"/>
    <s v="Company_406"/>
    <x v="3"/>
    <s v="US"/>
    <d v="2023-02-16T00:00:00"/>
    <s v="ads"/>
    <s v="Enterprise"/>
    <n v="21"/>
    <b v="0"/>
    <b v="0"/>
    <s v="Active"/>
    <n v="0"/>
  </r>
  <r>
    <s v="A-7c5768"/>
    <s v="Company_407"/>
    <x v="3"/>
    <s v="UK"/>
    <d v="2024-03-02T00:00:00"/>
    <s v="event"/>
    <s v="Enterprise"/>
    <n v="3"/>
    <b v="0"/>
    <b v="0"/>
    <s v="Active"/>
    <n v="0"/>
  </r>
  <r>
    <s v="A-751bd4"/>
    <s v="Company_408"/>
    <x v="4"/>
    <s v="UK"/>
    <d v="2024-07-12T00:00:00"/>
    <s v="partner"/>
    <s v="Pro"/>
    <n v="10"/>
    <b v="0"/>
    <b v="0"/>
    <s v="Active"/>
    <n v="0"/>
  </r>
  <r>
    <s v="A-4e0e85"/>
    <s v="Company_409"/>
    <x v="2"/>
    <s v="US"/>
    <d v="2023-09-08T00:00:00"/>
    <s v="organic"/>
    <s v="Enterprise"/>
    <n v="6"/>
    <b v="0"/>
    <b v="0"/>
    <s v="Active"/>
    <n v="0"/>
  </r>
  <r>
    <s v="A-ad3abd"/>
    <s v="Company_410"/>
    <x v="1"/>
    <s v="US"/>
    <d v="2023-03-03T00:00:00"/>
    <s v="event"/>
    <s v="Pro"/>
    <n v="44"/>
    <b v="0"/>
    <b v="0"/>
    <s v="Active"/>
    <n v="0"/>
  </r>
  <r>
    <s v="A-e19ff6"/>
    <s v="Company_411"/>
    <x v="4"/>
    <s v="UK"/>
    <d v="2023-07-28T00:00:00"/>
    <s v="partner"/>
    <s v="Enterprise"/>
    <n v="1"/>
    <b v="0"/>
    <b v="0"/>
    <s v="Active"/>
    <n v="0"/>
  </r>
  <r>
    <s v="A-7920cc"/>
    <s v="Company_412"/>
    <x v="4"/>
    <s v="FR"/>
    <d v="2023-11-23T00:00:00"/>
    <s v="ads"/>
    <s v="Pro"/>
    <n v="39"/>
    <b v="0"/>
    <b v="0"/>
    <s v="Active"/>
    <n v="0"/>
  </r>
  <r>
    <s v="A-5a92e7"/>
    <s v="Company_413"/>
    <x v="3"/>
    <s v="US"/>
    <d v="2024-06-11T00:00:00"/>
    <s v="ads"/>
    <s v="Pro"/>
    <n v="4"/>
    <b v="0"/>
    <b v="0"/>
    <s v="Active"/>
    <n v="0"/>
  </r>
  <r>
    <s v="A-fdfc91"/>
    <s v="Company_414"/>
    <x v="4"/>
    <s v="US"/>
    <d v="2023-05-06T00:00:00"/>
    <s v="ads"/>
    <s v="Basic"/>
    <n v="29"/>
    <b v="0"/>
    <b v="0"/>
    <s v="Active"/>
    <n v="0"/>
  </r>
  <r>
    <s v="A-1e50e0"/>
    <s v="Company_415"/>
    <x v="4"/>
    <s v="DE"/>
    <d v="2023-02-21T00:00:00"/>
    <s v="other"/>
    <s v="Pro"/>
    <n v="19"/>
    <b v="1"/>
    <b v="1"/>
    <s v="Churned"/>
    <n v="1"/>
  </r>
  <r>
    <s v="A-1e1b80"/>
    <s v="Company_416"/>
    <x v="1"/>
    <s v="CA"/>
    <d v="2023-09-12T00:00:00"/>
    <s v="other"/>
    <s v="Enterprise"/>
    <n v="50"/>
    <b v="0"/>
    <b v="0"/>
    <s v="Active"/>
    <n v="0"/>
  </r>
  <r>
    <s v="A-659280"/>
    <s v="Company_417"/>
    <x v="1"/>
    <s v="IN"/>
    <d v="2023-11-17T00:00:00"/>
    <s v="event"/>
    <s v="Enterprise"/>
    <n v="13"/>
    <b v="1"/>
    <b v="1"/>
    <s v="Churned"/>
    <n v="1"/>
  </r>
  <r>
    <s v="A-f6b2fb"/>
    <s v="Company_418"/>
    <x v="2"/>
    <s v="AU"/>
    <d v="2024-04-23T00:00:00"/>
    <s v="event"/>
    <s v="Basic"/>
    <n v="23"/>
    <b v="0"/>
    <b v="0"/>
    <s v="Active"/>
    <n v="0"/>
  </r>
  <r>
    <s v="A-cb6cc6"/>
    <s v="Company_419"/>
    <x v="2"/>
    <s v="US"/>
    <d v="2023-04-03T00:00:00"/>
    <s v="ads"/>
    <s v="Basic"/>
    <n v="13"/>
    <b v="1"/>
    <b v="0"/>
    <s v="Active"/>
    <n v="0"/>
  </r>
  <r>
    <s v="A-d62e02"/>
    <s v="Company_420"/>
    <x v="4"/>
    <s v="US"/>
    <d v="2024-08-20T00:00:00"/>
    <s v="partner"/>
    <s v="Pro"/>
    <n v="6"/>
    <b v="0"/>
    <b v="0"/>
    <s v="Active"/>
    <n v="0"/>
  </r>
  <r>
    <s v="A-d535f6"/>
    <s v="Company_421"/>
    <x v="2"/>
    <s v="US"/>
    <d v="2024-09-03T00:00:00"/>
    <s v="organic"/>
    <s v="Basic"/>
    <n v="12"/>
    <b v="1"/>
    <b v="1"/>
    <s v="Churned"/>
    <n v="1"/>
  </r>
  <r>
    <s v="A-39868b"/>
    <s v="Company_422"/>
    <x v="1"/>
    <s v="AU"/>
    <d v="2024-03-17T00:00:00"/>
    <s v="partner"/>
    <s v="Pro"/>
    <n v="9"/>
    <b v="0"/>
    <b v="0"/>
    <s v="Active"/>
    <n v="0"/>
  </r>
  <r>
    <s v="A-3cc791"/>
    <s v="Company_423"/>
    <x v="0"/>
    <s v="US"/>
    <d v="2024-01-10T00:00:00"/>
    <s v="other"/>
    <s v="Enterprise"/>
    <n v="6"/>
    <b v="0"/>
    <b v="0"/>
    <s v="Active"/>
    <n v="0"/>
  </r>
  <r>
    <s v="A-337bc1"/>
    <s v="Company_424"/>
    <x v="4"/>
    <s v="US"/>
    <d v="2023-07-19T00:00:00"/>
    <s v="organic"/>
    <s v="Pro"/>
    <n v="30"/>
    <b v="1"/>
    <b v="0"/>
    <s v="Active"/>
    <n v="0"/>
  </r>
  <r>
    <s v="A-58b9ff"/>
    <s v="Company_425"/>
    <x v="2"/>
    <s v="IN"/>
    <d v="2024-05-31T00:00:00"/>
    <s v="partner"/>
    <s v="Enterprise"/>
    <n v="2"/>
    <b v="0"/>
    <b v="0"/>
    <s v="Active"/>
    <n v="0"/>
  </r>
  <r>
    <s v="A-bf7919"/>
    <s v="Company_426"/>
    <x v="3"/>
    <s v="US"/>
    <d v="2024-11-27T00:00:00"/>
    <s v="organic"/>
    <s v="Pro"/>
    <n v="3"/>
    <b v="0"/>
    <b v="0"/>
    <s v="Active"/>
    <n v="0"/>
  </r>
  <r>
    <s v="A-1d5444"/>
    <s v="Company_427"/>
    <x v="4"/>
    <s v="US"/>
    <d v="2024-01-18T00:00:00"/>
    <s v="partner"/>
    <s v="Basic"/>
    <n v="24"/>
    <b v="0"/>
    <b v="1"/>
    <s v="Churned"/>
    <n v="1"/>
  </r>
  <r>
    <s v="A-0f3e88"/>
    <s v="Company_428"/>
    <x v="3"/>
    <s v="US"/>
    <d v="2023-07-23T00:00:00"/>
    <s v="other"/>
    <s v="Basic"/>
    <n v="7"/>
    <b v="0"/>
    <b v="1"/>
    <s v="Churned"/>
    <n v="1"/>
  </r>
  <r>
    <s v="A-7641d3"/>
    <s v="Company_429"/>
    <x v="0"/>
    <s v="US"/>
    <d v="2023-02-16T00:00:00"/>
    <s v="partner"/>
    <s v="Pro"/>
    <n v="8"/>
    <b v="1"/>
    <b v="1"/>
    <s v="Churned"/>
    <n v="1"/>
  </r>
  <r>
    <s v="A-cd458b"/>
    <s v="Company_430"/>
    <x v="2"/>
    <s v="US"/>
    <d v="2024-06-15T00:00:00"/>
    <s v="other"/>
    <s v="Basic"/>
    <n v="10"/>
    <b v="1"/>
    <b v="0"/>
    <s v="Active"/>
    <n v="0"/>
  </r>
  <r>
    <s v="A-c16b88"/>
    <s v="Company_431"/>
    <x v="3"/>
    <s v="US"/>
    <d v="2023-12-02T00:00:00"/>
    <s v="event"/>
    <s v="Enterprise"/>
    <n v="23"/>
    <b v="0"/>
    <b v="0"/>
    <s v="Active"/>
    <n v="0"/>
  </r>
  <r>
    <s v="A-59f724"/>
    <s v="Company_432"/>
    <x v="3"/>
    <s v="US"/>
    <d v="2023-11-03T00:00:00"/>
    <s v="other"/>
    <s v="Enterprise"/>
    <n v="3"/>
    <b v="1"/>
    <b v="0"/>
    <s v="Active"/>
    <n v="0"/>
  </r>
  <r>
    <s v="A-87aa7b"/>
    <s v="Company_433"/>
    <x v="3"/>
    <s v="US"/>
    <d v="2024-05-16T00:00:00"/>
    <s v="organic"/>
    <s v="Pro"/>
    <n v="24"/>
    <b v="1"/>
    <b v="0"/>
    <s v="Active"/>
    <n v="0"/>
  </r>
  <r>
    <s v="A-1e6fc3"/>
    <s v="Company_434"/>
    <x v="0"/>
    <s v="FR"/>
    <d v="2023-12-06T00:00:00"/>
    <s v="other"/>
    <s v="Pro"/>
    <n v="1"/>
    <b v="0"/>
    <b v="0"/>
    <s v="Active"/>
    <n v="0"/>
  </r>
  <r>
    <s v="A-39ddf4"/>
    <s v="Company_435"/>
    <x v="0"/>
    <s v="US"/>
    <d v="2024-12-05T00:00:00"/>
    <s v="partner"/>
    <s v="Enterprise"/>
    <n v="40"/>
    <b v="0"/>
    <b v="0"/>
    <s v="Active"/>
    <n v="0"/>
  </r>
  <r>
    <s v="A-34ea2f"/>
    <s v="Company_436"/>
    <x v="3"/>
    <s v="US"/>
    <d v="2024-08-15T00:00:00"/>
    <s v="organic"/>
    <s v="Enterprise"/>
    <n v="8"/>
    <b v="0"/>
    <b v="1"/>
    <s v="Churned"/>
    <n v="1"/>
  </r>
  <r>
    <s v="A-716841"/>
    <s v="Company_437"/>
    <x v="1"/>
    <s v="US"/>
    <d v="2024-05-06T00:00:00"/>
    <s v="other"/>
    <s v="Pro"/>
    <n v="45"/>
    <b v="0"/>
    <b v="0"/>
    <s v="Active"/>
    <n v="0"/>
  </r>
  <r>
    <s v="A-558c72"/>
    <s v="Company_438"/>
    <x v="1"/>
    <s v="US"/>
    <d v="2023-06-01T00:00:00"/>
    <s v="organic"/>
    <s v="Basic"/>
    <n v="12"/>
    <b v="0"/>
    <b v="0"/>
    <s v="Active"/>
    <n v="0"/>
  </r>
  <r>
    <s v="A-b11cd0"/>
    <s v="Company_439"/>
    <x v="2"/>
    <s v="US"/>
    <d v="2023-01-20T00:00:00"/>
    <s v="ads"/>
    <s v="Pro"/>
    <n v="26"/>
    <b v="1"/>
    <b v="1"/>
    <s v="Churned"/>
    <n v="1"/>
  </r>
  <r>
    <s v="A-cc1d8d"/>
    <s v="Company_440"/>
    <x v="1"/>
    <s v="US"/>
    <d v="2024-12-08T00:00:00"/>
    <s v="other"/>
    <s v="Pro"/>
    <n v="5"/>
    <b v="0"/>
    <b v="0"/>
    <s v="Active"/>
    <n v="0"/>
  </r>
  <r>
    <s v="A-7f4db3"/>
    <s v="Company_441"/>
    <x v="1"/>
    <s v="US"/>
    <d v="2023-03-05T00:00:00"/>
    <s v="other"/>
    <s v="Pro"/>
    <n v="4"/>
    <b v="0"/>
    <b v="0"/>
    <s v="Active"/>
    <n v="0"/>
  </r>
  <r>
    <s v="A-db5e9e"/>
    <s v="Company_442"/>
    <x v="2"/>
    <s v="US"/>
    <d v="2024-11-09T00:00:00"/>
    <s v="partner"/>
    <s v="Basic"/>
    <n v="4"/>
    <b v="0"/>
    <b v="0"/>
    <s v="Active"/>
    <n v="0"/>
  </r>
  <r>
    <s v="A-cc102e"/>
    <s v="Company_443"/>
    <x v="3"/>
    <s v="US"/>
    <d v="2024-04-15T00:00:00"/>
    <s v="partner"/>
    <s v="Enterprise"/>
    <n v="13"/>
    <b v="0"/>
    <b v="0"/>
    <s v="Active"/>
    <n v="0"/>
  </r>
  <r>
    <s v="A-82d8a6"/>
    <s v="Company_444"/>
    <x v="4"/>
    <s v="UK"/>
    <d v="2024-11-28T00:00:00"/>
    <s v="ads"/>
    <s v="Basic"/>
    <n v="5"/>
    <b v="0"/>
    <b v="0"/>
    <s v="Active"/>
    <n v="0"/>
  </r>
  <r>
    <s v="A-dec005"/>
    <s v="Company_445"/>
    <x v="3"/>
    <s v="US"/>
    <d v="2023-10-13T00:00:00"/>
    <s v="partner"/>
    <s v="Pro"/>
    <n v="21"/>
    <b v="0"/>
    <b v="0"/>
    <s v="Active"/>
    <n v="0"/>
  </r>
  <r>
    <s v="A-5790f4"/>
    <s v="Company_446"/>
    <x v="1"/>
    <s v="UK"/>
    <d v="2024-12-22T00:00:00"/>
    <s v="event"/>
    <s v="Pro"/>
    <n v="1"/>
    <b v="1"/>
    <b v="0"/>
    <s v="Active"/>
    <n v="0"/>
  </r>
  <r>
    <s v="A-7c83a1"/>
    <s v="Company_447"/>
    <x v="4"/>
    <s v="US"/>
    <d v="2024-05-06T00:00:00"/>
    <s v="partner"/>
    <s v="Pro"/>
    <n v="12"/>
    <b v="0"/>
    <b v="0"/>
    <s v="Active"/>
    <n v="0"/>
  </r>
  <r>
    <s v="A-297a2d"/>
    <s v="Company_448"/>
    <x v="3"/>
    <s v="UK"/>
    <d v="2023-05-05T00:00:00"/>
    <s v="event"/>
    <s v="Pro"/>
    <n v="27"/>
    <b v="0"/>
    <b v="0"/>
    <s v="Active"/>
    <n v="0"/>
  </r>
  <r>
    <s v="A-4c56c9"/>
    <s v="Company_449"/>
    <x v="1"/>
    <s v="US"/>
    <d v="2023-12-20T00:00:00"/>
    <s v="partner"/>
    <s v="Enterprise"/>
    <n v="9"/>
    <b v="0"/>
    <b v="1"/>
    <s v="Churned"/>
    <n v="1"/>
  </r>
  <r>
    <s v="A-cbbe12"/>
    <s v="Company_450"/>
    <x v="4"/>
    <s v="DE"/>
    <d v="2023-03-22T00:00:00"/>
    <s v="partner"/>
    <s v="Enterprise"/>
    <n v="40"/>
    <b v="0"/>
    <b v="0"/>
    <s v="Active"/>
    <n v="0"/>
  </r>
  <r>
    <s v="A-4a267b"/>
    <s v="Company_451"/>
    <x v="1"/>
    <s v="US"/>
    <d v="2024-05-05T00:00:00"/>
    <s v="other"/>
    <s v="Pro"/>
    <n v="25"/>
    <b v="0"/>
    <b v="0"/>
    <s v="Active"/>
    <n v="0"/>
  </r>
  <r>
    <s v="A-bcbe98"/>
    <s v="Company_452"/>
    <x v="4"/>
    <s v="US"/>
    <d v="2024-07-29T00:00:00"/>
    <s v="other"/>
    <s v="Enterprise"/>
    <n v="46"/>
    <b v="0"/>
    <b v="0"/>
    <s v="Active"/>
    <n v="0"/>
  </r>
  <r>
    <s v="A-427b69"/>
    <s v="Company_453"/>
    <x v="1"/>
    <s v="US"/>
    <d v="2024-08-23T00:00:00"/>
    <s v="other"/>
    <s v="Basic"/>
    <n v="17"/>
    <b v="0"/>
    <b v="0"/>
    <s v="Active"/>
    <n v="0"/>
  </r>
  <r>
    <s v="A-0be015"/>
    <s v="Company_454"/>
    <x v="1"/>
    <s v="US"/>
    <d v="2024-10-15T00:00:00"/>
    <s v="event"/>
    <s v="Pro"/>
    <n v="19"/>
    <b v="0"/>
    <b v="0"/>
    <s v="Active"/>
    <n v="0"/>
  </r>
  <r>
    <s v="A-054577"/>
    <s v="Company_455"/>
    <x v="0"/>
    <s v="UK"/>
    <d v="2024-04-28T00:00:00"/>
    <s v="ads"/>
    <s v="Basic"/>
    <n v="2"/>
    <b v="0"/>
    <b v="0"/>
    <s v="Active"/>
    <n v="0"/>
  </r>
  <r>
    <s v="A-bc87bc"/>
    <s v="Company_456"/>
    <x v="1"/>
    <s v="US"/>
    <d v="2024-07-17T00:00:00"/>
    <s v="event"/>
    <s v="Pro"/>
    <n v="3"/>
    <b v="0"/>
    <b v="0"/>
    <s v="Active"/>
    <n v="0"/>
  </r>
  <r>
    <s v="A-0f7d77"/>
    <s v="Company_457"/>
    <x v="1"/>
    <s v="IN"/>
    <d v="2024-10-28T00:00:00"/>
    <s v="partner"/>
    <s v="Pro"/>
    <n v="3"/>
    <b v="0"/>
    <b v="0"/>
    <s v="Active"/>
    <n v="0"/>
  </r>
  <r>
    <s v="A-e7beab"/>
    <s v="Company_458"/>
    <x v="0"/>
    <s v="DE"/>
    <d v="2023-10-20T00:00:00"/>
    <s v="organic"/>
    <s v="Enterprise"/>
    <n v="5"/>
    <b v="0"/>
    <b v="0"/>
    <s v="Active"/>
    <n v="0"/>
  </r>
  <r>
    <s v="A-a09355"/>
    <s v="Company_459"/>
    <x v="1"/>
    <s v="US"/>
    <d v="2024-08-10T00:00:00"/>
    <s v="organic"/>
    <s v="Basic"/>
    <n v="14"/>
    <b v="0"/>
    <b v="0"/>
    <s v="Active"/>
    <n v="0"/>
  </r>
  <r>
    <s v="A-31ab9a"/>
    <s v="Company_460"/>
    <x v="1"/>
    <s v="DE"/>
    <d v="2024-03-03T00:00:00"/>
    <s v="organic"/>
    <s v="Pro"/>
    <n v="3"/>
    <b v="0"/>
    <b v="0"/>
    <s v="Active"/>
    <n v="0"/>
  </r>
  <r>
    <s v="A-0158bb"/>
    <s v="Company_461"/>
    <x v="1"/>
    <s v="DE"/>
    <d v="2024-05-22T00:00:00"/>
    <s v="partner"/>
    <s v="Basic"/>
    <n v="5"/>
    <b v="0"/>
    <b v="0"/>
    <s v="Active"/>
    <n v="0"/>
  </r>
  <r>
    <s v="A-f19b24"/>
    <s v="Company_462"/>
    <x v="4"/>
    <s v="US"/>
    <d v="2023-01-10T00:00:00"/>
    <s v="organic"/>
    <s v="Pro"/>
    <n v="29"/>
    <b v="1"/>
    <b v="0"/>
    <s v="Active"/>
    <n v="0"/>
  </r>
  <r>
    <s v="A-798a3f"/>
    <s v="Company_463"/>
    <x v="2"/>
    <s v="FR"/>
    <d v="2023-10-19T00:00:00"/>
    <s v="other"/>
    <s v="Enterprise"/>
    <n v="12"/>
    <b v="0"/>
    <b v="1"/>
    <s v="Churned"/>
    <n v="1"/>
  </r>
  <r>
    <s v="A-42b791"/>
    <s v="Company_464"/>
    <x v="1"/>
    <s v="AU"/>
    <d v="2024-05-20T00:00:00"/>
    <s v="event"/>
    <s v="Pro"/>
    <n v="3"/>
    <b v="0"/>
    <b v="0"/>
    <s v="Active"/>
    <n v="0"/>
  </r>
  <r>
    <s v="A-068fc6"/>
    <s v="Company_465"/>
    <x v="0"/>
    <s v="US"/>
    <d v="2023-07-17T00:00:00"/>
    <s v="event"/>
    <s v="Enterprise"/>
    <n v="35"/>
    <b v="0"/>
    <b v="0"/>
    <s v="Active"/>
    <n v="0"/>
  </r>
  <r>
    <s v="A-6f50ae"/>
    <s v="Company_466"/>
    <x v="1"/>
    <s v="US"/>
    <d v="2023-09-21T00:00:00"/>
    <s v="partner"/>
    <s v="Pro"/>
    <n v="19"/>
    <b v="0"/>
    <b v="1"/>
    <s v="Churned"/>
    <n v="1"/>
  </r>
  <r>
    <s v="A-a2485e"/>
    <s v="Company_467"/>
    <x v="1"/>
    <s v="US"/>
    <d v="2024-08-04T00:00:00"/>
    <s v="event"/>
    <s v="Pro"/>
    <n v="3"/>
    <b v="1"/>
    <b v="0"/>
    <s v="Active"/>
    <n v="0"/>
  </r>
  <r>
    <s v="A-bb1eaa"/>
    <s v="Company_468"/>
    <x v="4"/>
    <s v="US"/>
    <d v="2024-06-11T00:00:00"/>
    <s v="organic"/>
    <s v="Basic"/>
    <n v="21"/>
    <b v="0"/>
    <b v="0"/>
    <s v="Active"/>
    <n v="0"/>
  </r>
  <r>
    <s v="A-cc98bc"/>
    <s v="Company_469"/>
    <x v="2"/>
    <s v="US"/>
    <d v="2023-05-24T00:00:00"/>
    <s v="ads"/>
    <s v="Basic"/>
    <n v="32"/>
    <b v="0"/>
    <b v="0"/>
    <s v="Active"/>
    <n v="0"/>
  </r>
  <r>
    <s v="A-d77f4c"/>
    <s v="Company_470"/>
    <x v="2"/>
    <s v="US"/>
    <d v="2023-09-25T00:00:00"/>
    <s v="partner"/>
    <s v="Pro"/>
    <n v="4"/>
    <b v="1"/>
    <b v="0"/>
    <s v="Active"/>
    <n v="0"/>
  </r>
  <r>
    <s v="A-ccabf0"/>
    <s v="Company_471"/>
    <x v="3"/>
    <s v="IN"/>
    <d v="2023-11-06T00:00:00"/>
    <s v="organic"/>
    <s v="Pro"/>
    <n v="1"/>
    <b v="0"/>
    <b v="0"/>
    <s v="Active"/>
    <n v="0"/>
  </r>
  <r>
    <s v="A-700ade"/>
    <s v="Company_472"/>
    <x v="4"/>
    <s v="UK"/>
    <d v="2024-10-31T00:00:00"/>
    <s v="organic"/>
    <s v="Enterprise"/>
    <n v="1"/>
    <b v="1"/>
    <b v="0"/>
    <s v="Active"/>
    <n v="0"/>
  </r>
  <r>
    <s v="A-4a4c2d"/>
    <s v="Company_473"/>
    <x v="2"/>
    <s v="US"/>
    <d v="2023-05-02T00:00:00"/>
    <s v="event"/>
    <s v="Enterprise"/>
    <n v="54"/>
    <b v="0"/>
    <b v="0"/>
    <s v="Active"/>
    <n v="0"/>
  </r>
  <r>
    <s v="A-b7ef83"/>
    <s v="Company_474"/>
    <x v="4"/>
    <s v="UK"/>
    <d v="2024-05-29T00:00:00"/>
    <s v="partner"/>
    <s v="Pro"/>
    <n v="1"/>
    <b v="1"/>
    <b v="0"/>
    <s v="Active"/>
    <n v="0"/>
  </r>
  <r>
    <s v="A-e08cd3"/>
    <s v="Company_475"/>
    <x v="1"/>
    <s v="US"/>
    <d v="2024-09-21T00:00:00"/>
    <s v="ads"/>
    <s v="Pro"/>
    <n v="67"/>
    <b v="1"/>
    <b v="0"/>
    <s v="Active"/>
    <n v="0"/>
  </r>
  <r>
    <s v="A-19b2c8"/>
    <s v="Company_476"/>
    <x v="2"/>
    <s v="IN"/>
    <d v="2023-06-06T00:00:00"/>
    <s v="other"/>
    <s v="Pro"/>
    <n v="20"/>
    <b v="0"/>
    <b v="0"/>
    <s v="Active"/>
    <n v="0"/>
  </r>
  <r>
    <s v="A-970c97"/>
    <s v="Company_477"/>
    <x v="3"/>
    <s v="DE"/>
    <d v="2024-03-01T00:00:00"/>
    <s v="other"/>
    <s v="Enterprise"/>
    <n v="14"/>
    <b v="0"/>
    <b v="0"/>
    <s v="Active"/>
    <n v="0"/>
  </r>
  <r>
    <s v="A-6dee43"/>
    <s v="Company_478"/>
    <x v="1"/>
    <s v="UK"/>
    <d v="2023-08-12T00:00:00"/>
    <s v="other"/>
    <s v="Basic"/>
    <n v="3"/>
    <b v="1"/>
    <b v="0"/>
    <s v="Active"/>
    <n v="0"/>
  </r>
  <r>
    <s v="A-5ed98d"/>
    <s v="Company_479"/>
    <x v="2"/>
    <s v="US"/>
    <d v="2024-06-22T00:00:00"/>
    <s v="partner"/>
    <s v="Basic"/>
    <n v="24"/>
    <b v="0"/>
    <b v="0"/>
    <s v="Active"/>
    <n v="0"/>
  </r>
  <r>
    <s v="A-c58f49"/>
    <s v="Company_480"/>
    <x v="0"/>
    <s v="US"/>
    <d v="2024-07-31T00:00:00"/>
    <s v="other"/>
    <s v="Enterprise"/>
    <n v="70"/>
    <b v="1"/>
    <b v="0"/>
    <s v="Active"/>
    <n v="0"/>
  </r>
  <r>
    <s v="A-9c18c4"/>
    <s v="Company_481"/>
    <x v="3"/>
    <s v="US"/>
    <d v="2023-07-27T00:00:00"/>
    <s v="ads"/>
    <s v="Pro"/>
    <n v="11"/>
    <b v="0"/>
    <b v="1"/>
    <s v="Churned"/>
    <n v="1"/>
  </r>
  <r>
    <s v="A-cc8c8f"/>
    <s v="Company_482"/>
    <x v="2"/>
    <s v="US"/>
    <d v="2024-06-16T00:00:00"/>
    <s v="ads"/>
    <s v="Enterprise"/>
    <n v="23"/>
    <b v="0"/>
    <b v="0"/>
    <s v="Active"/>
    <n v="0"/>
  </r>
  <r>
    <s v="A-5f7781"/>
    <s v="Company_483"/>
    <x v="2"/>
    <s v="US"/>
    <d v="2024-08-20T00:00:00"/>
    <s v="other"/>
    <s v="Pro"/>
    <n v="22"/>
    <b v="0"/>
    <b v="0"/>
    <s v="Active"/>
    <n v="0"/>
  </r>
  <r>
    <s v="A-e1b9cd"/>
    <s v="Company_484"/>
    <x v="2"/>
    <s v="US"/>
    <d v="2023-02-26T00:00:00"/>
    <s v="event"/>
    <s v="Pro"/>
    <n v="40"/>
    <b v="0"/>
    <b v="1"/>
    <s v="Churned"/>
    <n v="1"/>
  </r>
  <r>
    <s v="A-ac85cd"/>
    <s v="Company_485"/>
    <x v="0"/>
    <s v="US"/>
    <d v="2024-07-31T00:00:00"/>
    <s v="partner"/>
    <s v="Enterprise"/>
    <n v="53"/>
    <b v="0"/>
    <b v="0"/>
    <s v="Active"/>
    <n v="0"/>
  </r>
  <r>
    <s v="A-d792a6"/>
    <s v="Company_486"/>
    <x v="2"/>
    <s v="US"/>
    <d v="2023-01-23T00:00:00"/>
    <s v="organic"/>
    <s v="Enterprise"/>
    <n v="4"/>
    <b v="0"/>
    <b v="0"/>
    <s v="Active"/>
    <n v="0"/>
  </r>
  <r>
    <s v="A-ac9111"/>
    <s v="Company_487"/>
    <x v="3"/>
    <s v="US"/>
    <d v="2023-08-12T00:00:00"/>
    <s v="event"/>
    <s v="Pro"/>
    <n v="21"/>
    <b v="1"/>
    <b v="0"/>
    <s v="Active"/>
    <n v="0"/>
  </r>
  <r>
    <s v="A-18793f"/>
    <s v="Company_488"/>
    <x v="0"/>
    <s v="US"/>
    <d v="2024-12-18T00:00:00"/>
    <s v="organic"/>
    <s v="Basic"/>
    <n v="148"/>
    <b v="1"/>
    <b v="0"/>
    <s v="Active"/>
    <n v="0"/>
  </r>
  <r>
    <s v="A-9f0b68"/>
    <s v="Company_489"/>
    <x v="0"/>
    <s v="US"/>
    <d v="2024-04-28T00:00:00"/>
    <s v="ads"/>
    <s v="Basic"/>
    <n v="10"/>
    <b v="0"/>
    <b v="0"/>
    <s v="Active"/>
    <n v="0"/>
  </r>
  <r>
    <s v="A-d3c88e"/>
    <s v="Company_490"/>
    <x v="2"/>
    <s v="US"/>
    <d v="2024-10-18T00:00:00"/>
    <s v="event"/>
    <s v="Pro"/>
    <n v="16"/>
    <b v="0"/>
    <b v="0"/>
    <s v="Active"/>
    <n v="0"/>
  </r>
  <r>
    <s v="A-ccb686"/>
    <s v="Company_491"/>
    <x v="2"/>
    <s v="US"/>
    <d v="2024-01-22T00:00:00"/>
    <s v="other"/>
    <s v="Basic"/>
    <n v="10"/>
    <b v="0"/>
    <b v="0"/>
    <s v="Active"/>
    <n v="0"/>
  </r>
  <r>
    <s v="A-118f1c"/>
    <s v="Company_492"/>
    <x v="4"/>
    <s v="US"/>
    <d v="2024-10-31T00:00:00"/>
    <s v="other"/>
    <s v="Pro"/>
    <n v="32"/>
    <b v="0"/>
    <b v="0"/>
    <s v="Active"/>
    <n v="0"/>
  </r>
  <r>
    <s v="A-0e966d"/>
    <s v="Company_493"/>
    <x v="1"/>
    <s v="IN"/>
    <d v="2024-06-25T00:00:00"/>
    <s v="ads"/>
    <s v="Basic"/>
    <n v="11"/>
    <b v="0"/>
    <b v="1"/>
    <s v="Churned"/>
    <n v="1"/>
  </r>
  <r>
    <s v="A-b9f5b1"/>
    <s v="Company_494"/>
    <x v="4"/>
    <s v="US"/>
    <d v="2023-01-24T00:00:00"/>
    <s v="other"/>
    <s v="Pro"/>
    <n v="15"/>
    <b v="1"/>
    <b v="0"/>
    <s v="Active"/>
    <n v="0"/>
  </r>
  <r>
    <s v="A-8ae3fc"/>
    <s v="Company_495"/>
    <x v="2"/>
    <s v="CA"/>
    <d v="2024-06-28T00:00:00"/>
    <s v="ads"/>
    <s v="Pro"/>
    <n v="9"/>
    <b v="0"/>
    <b v="0"/>
    <s v="Active"/>
    <n v="0"/>
  </r>
  <r>
    <s v="A-55f257"/>
    <s v="Company_496"/>
    <x v="1"/>
    <s v="US"/>
    <d v="2023-12-21T00:00:00"/>
    <s v="organic"/>
    <s v="Basic"/>
    <n v="9"/>
    <b v="0"/>
    <b v="0"/>
    <s v="Active"/>
    <n v="0"/>
  </r>
  <r>
    <s v="A-d26ab4"/>
    <s v="Company_497"/>
    <x v="2"/>
    <s v="UK"/>
    <d v="2024-11-07T00:00:00"/>
    <s v="organic"/>
    <s v="Basic"/>
    <n v="9"/>
    <b v="0"/>
    <b v="1"/>
    <s v="Churned"/>
    <n v="1"/>
  </r>
  <r>
    <s v="A-712533"/>
    <s v="Company_498"/>
    <x v="0"/>
    <s v="US"/>
    <d v="2023-07-31T00:00:00"/>
    <s v="organic"/>
    <s v="Pro"/>
    <n v="18"/>
    <b v="0"/>
    <b v="0"/>
    <s v="Active"/>
    <n v="0"/>
  </r>
  <r>
    <s v="A-781cc0"/>
    <s v="Company_499"/>
    <x v="0"/>
    <s v="US"/>
    <d v="2024-09-04T00:00:00"/>
    <s v="organic"/>
    <s v="Pro"/>
    <n v="12"/>
    <b v="0"/>
    <b v="0"/>
    <s v="Active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-8cec59"/>
    <s v="A-3c1a3f"/>
    <d v="2023-12-23T00:00:00"/>
    <d v="2024-04-12T00:00:00"/>
    <x v="0"/>
    <n v="14"/>
    <n v="2786"/>
    <n v="33432"/>
    <x v="0"/>
    <b v="0"/>
    <b v="0"/>
    <b v="1"/>
    <x v="0"/>
    <b v="1"/>
  </r>
  <r>
    <s v="S-0f6f44"/>
    <s v="A-9b9fe9"/>
    <d v="2024-06-11T00:00:00"/>
    <m/>
    <x v="1"/>
    <n v="17"/>
    <n v="833"/>
    <n v="9996"/>
    <x v="0"/>
    <b v="0"/>
    <b v="0"/>
    <b v="0"/>
    <x v="0"/>
    <b v="1"/>
  </r>
  <r>
    <s v="S-51c0d1"/>
    <s v="A-659280"/>
    <d v="2024-11-25T00:00:00"/>
    <m/>
    <x v="0"/>
    <n v="62"/>
    <n v="0"/>
    <n v="0"/>
    <x v="1"/>
    <b v="1"/>
    <b v="0"/>
    <b v="0"/>
    <x v="1"/>
    <b v="0"/>
  </r>
  <r>
    <s v="S-f81687"/>
    <s v="A-e7a1e2"/>
    <d v="2024-11-23T00:00:00"/>
    <d v="2024-12-13T00:00:00"/>
    <x v="0"/>
    <n v="5"/>
    <n v="995"/>
    <n v="11940"/>
    <x v="0"/>
    <b v="0"/>
    <b v="0"/>
    <b v="1"/>
    <x v="0"/>
    <b v="1"/>
  </r>
  <r>
    <s v="S-cff5a2"/>
    <s v="A-ba6516"/>
    <d v="2024-01-10T00:00:00"/>
    <m/>
    <x v="0"/>
    <n v="27"/>
    <n v="5373"/>
    <n v="64476"/>
    <x v="0"/>
    <b v="0"/>
    <b v="0"/>
    <b v="0"/>
    <x v="0"/>
    <b v="1"/>
  </r>
  <r>
    <s v="S-4b9b13"/>
    <s v="A-fa2041"/>
    <d v="2024-08-13T00:00:00"/>
    <m/>
    <x v="1"/>
    <n v="15"/>
    <n v="735"/>
    <n v="8820"/>
    <x v="0"/>
    <b v="0"/>
    <b v="0"/>
    <b v="0"/>
    <x v="0"/>
    <b v="1"/>
  </r>
  <r>
    <s v="S-dceac6"/>
    <s v="A-417d2f"/>
    <d v="2023-12-30T00:00:00"/>
    <m/>
    <x v="0"/>
    <n v="4"/>
    <n v="796"/>
    <n v="9552"/>
    <x v="0"/>
    <b v="0"/>
    <b v="0"/>
    <b v="0"/>
    <x v="1"/>
    <b v="1"/>
  </r>
  <r>
    <s v="S-8cad7b"/>
    <s v="A-5f2961"/>
    <d v="2024-12-23T00:00:00"/>
    <m/>
    <x v="2"/>
    <n v="16"/>
    <n v="304"/>
    <n v="3648"/>
    <x v="0"/>
    <b v="0"/>
    <b v="0"/>
    <b v="0"/>
    <x v="1"/>
    <b v="1"/>
  </r>
  <r>
    <s v="S-24796e"/>
    <s v="A-cc8c8f"/>
    <d v="2024-11-27T00:00:00"/>
    <m/>
    <x v="0"/>
    <n v="23"/>
    <n v="4577"/>
    <n v="54924"/>
    <x v="0"/>
    <b v="0"/>
    <b v="0"/>
    <b v="0"/>
    <x v="1"/>
    <b v="0"/>
  </r>
  <r>
    <s v="S-d0c344"/>
    <s v="A-80eeb6"/>
    <d v="2024-10-27T00:00:00"/>
    <m/>
    <x v="1"/>
    <n v="22"/>
    <n v="1078"/>
    <n v="12936"/>
    <x v="0"/>
    <b v="0"/>
    <b v="0"/>
    <b v="0"/>
    <x v="1"/>
    <b v="0"/>
  </r>
  <r>
    <s v="S-477506"/>
    <s v="A-f03140"/>
    <d v="2024-02-06T00:00:00"/>
    <m/>
    <x v="1"/>
    <n v="27"/>
    <n v="1323"/>
    <n v="15876"/>
    <x v="0"/>
    <b v="0"/>
    <b v="0"/>
    <b v="0"/>
    <x v="1"/>
    <b v="1"/>
  </r>
  <r>
    <s v="S-79a9e1"/>
    <s v="A-3a5ad8"/>
    <d v="2024-12-25T00:00:00"/>
    <m/>
    <x v="0"/>
    <n v="22"/>
    <n v="0"/>
    <n v="0"/>
    <x v="1"/>
    <b v="0"/>
    <b v="0"/>
    <b v="0"/>
    <x v="1"/>
    <b v="1"/>
  </r>
  <r>
    <s v="S-59dc4b"/>
    <s v="A-f17767"/>
    <d v="2023-09-17T00:00:00"/>
    <m/>
    <x v="1"/>
    <n v="26"/>
    <n v="1274"/>
    <n v="15288"/>
    <x v="0"/>
    <b v="1"/>
    <b v="1"/>
    <b v="0"/>
    <x v="0"/>
    <b v="1"/>
  </r>
  <r>
    <s v="S-7acd8b"/>
    <s v="A-7920cc"/>
    <d v="2024-07-17T00:00:00"/>
    <m/>
    <x v="2"/>
    <n v="39"/>
    <n v="741"/>
    <n v="8892"/>
    <x v="0"/>
    <b v="0"/>
    <b v="0"/>
    <b v="0"/>
    <x v="1"/>
    <b v="1"/>
  </r>
  <r>
    <s v="S-428e9a"/>
    <s v="A-8ae3fc"/>
    <d v="2024-10-12T00:00:00"/>
    <m/>
    <x v="0"/>
    <n v="88"/>
    <n v="0"/>
    <n v="0"/>
    <x v="1"/>
    <b v="0"/>
    <b v="0"/>
    <b v="0"/>
    <x v="0"/>
    <b v="1"/>
  </r>
  <r>
    <s v="S-486088"/>
    <s v="A-0cc442"/>
    <d v="2024-09-18T00:00:00"/>
    <m/>
    <x v="1"/>
    <n v="45"/>
    <n v="2205"/>
    <n v="26460"/>
    <x v="0"/>
    <b v="0"/>
    <b v="0"/>
    <b v="0"/>
    <x v="0"/>
    <b v="1"/>
  </r>
  <r>
    <s v="S-13939b"/>
    <s v="A-86902e"/>
    <d v="2023-07-21T00:00:00"/>
    <d v="2024-08-03T00:00:00"/>
    <x v="1"/>
    <n v="34"/>
    <n v="0"/>
    <n v="0"/>
    <x v="1"/>
    <b v="0"/>
    <b v="0"/>
    <b v="1"/>
    <x v="0"/>
    <b v="1"/>
  </r>
  <r>
    <s v="S-9333c5"/>
    <s v="A-ef84cf"/>
    <d v="2024-06-06T00:00:00"/>
    <d v="2024-08-13T00:00:00"/>
    <x v="2"/>
    <n v="8"/>
    <n v="152"/>
    <n v="1824"/>
    <x v="0"/>
    <b v="0"/>
    <b v="0"/>
    <b v="1"/>
    <x v="1"/>
    <b v="0"/>
  </r>
  <r>
    <s v="S-37e3ad"/>
    <s v="A-b30291"/>
    <d v="2024-04-25T00:00:00"/>
    <m/>
    <x v="2"/>
    <n v="5"/>
    <n v="95"/>
    <n v="1140"/>
    <x v="0"/>
    <b v="0"/>
    <b v="0"/>
    <b v="0"/>
    <x v="0"/>
    <b v="1"/>
  </r>
  <r>
    <s v="S-b17d04"/>
    <s v="A-e19ff6"/>
    <d v="2024-03-06T00:00:00"/>
    <m/>
    <x v="1"/>
    <n v="8"/>
    <n v="392"/>
    <n v="4704"/>
    <x v="0"/>
    <b v="0"/>
    <b v="0"/>
    <b v="0"/>
    <x v="0"/>
    <b v="1"/>
  </r>
  <r>
    <s v="S-c27134"/>
    <s v="A-dec005"/>
    <d v="2024-03-31T00:00:00"/>
    <m/>
    <x v="1"/>
    <n v="21"/>
    <n v="0"/>
    <n v="0"/>
    <x v="1"/>
    <b v="0"/>
    <b v="0"/>
    <b v="0"/>
    <x v="0"/>
    <b v="1"/>
  </r>
  <r>
    <s v="S-3bd427"/>
    <s v="A-2e3bad"/>
    <d v="2024-12-04T00:00:00"/>
    <d v="2024-12-27T00:00:00"/>
    <x v="2"/>
    <n v="61"/>
    <n v="1159"/>
    <n v="13908"/>
    <x v="0"/>
    <b v="0"/>
    <b v="0"/>
    <b v="1"/>
    <x v="0"/>
    <b v="1"/>
  </r>
  <r>
    <s v="S-82989b"/>
    <s v="A-f5641b"/>
    <d v="2024-11-30T00:00:00"/>
    <m/>
    <x v="2"/>
    <n v="31"/>
    <n v="589"/>
    <n v="7068"/>
    <x v="0"/>
    <b v="0"/>
    <b v="0"/>
    <b v="0"/>
    <x v="0"/>
    <b v="1"/>
  </r>
  <r>
    <s v="S-082b15"/>
    <s v="A-aa9511"/>
    <d v="2024-02-09T00:00:00"/>
    <m/>
    <x v="0"/>
    <n v="97"/>
    <n v="19303"/>
    <n v="231636"/>
    <x v="0"/>
    <b v="0"/>
    <b v="0"/>
    <b v="0"/>
    <x v="1"/>
    <b v="1"/>
  </r>
  <r>
    <s v="S-434140"/>
    <s v="A-075038"/>
    <d v="2024-02-25T00:00:00"/>
    <m/>
    <x v="1"/>
    <n v="17"/>
    <n v="833"/>
    <n v="9996"/>
    <x v="0"/>
    <b v="0"/>
    <b v="0"/>
    <b v="0"/>
    <x v="1"/>
    <b v="1"/>
  </r>
  <r>
    <s v="S-c07ede"/>
    <s v="A-cea1f0"/>
    <d v="2024-10-07T00:00:00"/>
    <m/>
    <x v="1"/>
    <n v="8"/>
    <n v="392"/>
    <n v="4704"/>
    <x v="0"/>
    <b v="0"/>
    <b v="0"/>
    <b v="0"/>
    <x v="1"/>
    <b v="0"/>
  </r>
  <r>
    <s v="S-287914"/>
    <s v="A-a1b80b"/>
    <d v="2024-08-15T00:00:00"/>
    <m/>
    <x v="1"/>
    <n v="16"/>
    <n v="784"/>
    <n v="9408"/>
    <x v="0"/>
    <b v="0"/>
    <b v="0"/>
    <b v="0"/>
    <x v="1"/>
    <b v="1"/>
  </r>
  <r>
    <s v="S-b3bd43"/>
    <s v="A-b2225d"/>
    <d v="2024-11-03T00:00:00"/>
    <m/>
    <x v="1"/>
    <n v="50"/>
    <n v="2450"/>
    <n v="29400"/>
    <x v="0"/>
    <b v="0"/>
    <b v="0"/>
    <b v="0"/>
    <x v="0"/>
    <b v="0"/>
  </r>
  <r>
    <s v="S-4c82da"/>
    <s v="A-b9eed8"/>
    <d v="2024-08-01T00:00:00"/>
    <m/>
    <x v="1"/>
    <n v="11"/>
    <n v="539"/>
    <n v="6468"/>
    <x v="0"/>
    <b v="0"/>
    <b v="0"/>
    <b v="0"/>
    <x v="0"/>
    <b v="0"/>
  </r>
  <r>
    <s v="S-c75159"/>
    <s v="A-bcf87c"/>
    <d v="2024-08-22T00:00:00"/>
    <d v="2024-09-28T00:00:00"/>
    <x v="0"/>
    <n v="31"/>
    <n v="6169"/>
    <n v="74028"/>
    <x v="0"/>
    <b v="0"/>
    <b v="0"/>
    <b v="1"/>
    <x v="0"/>
    <b v="1"/>
  </r>
  <r>
    <s v="S-b5643b"/>
    <s v="A-9f9299"/>
    <d v="2024-06-11T00:00:00"/>
    <m/>
    <x v="0"/>
    <n v="28"/>
    <n v="5572"/>
    <n v="66864"/>
    <x v="0"/>
    <b v="0"/>
    <b v="0"/>
    <b v="0"/>
    <x v="1"/>
    <b v="0"/>
  </r>
  <r>
    <s v="S-49a9aa"/>
    <s v="A-10b8f2"/>
    <d v="2023-06-16T00:00:00"/>
    <m/>
    <x v="2"/>
    <n v="51"/>
    <n v="969"/>
    <n v="11628"/>
    <x v="0"/>
    <b v="0"/>
    <b v="0"/>
    <b v="0"/>
    <x v="1"/>
    <b v="1"/>
  </r>
  <r>
    <s v="S-2877e6"/>
    <s v="A-95b24a"/>
    <d v="2024-06-28T00:00:00"/>
    <m/>
    <x v="0"/>
    <n v="38"/>
    <n v="0"/>
    <n v="0"/>
    <x v="1"/>
    <b v="1"/>
    <b v="1"/>
    <b v="0"/>
    <x v="0"/>
    <b v="1"/>
  </r>
  <r>
    <s v="S-8c10c1"/>
    <s v="A-0651a4"/>
    <d v="2024-12-25T00:00:00"/>
    <m/>
    <x v="0"/>
    <n v="65"/>
    <n v="12935"/>
    <n v="155220"/>
    <x v="0"/>
    <b v="0"/>
    <b v="0"/>
    <b v="0"/>
    <x v="1"/>
    <b v="1"/>
  </r>
  <r>
    <s v="S-d7d398"/>
    <s v="A-fb186e"/>
    <d v="2024-12-28T00:00:00"/>
    <m/>
    <x v="0"/>
    <n v="29"/>
    <n v="0"/>
    <n v="0"/>
    <x v="1"/>
    <b v="0"/>
    <b v="0"/>
    <b v="0"/>
    <x v="1"/>
    <b v="1"/>
  </r>
  <r>
    <s v="S-ddad91"/>
    <s v="A-40906c"/>
    <d v="2024-06-21T00:00:00"/>
    <m/>
    <x v="0"/>
    <n v="92"/>
    <n v="0"/>
    <n v="0"/>
    <x v="1"/>
    <b v="0"/>
    <b v="0"/>
    <b v="0"/>
    <x v="1"/>
    <b v="0"/>
  </r>
  <r>
    <s v="S-6762fa"/>
    <s v="A-40a557"/>
    <d v="2024-02-12T00:00:00"/>
    <m/>
    <x v="0"/>
    <n v="16"/>
    <n v="3184"/>
    <n v="38208"/>
    <x v="0"/>
    <b v="0"/>
    <b v="0"/>
    <b v="0"/>
    <x v="1"/>
    <b v="1"/>
  </r>
  <r>
    <s v="S-bb1cf1"/>
    <s v="A-3a5ad8"/>
    <d v="2024-09-07T00:00:00"/>
    <m/>
    <x v="0"/>
    <n v="9"/>
    <n v="0"/>
    <n v="0"/>
    <x v="1"/>
    <b v="1"/>
    <b v="0"/>
    <b v="0"/>
    <x v="0"/>
    <b v="0"/>
  </r>
  <r>
    <s v="S-a805a5"/>
    <s v="A-2789e3"/>
    <d v="2024-09-18T00:00:00"/>
    <m/>
    <x v="2"/>
    <n v="33"/>
    <n v="627"/>
    <n v="7524"/>
    <x v="0"/>
    <b v="0"/>
    <b v="0"/>
    <b v="0"/>
    <x v="0"/>
    <b v="1"/>
  </r>
  <r>
    <s v="S-da0a69"/>
    <s v="A-49b828"/>
    <d v="2023-05-11T00:00:00"/>
    <m/>
    <x v="1"/>
    <n v="6"/>
    <n v="294"/>
    <n v="3528"/>
    <x v="0"/>
    <b v="0"/>
    <b v="0"/>
    <b v="0"/>
    <x v="0"/>
    <b v="1"/>
  </r>
  <r>
    <s v="S-59c5d7"/>
    <s v="A-c16b88"/>
    <d v="2024-10-19T00:00:00"/>
    <m/>
    <x v="2"/>
    <n v="35"/>
    <n v="665"/>
    <n v="7980"/>
    <x v="0"/>
    <b v="1"/>
    <b v="0"/>
    <b v="0"/>
    <x v="0"/>
    <b v="1"/>
  </r>
  <r>
    <s v="S-d3faae"/>
    <s v="A-5c9849"/>
    <d v="2024-11-12T00:00:00"/>
    <m/>
    <x v="2"/>
    <n v="19"/>
    <n v="361"/>
    <n v="4332"/>
    <x v="0"/>
    <b v="0"/>
    <b v="0"/>
    <b v="0"/>
    <x v="0"/>
    <b v="1"/>
  </r>
  <r>
    <s v="S-73a4e4"/>
    <s v="A-993085"/>
    <d v="2024-09-09T00:00:00"/>
    <m/>
    <x v="1"/>
    <n v="31"/>
    <n v="1519"/>
    <n v="18228"/>
    <x v="0"/>
    <b v="0"/>
    <b v="0"/>
    <b v="0"/>
    <x v="0"/>
    <b v="1"/>
  </r>
  <r>
    <s v="S-35c8a3"/>
    <s v="A-e4144b"/>
    <d v="2024-12-22T00:00:00"/>
    <m/>
    <x v="0"/>
    <n v="41"/>
    <n v="8159"/>
    <n v="97908"/>
    <x v="0"/>
    <b v="0"/>
    <b v="0"/>
    <b v="0"/>
    <x v="1"/>
    <b v="1"/>
  </r>
  <r>
    <s v="S-99fbf7"/>
    <s v="A-7dacce"/>
    <d v="2024-09-10T00:00:00"/>
    <m/>
    <x v="0"/>
    <n v="12"/>
    <n v="2388"/>
    <n v="28656"/>
    <x v="0"/>
    <b v="0"/>
    <b v="0"/>
    <b v="0"/>
    <x v="1"/>
    <b v="1"/>
  </r>
  <r>
    <s v="S-e97b9f"/>
    <s v="A-a0ca4e"/>
    <d v="2024-03-16T00:00:00"/>
    <m/>
    <x v="0"/>
    <n v="12"/>
    <n v="2388"/>
    <n v="28656"/>
    <x v="0"/>
    <b v="0"/>
    <b v="0"/>
    <b v="0"/>
    <x v="1"/>
    <b v="1"/>
  </r>
  <r>
    <s v="S-763d33"/>
    <s v="A-ef84cf"/>
    <d v="2024-07-25T00:00:00"/>
    <m/>
    <x v="2"/>
    <n v="23"/>
    <n v="437"/>
    <n v="5244"/>
    <x v="0"/>
    <b v="0"/>
    <b v="1"/>
    <b v="0"/>
    <x v="1"/>
    <b v="0"/>
  </r>
  <r>
    <s v="S-323782"/>
    <s v="A-7920cc"/>
    <d v="2024-02-22T00:00:00"/>
    <m/>
    <x v="2"/>
    <n v="39"/>
    <n v="741"/>
    <n v="8892"/>
    <x v="0"/>
    <b v="0"/>
    <b v="0"/>
    <b v="0"/>
    <x v="0"/>
    <b v="1"/>
  </r>
  <r>
    <s v="S-1cff18"/>
    <s v="A-2789e3"/>
    <d v="2024-10-03T00:00:00"/>
    <m/>
    <x v="2"/>
    <n v="11"/>
    <n v="209"/>
    <n v="2508"/>
    <x v="0"/>
    <b v="0"/>
    <b v="0"/>
    <b v="0"/>
    <x v="0"/>
    <b v="1"/>
  </r>
  <r>
    <s v="S-ad39ef"/>
    <s v="A-e40f45"/>
    <d v="2024-08-25T00:00:00"/>
    <m/>
    <x v="1"/>
    <n v="21"/>
    <n v="0"/>
    <n v="0"/>
    <x v="1"/>
    <b v="1"/>
    <b v="0"/>
    <b v="0"/>
    <x v="1"/>
    <b v="1"/>
  </r>
  <r>
    <s v="S-bf806d"/>
    <s v="A-7c5768"/>
    <d v="2024-09-21T00:00:00"/>
    <m/>
    <x v="2"/>
    <n v="62"/>
    <n v="1178"/>
    <n v="14136"/>
    <x v="0"/>
    <b v="0"/>
    <b v="0"/>
    <b v="0"/>
    <x v="1"/>
    <b v="1"/>
  </r>
  <r>
    <s v="S-36f6ec"/>
    <s v="A-ccb686"/>
    <d v="2024-08-16T00:00:00"/>
    <m/>
    <x v="1"/>
    <n v="21"/>
    <n v="1029"/>
    <n v="12348"/>
    <x v="0"/>
    <b v="1"/>
    <b v="0"/>
    <b v="0"/>
    <x v="0"/>
    <b v="1"/>
  </r>
  <r>
    <s v="S-aff55c"/>
    <s v="A-bb2f49"/>
    <d v="2024-01-14T00:00:00"/>
    <d v="2024-12-29T00:00:00"/>
    <x v="1"/>
    <n v="8"/>
    <n v="0"/>
    <n v="0"/>
    <x v="1"/>
    <b v="0"/>
    <b v="0"/>
    <b v="1"/>
    <x v="0"/>
    <b v="1"/>
  </r>
  <r>
    <s v="S-b9fc6c"/>
    <s v="A-2ebb4b"/>
    <d v="2023-06-16T00:00:00"/>
    <m/>
    <x v="2"/>
    <n v="41"/>
    <n v="779"/>
    <n v="9348"/>
    <x v="0"/>
    <b v="0"/>
    <b v="0"/>
    <b v="0"/>
    <x v="1"/>
    <b v="1"/>
  </r>
  <r>
    <s v="S-7f8cd8"/>
    <s v="A-53f4e3"/>
    <d v="2024-09-18T00:00:00"/>
    <d v="2024-11-17T00:00:00"/>
    <x v="0"/>
    <n v="20"/>
    <n v="3980"/>
    <n v="47760"/>
    <x v="0"/>
    <b v="0"/>
    <b v="0"/>
    <b v="1"/>
    <x v="0"/>
    <b v="1"/>
  </r>
  <r>
    <s v="S-e912e6"/>
    <s v="A-a8d89d"/>
    <d v="2023-12-12T00:00:00"/>
    <m/>
    <x v="0"/>
    <n v="78"/>
    <n v="15522"/>
    <n v="186264"/>
    <x v="0"/>
    <b v="0"/>
    <b v="0"/>
    <b v="0"/>
    <x v="0"/>
    <b v="1"/>
  </r>
  <r>
    <s v="S-fef85a"/>
    <s v="A-7f8241"/>
    <d v="2024-08-06T00:00:00"/>
    <m/>
    <x v="1"/>
    <n v="34"/>
    <n v="1666"/>
    <n v="19992"/>
    <x v="0"/>
    <b v="0"/>
    <b v="0"/>
    <b v="0"/>
    <x v="1"/>
    <b v="1"/>
  </r>
  <r>
    <s v="S-36d5c9"/>
    <s v="A-54ecc2"/>
    <d v="2023-09-16T00:00:00"/>
    <m/>
    <x v="0"/>
    <n v="11"/>
    <n v="2189"/>
    <n v="26268"/>
    <x v="0"/>
    <b v="0"/>
    <b v="0"/>
    <b v="0"/>
    <x v="0"/>
    <b v="1"/>
  </r>
  <r>
    <s v="S-b9ff15"/>
    <s v="A-95b24a"/>
    <d v="2024-01-08T00:00:00"/>
    <m/>
    <x v="0"/>
    <n v="43"/>
    <n v="8557"/>
    <n v="102684"/>
    <x v="0"/>
    <b v="0"/>
    <b v="0"/>
    <b v="0"/>
    <x v="1"/>
    <b v="0"/>
  </r>
  <r>
    <s v="S-10bd09"/>
    <s v="A-bbc346"/>
    <d v="2024-09-03T00:00:00"/>
    <m/>
    <x v="2"/>
    <n v="50"/>
    <n v="950"/>
    <n v="11400"/>
    <x v="0"/>
    <b v="0"/>
    <b v="0"/>
    <b v="0"/>
    <x v="1"/>
    <b v="1"/>
  </r>
  <r>
    <s v="S-12bfc8"/>
    <s v="A-31ab9a"/>
    <d v="2024-12-06T00:00:00"/>
    <m/>
    <x v="0"/>
    <n v="29"/>
    <n v="5771"/>
    <n v="69252"/>
    <x v="0"/>
    <b v="0"/>
    <b v="0"/>
    <b v="0"/>
    <x v="0"/>
    <b v="0"/>
  </r>
  <r>
    <s v="S-f5c472"/>
    <s v="A-faa28c"/>
    <d v="2024-07-09T00:00:00"/>
    <m/>
    <x v="2"/>
    <n v="48"/>
    <n v="912"/>
    <n v="10944"/>
    <x v="0"/>
    <b v="0"/>
    <b v="0"/>
    <b v="0"/>
    <x v="0"/>
    <b v="1"/>
  </r>
  <r>
    <s v="S-dbc1ca"/>
    <s v="A-8adedc"/>
    <d v="2024-04-24T00:00:00"/>
    <m/>
    <x v="0"/>
    <n v="14"/>
    <n v="2786"/>
    <n v="33432"/>
    <x v="0"/>
    <b v="0"/>
    <b v="0"/>
    <b v="0"/>
    <x v="1"/>
    <b v="1"/>
  </r>
  <r>
    <s v="S-dc6dfd"/>
    <s v="A-e08cd3"/>
    <d v="2024-09-30T00:00:00"/>
    <m/>
    <x v="1"/>
    <n v="67"/>
    <n v="3283"/>
    <n v="39396"/>
    <x v="0"/>
    <b v="0"/>
    <b v="0"/>
    <b v="0"/>
    <x v="0"/>
    <b v="1"/>
  </r>
  <r>
    <s v="S-b2d472"/>
    <s v="A-bcf87c"/>
    <d v="2024-08-27T00:00:00"/>
    <d v="2024-12-11T00:00:00"/>
    <x v="0"/>
    <n v="10"/>
    <n v="1990"/>
    <n v="23880"/>
    <x v="0"/>
    <b v="0"/>
    <b v="0"/>
    <b v="1"/>
    <x v="1"/>
    <b v="0"/>
  </r>
  <r>
    <s v="S-9dfce0"/>
    <s v="A-e6afc1"/>
    <d v="2024-08-30T00:00:00"/>
    <m/>
    <x v="1"/>
    <n v="2"/>
    <n v="98"/>
    <n v="1176"/>
    <x v="0"/>
    <b v="0"/>
    <b v="0"/>
    <b v="0"/>
    <x v="1"/>
    <b v="1"/>
  </r>
  <r>
    <s v="S-9cb6a7"/>
    <s v="A-7f29a7"/>
    <d v="2024-12-21T00:00:00"/>
    <m/>
    <x v="2"/>
    <n v="41"/>
    <n v="779"/>
    <n v="9348"/>
    <x v="0"/>
    <b v="0"/>
    <b v="0"/>
    <b v="0"/>
    <x v="0"/>
    <b v="1"/>
  </r>
  <r>
    <s v="S-dabcd2"/>
    <s v="A-3ce5b8"/>
    <d v="2024-09-22T00:00:00"/>
    <m/>
    <x v="1"/>
    <n v="28"/>
    <n v="0"/>
    <n v="0"/>
    <x v="1"/>
    <b v="0"/>
    <b v="0"/>
    <b v="0"/>
    <x v="0"/>
    <b v="1"/>
  </r>
  <r>
    <s v="S-8c3cc8"/>
    <s v="A-b2225d"/>
    <d v="2024-10-17T00:00:00"/>
    <m/>
    <x v="2"/>
    <n v="47"/>
    <n v="0"/>
    <n v="0"/>
    <x v="1"/>
    <b v="0"/>
    <b v="0"/>
    <b v="0"/>
    <x v="0"/>
    <b v="1"/>
  </r>
  <r>
    <s v="S-2923fc"/>
    <s v="A-fa3095"/>
    <d v="2024-07-08T00:00:00"/>
    <m/>
    <x v="0"/>
    <n v="70"/>
    <n v="13930"/>
    <n v="167160"/>
    <x v="0"/>
    <b v="0"/>
    <b v="0"/>
    <b v="0"/>
    <x v="1"/>
    <b v="1"/>
  </r>
  <r>
    <s v="S-f0a2e5"/>
    <s v="A-55f257"/>
    <d v="2024-06-05T00:00:00"/>
    <m/>
    <x v="2"/>
    <n v="23"/>
    <n v="0"/>
    <n v="0"/>
    <x v="1"/>
    <b v="0"/>
    <b v="0"/>
    <b v="0"/>
    <x v="1"/>
    <b v="1"/>
  </r>
  <r>
    <s v="S-025bea"/>
    <s v="A-9affe6"/>
    <d v="2024-06-25T00:00:00"/>
    <m/>
    <x v="1"/>
    <n v="17"/>
    <n v="833"/>
    <n v="9996"/>
    <x v="0"/>
    <b v="1"/>
    <b v="0"/>
    <b v="0"/>
    <x v="0"/>
    <b v="1"/>
  </r>
  <r>
    <s v="S-0e499f"/>
    <s v="A-296d7c"/>
    <d v="2024-08-17T00:00:00"/>
    <m/>
    <x v="1"/>
    <n v="16"/>
    <n v="784"/>
    <n v="9408"/>
    <x v="0"/>
    <b v="0"/>
    <b v="0"/>
    <b v="0"/>
    <x v="1"/>
    <b v="0"/>
  </r>
  <r>
    <s v="S-0267b7"/>
    <s v="A-65a46c"/>
    <d v="2024-10-17T00:00:00"/>
    <d v="2024-12-04T00:00:00"/>
    <x v="0"/>
    <n v="13"/>
    <n v="0"/>
    <n v="0"/>
    <x v="1"/>
    <b v="0"/>
    <b v="0"/>
    <b v="1"/>
    <x v="0"/>
    <b v="1"/>
  </r>
  <r>
    <s v="S-b5b9a5"/>
    <s v="A-812c5b"/>
    <d v="2024-07-25T00:00:00"/>
    <m/>
    <x v="2"/>
    <n v="55"/>
    <n v="1045"/>
    <n v="12540"/>
    <x v="0"/>
    <b v="0"/>
    <b v="0"/>
    <b v="0"/>
    <x v="0"/>
    <b v="1"/>
  </r>
  <r>
    <s v="S-8e45ba"/>
    <s v="A-7f8241"/>
    <d v="2023-12-13T00:00:00"/>
    <m/>
    <x v="2"/>
    <n v="34"/>
    <n v="646"/>
    <n v="7752"/>
    <x v="0"/>
    <b v="0"/>
    <b v="0"/>
    <b v="0"/>
    <x v="1"/>
    <b v="0"/>
  </r>
  <r>
    <s v="S-37ed34"/>
    <s v="A-d4ac0e"/>
    <d v="2024-07-07T00:00:00"/>
    <m/>
    <x v="0"/>
    <n v="20"/>
    <n v="3980"/>
    <n v="47760"/>
    <x v="0"/>
    <b v="0"/>
    <b v="0"/>
    <b v="0"/>
    <x v="1"/>
    <b v="1"/>
  </r>
  <r>
    <s v="S-65dbf3"/>
    <s v="A-17939a"/>
    <d v="2024-12-28T00:00:00"/>
    <m/>
    <x v="2"/>
    <n v="36"/>
    <n v="684"/>
    <n v="8208"/>
    <x v="0"/>
    <b v="0"/>
    <b v="0"/>
    <b v="0"/>
    <x v="0"/>
    <b v="1"/>
  </r>
  <r>
    <s v="S-ce5450"/>
    <s v="A-0a282f"/>
    <d v="2024-12-25T00:00:00"/>
    <d v="2024-12-28T00:00:00"/>
    <x v="1"/>
    <n v="8"/>
    <n v="0"/>
    <n v="0"/>
    <x v="1"/>
    <b v="0"/>
    <b v="0"/>
    <b v="1"/>
    <x v="1"/>
    <b v="1"/>
  </r>
  <r>
    <s v="S-6c969d"/>
    <s v="A-855a48"/>
    <d v="2024-05-08T00:00:00"/>
    <m/>
    <x v="2"/>
    <n v="14"/>
    <n v="266"/>
    <n v="3192"/>
    <x v="0"/>
    <b v="0"/>
    <b v="0"/>
    <b v="0"/>
    <x v="0"/>
    <b v="0"/>
  </r>
  <r>
    <s v="S-522aef"/>
    <s v="A-f3ff05"/>
    <d v="2024-08-22T00:00:00"/>
    <m/>
    <x v="1"/>
    <n v="4"/>
    <n v="196"/>
    <n v="2352"/>
    <x v="0"/>
    <b v="0"/>
    <b v="0"/>
    <b v="0"/>
    <x v="1"/>
    <b v="1"/>
  </r>
  <r>
    <s v="S-82db05"/>
    <s v="A-417d2f"/>
    <d v="2024-12-09T00:00:00"/>
    <m/>
    <x v="1"/>
    <n v="26"/>
    <n v="1274"/>
    <n v="15288"/>
    <x v="0"/>
    <b v="0"/>
    <b v="0"/>
    <b v="0"/>
    <x v="0"/>
    <b v="1"/>
  </r>
  <r>
    <s v="S-162596"/>
    <s v="A-462d45"/>
    <d v="2024-02-29T00:00:00"/>
    <m/>
    <x v="1"/>
    <n v="18"/>
    <n v="0"/>
    <n v="0"/>
    <x v="1"/>
    <b v="0"/>
    <b v="0"/>
    <b v="0"/>
    <x v="0"/>
    <b v="1"/>
  </r>
  <r>
    <s v="S-f703bd"/>
    <s v="A-202b67"/>
    <d v="2024-09-04T00:00:00"/>
    <m/>
    <x v="1"/>
    <n v="11"/>
    <n v="539"/>
    <n v="6468"/>
    <x v="0"/>
    <b v="0"/>
    <b v="0"/>
    <b v="0"/>
    <x v="0"/>
    <b v="1"/>
  </r>
  <r>
    <s v="S-a1d6ad"/>
    <s v="A-eafc6e"/>
    <d v="2024-09-01T00:00:00"/>
    <m/>
    <x v="1"/>
    <n v="27"/>
    <n v="1323"/>
    <n v="15876"/>
    <x v="0"/>
    <b v="0"/>
    <b v="0"/>
    <b v="0"/>
    <x v="0"/>
    <b v="1"/>
  </r>
  <r>
    <s v="S-8b1fc1"/>
    <s v="A-309e54"/>
    <d v="2024-12-26T00:00:00"/>
    <m/>
    <x v="2"/>
    <n v="15"/>
    <n v="0"/>
    <n v="0"/>
    <x v="1"/>
    <b v="0"/>
    <b v="0"/>
    <b v="0"/>
    <x v="0"/>
    <b v="1"/>
  </r>
  <r>
    <s v="S-09cdac"/>
    <s v="A-82861f"/>
    <d v="2024-07-31T00:00:00"/>
    <d v="2024-09-04T00:00:00"/>
    <x v="2"/>
    <n v="41"/>
    <n v="779"/>
    <n v="9348"/>
    <x v="0"/>
    <b v="0"/>
    <b v="0"/>
    <b v="1"/>
    <x v="1"/>
    <b v="1"/>
  </r>
  <r>
    <s v="S-fa5301"/>
    <s v="A-ba6516"/>
    <d v="2024-03-14T00:00:00"/>
    <m/>
    <x v="1"/>
    <n v="55"/>
    <n v="0"/>
    <n v="0"/>
    <x v="1"/>
    <b v="0"/>
    <b v="0"/>
    <b v="0"/>
    <x v="0"/>
    <b v="0"/>
  </r>
  <r>
    <s v="S-69937b"/>
    <s v="A-08e34e"/>
    <d v="2024-08-08T00:00:00"/>
    <m/>
    <x v="1"/>
    <n v="14"/>
    <n v="686"/>
    <n v="8232"/>
    <x v="0"/>
    <b v="0"/>
    <b v="0"/>
    <b v="0"/>
    <x v="1"/>
    <b v="0"/>
  </r>
  <r>
    <s v="S-f2537d"/>
    <s v="A-e43bf7"/>
    <d v="2024-01-24T00:00:00"/>
    <m/>
    <x v="1"/>
    <n v="44"/>
    <n v="2156"/>
    <n v="25872"/>
    <x v="0"/>
    <b v="0"/>
    <b v="0"/>
    <b v="0"/>
    <x v="0"/>
    <b v="1"/>
  </r>
  <r>
    <s v="S-27f7b2"/>
    <s v="A-a1b80b"/>
    <d v="2024-04-03T00:00:00"/>
    <m/>
    <x v="2"/>
    <n v="38"/>
    <n v="722"/>
    <n v="8664"/>
    <x v="0"/>
    <b v="0"/>
    <b v="0"/>
    <b v="0"/>
    <x v="1"/>
    <b v="1"/>
  </r>
  <r>
    <s v="S-9c2b8e"/>
    <s v="A-443f6f"/>
    <d v="2024-12-26T00:00:00"/>
    <m/>
    <x v="2"/>
    <n v="19"/>
    <n v="361"/>
    <n v="4332"/>
    <x v="0"/>
    <b v="1"/>
    <b v="0"/>
    <b v="0"/>
    <x v="1"/>
    <b v="1"/>
  </r>
  <r>
    <s v="S-a4f26d"/>
    <s v="A-32728c"/>
    <d v="2023-05-21T00:00:00"/>
    <m/>
    <x v="1"/>
    <n v="20"/>
    <n v="980"/>
    <n v="11760"/>
    <x v="0"/>
    <b v="0"/>
    <b v="0"/>
    <b v="0"/>
    <x v="0"/>
    <b v="1"/>
  </r>
  <r>
    <s v="S-0cb6ed"/>
    <s v="A-ac85cd"/>
    <d v="2024-11-09T00:00:00"/>
    <d v="2024-12-18T00:00:00"/>
    <x v="1"/>
    <n v="53"/>
    <n v="2597"/>
    <n v="31164"/>
    <x v="0"/>
    <b v="0"/>
    <b v="0"/>
    <b v="1"/>
    <x v="1"/>
    <b v="1"/>
  </r>
  <r>
    <s v="S-367dee"/>
    <s v="A-e19ff6"/>
    <d v="2024-06-29T00:00:00"/>
    <m/>
    <x v="1"/>
    <n v="1"/>
    <n v="49"/>
    <n v="588"/>
    <x v="0"/>
    <b v="0"/>
    <b v="0"/>
    <b v="0"/>
    <x v="1"/>
    <b v="1"/>
  </r>
  <r>
    <s v="S-3b9ad8"/>
    <s v="A-6e08f3"/>
    <d v="2024-12-24T00:00:00"/>
    <m/>
    <x v="0"/>
    <n v="28"/>
    <n v="5572"/>
    <n v="66864"/>
    <x v="0"/>
    <b v="0"/>
    <b v="0"/>
    <b v="0"/>
    <x v="0"/>
    <b v="0"/>
  </r>
  <r>
    <s v="S-c9f8c1"/>
    <s v="A-544d0a"/>
    <d v="2024-07-23T00:00:00"/>
    <m/>
    <x v="0"/>
    <n v="5"/>
    <n v="995"/>
    <n v="11940"/>
    <x v="0"/>
    <b v="0"/>
    <b v="1"/>
    <b v="0"/>
    <x v="0"/>
    <b v="1"/>
  </r>
  <r>
    <s v="S-57cd05"/>
    <s v="A-8b0451"/>
    <d v="2024-10-26T00:00:00"/>
    <m/>
    <x v="2"/>
    <n v="41"/>
    <n v="779"/>
    <n v="9348"/>
    <x v="0"/>
    <b v="0"/>
    <b v="0"/>
    <b v="0"/>
    <x v="1"/>
    <b v="1"/>
  </r>
  <r>
    <s v="S-e505c1"/>
    <s v="A-8ae3fc"/>
    <d v="2024-09-17T00:00:00"/>
    <m/>
    <x v="1"/>
    <n v="34"/>
    <n v="1666"/>
    <n v="19992"/>
    <x v="0"/>
    <b v="0"/>
    <b v="0"/>
    <b v="0"/>
    <x v="1"/>
    <b v="1"/>
  </r>
  <r>
    <s v="S-121b4d"/>
    <s v="A-8ae3fc"/>
    <d v="2024-11-22T00:00:00"/>
    <m/>
    <x v="2"/>
    <n v="9"/>
    <n v="171"/>
    <n v="2052"/>
    <x v="0"/>
    <b v="0"/>
    <b v="0"/>
    <b v="0"/>
    <x v="1"/>
    <b v="1"/>
  </r>
  <r>
    <s v="S-72b4f2"/>
    <s v="A-4437e4"/>
    <d v="2024-02-06T00:00:00"/>
    <m/>
    <x v="1"/>
    <n v="49"/>
    <n v="2401"/>
    <n v="28812"/>
    <x v="0"/>
    <b v="0"/>
    <b v="0"/>
    <b v="0"/>
    <x v="1"/>
    <b v="1"/>
  </r>
  <r>
    <s v="S-c9b0cc"/>
    <s v="A-4d1e75"/>
    <d v="2024-10-11T00:00:00"/>
    <m/>
    <x v="0"/>
    <n v="38"/>
    <n v="7562"/>
    <n v="90744"/>
    <x v="0"/>
    <b v="0"/>
    <b v="0"/>
    <b v="0"/>
    <x v="0"/>
    <b v="1"/>
  </r>
  <r>
    <s v="S-27c993"/>
    <s v="A-098560"/>
    <d v="2024-11-17T00:00:00"/>
    <m/>
    <x v="0"/>
    <n v="4"/>
    <n v="796"/>
    <n v="9552"/>
    <x v="0"/>
    <b v="0"/>
    <b v="0"/>
    <b v="0"/>
    <x v="0"/>
    <b v="1"/>
  </r>
  <r>
    <s v="S-8b9889"/>
    <s v="A-ac9111"/>
    <d v="2024-08-18T00:00:00"/>
    <m/>
    <x v="1"/>
    <n v="21"/>
    <n v="1029"/>
    <n v="12348"/>
    <x v="0"/>
    <b v="0"/>
    <b v="0"/>
    <b v="0"/>
    <x v="0"/>
    <b v="1"/>
  </r>
  <r>
    <s v="S-2214c6"/>
    <s v="A-3c1a3f"/>
    <d v="2024-10-07T00:00:00"/>
    <m/>
    <x v="1"/>
    <n v="82"/>
    <n v="4018"/>
    <n v="48216"/>
    <x v="0"/>
    <b v="0"/>
    <b v="0"/>
    <b v="0"/>
    <x v="0"/>
    <b v="1"/>
  </r>
  <r>
    <s v="S-ce695e"/>
    <s v="A-cb6cc6"/>
    <d v="2024-05-25T00:00:00"/>
    <m/>
    <x v="0"/>
    <n v="13"/>
    <n v="0"/>
    <n v="0"/>
    <x v="1"/>
    <b v="0"/>
    <b v="0"/>
    <b v="0"/>
    <x v="1"/>
    <b v="0"/>
  </r>
  <r>
    <s v="S-066d80"/>
    <s v="A-9b9fe9"/>
    <d v="2024-08-17T00:00:00"/>
    <m/>
    <x v="1"/>
    <n v="5"/>
    <n v="245"/>
    <n v="2940"/>
    <x v="0"/>
    <b v="0"/>
    <b v="0"/>
    <b v="0"/>
    <x v="0"/>
    <b v="1"/>
  </r>
  <r>
    <s v="S-228457"/>
    <s v="A-029f69"/>
    <d v="2024-05-24T00:00:00"/>
    <m/>
    <x v="0"/>
    <n v="24"/>
    <n v="4776"/>
    <n v="57312"/>
    <x v="0"/>
    <b v="0"/>
    <b v="0"/>
    <b v="0"/>
    <x v="1"/>
    <b v="1"/>
  </r>
  <r>
    <s v="S-e50612"/>
    <s v="A-c7e58b"/>
    <d v="2024-07-15T00:00:00"/>
    <m/>
    <x v="2"/>
    <n v="13"/>
    <n v="247"/>
    <n v="2964"/>
    <x v="0"/>
    <b v="0"/>
    <b v="0"/>
    <b v="0"/>
    <x v="1"/>
    <b v="0"/>
  </r>
  <r>
    <s v="S-64fba3"/>
    <s v="A-00bed1"/>
    <d v="2024-07-16T00:00:00"/>
    <m/>
    <x v="0"/>
    <n v="28"/>
    <n v="5572"/>
    <n v="66864"/>
    <x v="0"/>
    <b v="0"/>
    <b v="0"/>
    <b v="0"/>
    <x v="1"/>
    <b v="1"/>
  </r>
  <r>
    <s v="S-2372d2"/>
    <s v="A-cea1f0"/>
    <d v="2024-12-22T00:00:00"/>
    <m/>
    <x v="0"/>
    <n v="21"/>
    <n v="4179"/>
    <n v="50148"/>
    <x v="0"/>
    <b v="0"/>
    <b v="0"/>
    <b v="0"/>
    <x v="1"/>
    <b v="0"/>
  </r>
  <r>
    <s v="S-2661dc"/>
    <s v="A-c37cab"/>
    <d v="2024-08-07T00:00:00"/>
    <m/>
    <x v="1"/>
    <n v="20"/>
    <n v="0"/>
    <n v="0"/>
    <x v="1"/>
    <b v="0"/>
    <b v="0"/>
    <b v="0"/>
    <x v="0"/>
    <b v="1"/>
  </r>
  <r>
    <s v="S-427275"/>
    <s v="A-4c38bc"/>
    <d v="2024-07-14T00:00:00"/>
    <m/>
    <x v="0"/>
    <n v="36"/>
    <n v="7164"/>
    <n v="85968"/>
    <x v="0"/>
    <b v="0"/>
    <b v="0"/>
    <b v="0"/>
    <x v="1"/>
    <b v="1"/>
  </r>
  <r>
    <s v="S-628729"/>
    <s v="A-157070"/>
    <d v="2024-10-05T00:00:00"/>
    <m/>
    <x v="0"/>
    <n v="23"/>
    <n v="4577"/>
    <n v="54924"/>
    <x v="0"/>
    <b v="0"/>
    <b v="1"/>
    <b v="0"/>
    <x v="0"/>
    <b v="1"/>
  </r>
  <r>
    <s v="S-e260ff"/>
    <s v="A-bcf87c"/>
    <d v="2024-12-09T00:00:00"/>
    <m/>
    <x v="0"/>
    <n v="21"/>
    <n v="4179"/>
    <n v="50148"/>
    <x v="0"/>
    <b v="0"/>
    <b v="0"/>
    <b v="0"/>
    <x v="1"/>
    <b v="1"/>
  </r>
  <r>
    <s v="S-89c03a"/>
    <s v="A-8ae3fc"/>
    <d v="2024-09-20T00:00:00"/>
    <m/>
    <x v="1"/>
    <n v="9"/>
    <n v="441"/>
    <n v="5292"/>
    <x v="0"/>
    <b v="0"/>
    <b v="0"/>
    <b v="0"/>
    <x v="0"/>
    <b v="1"/>
  </r>
  <r>
    <s v="S-86455a"/>
    <s v="A-1b9609"/>
    <d v="2023-12-01T00:00:00"/>
    <m/>
    <x v="1"/>
    <n v="12"/>
    <n v="588"/>
    <n v="7056"/>
    <x v="0"/>
    <b v="0"/>
    <b v="0"/>
    <b v="0"/>
    <x v="0"/>
    <b v="1"/>
  </r>
  <r>
    <s v="S-3660bb"/>
    <s v="A-474ad4"/>
    <d v="2024-12-14T00:00:00"/>
    <m/>
    <x v="0"/>
    <n v="10"/>
    <n v="0"/>
    <n v="0"/>
    <x v="1"/>
    <b v="0"/>
    <b v="0"/>
    <b v="0"/>
    <x v="0"/>
    <b v="0"/>
  </r>
  <r>
    <s v="S-6bf7d7"/>
    <s v="A-9bfc9f"/>
    <d v="2024-03-23T00:00:00"/>
    <m/>
    <x v="1"/>
    <n v="53"/>
    <n v="2597"/>
    <n v="31164"/>
    <x v="0"/>
    <b v="0"/>
    <b v="1"/>
    <b v="0"/>
    <x v="1"/>
    <b v="0"/>
  </r>
  <r>
    <s v="S-feccd8"/>
    <s v="A-812c5b"/>
    <d v="2024-12-22T00:00:00"/>
    <m/>
    <x v="0"/>
    <n v="55"/>
    <n v="10945"/>
    <n v="131340"/>
    <x v="0"/>
    <b v="0"/>
    <b v="0"/>
    <b v="0"/>
    <x v="0"/>
    <b v="1"/>
  </r>
  <r>
    <s v="S-0e4b0c"/>
    <s v="A-39b19f"/>
    <d v="2023-02-28T00:00:00"/>
    <d v="2023-06-15T00:00:00"/>
    <x v="1"/>
    <n v="24"/>
    <n v="1176"/>
    <n v="14112"/>
    <x v="0"/>
    <b v="0"/>
    <b v="1"/>
    <b v="1"/>
    <x v="1"/>
    <b v="1"/>
  </r>
  <r>
    <s v="S-0e0578"/>
    <s v="A-de58ca"/>
    <d v="2023-07-09T00:00:00"/>
    <m/>
    <x v="2"/>
    <n v="15"/>
    <n v="285"/>
    <n v="3420"/>
    <x v="0"/>
    <b v="0"/>
    <b v="0"/>
    <b v="0"/>
    <x v="0"/>
    <b v="1"/>
  </r>
  <r>
    <s v="S-74538d"/>
    <s v="A-e60f9d"/>
    <d v="2024-11-13T00:00:00"/>
    <m/>
    <x v="1"/>
    <n v="46"/>
    <n v="2254"/>
    <n v="27048"/>
    <x v="0"/>
    <b v="0"/>
    <b v="0"/>
    <b v="0"/>
    <x v="1"/>
    <b v="1"/>
  </r>
  <r>
    <s v="S-c2a6cb"/>
    <s v="A-9affe6"/>
    <d v="2023-10-19T00:00:00"/>
    <m/>
    <x v="0"/>
    <n v="7"/>
    <n v="1393"/>
    <n v="16716"/>
    <x v="0"/>
    <b v="1"/>
    <b v="0"/>
    <b v="0"/>
    <x v="1"/>
    <b v="0"/>
  </r>
  <r>
    <s v="S-1bd2ec"/>
    <s v="A-e60f9d"/>
    <d v="2024-12-25T00:00:00"/>
    <d v="2024-12-28T00:00:00"/>
    <x v="2"/>
    <n v="38"/>
    <n v="722"/>
    <n v="8664"/>
    <x v="0"/>
    <b v="0"/>
    <b v="0"/>
    <b v="1"/>
    <x v="1"/>
    <b v="1"/>
  </r>
  <r>
    <s v="S-3cc352"/>
    <s v="A-d27f50"/>
    <d v="2024-08-06T00:00:00"/>
    <m/>
    <x v="1"/>
    <n v="44"/>
    <n v="2156"/>
    <n v="25872"/>
    <x v="0"/>
    <b v="0"/>
    <b v="0"/>
    <b v="0"/>
    <x v="0"/>
    <b v="1"/>
  </r>
  <r>
    <s v="S-124207"/>
    <s v="A-fdfc91"/>
    <d v="2023-08-31T00:00:00"/>
    <m/>
    <x v="2"/>
    <n v="29"/>
    <n v="551"/>
    <n v="6612"/>
    <x v="0"/>
    <b v="0"/>
    <b v="0"/>
    <b v="0"/>
    <x v="1"/>
    <b v="1"/>
  </r>
  <r>
    <s v="S-76e7d9"/>
    <s v="A-712f1c"/>
    <d v="2024-02-09T00:00:00"/>
    <m/>
    <x v="0"/>
    <n v="44"/>
    <n v="8756"/>
    <n v="105072"/>
    <x v="0"/>
    <b v="0"/>
    <b v="0"/>
    <b v="0"/>
    <x v="0"/>
    <b v="1"/>
  </r>
  <r>
    <s v="S-44f453"/>
    <s v="A-19b2c8"/>
    <d v="2024-02-10T00:00:00"/>
    <m/>
    <x v="0"/>
    <n v="20"/>
    <n v="3980"/>
    <n v="47760"/>
    <x v="0"/>
    <b v="0"/>
    <b v="0"/>
    <b v="0"/>
    <x v="0"/>
    <b v="1"/>
  </r>
  <r>
    <s v="S-03a97f"/>
    <s v="A-f51f16"/>
    <d v="2024-03-15T00:00:00"/>
    <m/>
    <x v="1"/>
    <n v="60"/>
    <n v="2940"/>
    <n v="35280"/>
    <x v="0"/>
    <b v="0"/>
    <b v="0"/>
    <b v="0"/>
    <x v="1"/>
    <b v="1"/>
  </r>
  <r>
    <s v="S-80c01c"/>
    <s v="A-d3c88e"/>
    <d v="2024-12-16T00:00:00"/>
    <m/>
    <x v="2"/>
    <n v="16"/>
    <n v="304"/>
    <n v="3648"/>
    <x v="0"/>
    <b v="1"/>
    <b v="0"/>
    <b v="0"/>
    <x v="1"/>
    <b v="1"/>
  </r>
  <r>
    <s v="S-666181"/>
    <s v="A-eb1312"/>
    <d v="2024-10-09T00:00:00"/>
    <m/>
    <x v="2"/>
    <n v="71"/>
    <n v="1349"/>
    <n v="16188"/>
    <x v="0"/>
    <b v="0"/>
    <b v="0"/>
    <b v="0"/>
    <x v="1"/>
    <b v="1"/>
  </r>
  <r>
    <s v="S-401496"/>
    <s v="A-68f37c"/>
    <d v="2023-08-13T00:00:00"/>
    <d v="2024-06-22T00:00:00"/>
    <x v="0"/>
    <n v="4"/>
    <n v="796"/>
    <n v="9552"/>
    <x v="0"/>
    <b v="1"/>
    <b v="0"/>
    <b v="1"/>
    <x v="0"/>
    <b v="1"/>
  </r>
  <r>
    <s v="S-ca0c98"/>
    <s v="A-fda07f"/>
    <d v="2024-11-28T00:00:00"/>
    <m/>
    <x v="1"/>
    <n v="7"/>
    <n v="343"/>
    <n v="4116"/>
    <x v="0"/>
    <b v="0"/>
    <b v="0"/>
    <b v="0"/>
    <x v="0"/>
    <b v="1"/>
  </r>
  <r>
    <s v="S-017e33"/>
    <s v="A-f9cc74"/>
    <d v="2024-11-08T00:00:00"/>
    <d v="2024-11-25T00:00:00"/>
    <x v="2"/>
    <n v="53"/>
    <n v="1007"/>
    <n v="12084"/>
    <x v="0"/>
    <b v="0"/>
    <b v="0"/>
    <b v="1"/>
    <x v="0"/>
    <b v="1"/>
  </r>
  <r>
    <s v="S-183073"/>
    <s v="A-e7a1e2"/>
    <d v="2024-07-19T00:00:00"/>
    <m/>
    <x v="0"/>
    <n v="14"/>
    <n v="2786"/>
    <n v="33432"/>
    <x v="0"/>
    <b v="0"/>
    <b v="0"/>
    <b v="0"/>
    <x v="0"/>
    <b v="1"/>
  </r>
  <r>
    <s v="S-22f503"/>
    <s v="A-7a0d69"/>
    <d v="2024-09-06T00:00:00"/>
    <m/>
    <x v="2"/>
    <n v="6"/>
    <n v="114"/>
    <n v="1368"/>
    <x v="0"/>
    <b v="0"/>
    <b v="0"/>
    <b v="0"/>
    <x v="1"/>
    <b v="1"/>
  </r>
  <r>
    <s v="S-7de1b7"/>
    <s v="A-4d1e75"/>
    <d v="2024-10-27T00:00:00"/>
    <m/>
    <x v="0"/>
    <n v="20"/>
    <n v="3980"/>
    <n v="47760"/>
    <x v="0"/>
    <b v="0"/>
    <b v="0"/>
    <b v="0"/>
    <x v="1"/>
    <b v="1"/>
  </r>
  <r>
    <s v="S-c7f564"/>
    <s v="A-902ef7"/>
    <d v="2024-11-23T00:00:00"/>
    <m/>
    <x v="1"/>
    <n v="83"/>
    <n v="0"/>
    <n v="0"/>
    <x v="1"/>
    <b v="1"/>
    <b v="0"/>
    <b v="0"/>
    <x v="1"/>
    <b v="1"/>
  </r>
  <r>
    <s v="S-ceffe9"/>
    <s v="A-89ee83"/>
    <d v="2024-11-23T00:00:00"/>
    <m/>
    <x v="0"/>
    <n v="2"/>
    <n v="398"/>
    <n v="4776"/>
    <x v="0"/>
    <b v="0"/>
    <b v="0"/>
    <b v="0"/>
    <x v="0"/>
    <b v="1"/>
  </r>
  <r>
    <s v="S-9b2c95"/>
    <s v="A-e60f9d"/>
    <d v="2024-11-24T00:00:00"/>
    <d v="2024-12-05T00:00:00"/>
    <x v="1"/>
    <n v="29"/>
    <n v="0"/>
    <n v="0"/>
    <x v="1"/>
    <b v="0"/>
    <b v="0"/>
    <b v="1"/>
    <x v="1"/>
    <b v="1"/>
  </r>
  <r>
    <s v="S-cf6ec1"/>
    <s v="A-d77f4c"/>
    <d v="2024-08-04T00:00:00"/>
    <m/>
    <x v="0"/>
    <n v="22"/>
    <n v="4378"/>
    <n v="52536"/>
    <x v="0"/>
    <b v="1"/>
    <b v="0"/>
    <b v="0"/>
    <x v="0"/>
    <b v="0"/>
  </r>
  <r>
    <s v="S-a44d72"/>
    <s v="A-b30291"/>
    <d v="2024-06-12T00:00:00"/>
    <m/>
    <x v="1"/>
    <n v="18"/>
    <n v="882"/>
    <n v="10584"/>
    <x v="0"/>
    <b v="0"/>
    <b v="0"/>
    <b v="0"/>
    <x v="0"/>
    <b v="1"/>
  </r>
  <r>
    <s v="S-0b0ffa"/>
    <s v="A-180abf"/>
    <d v="2024-01-17T00:00:00"/>
    <d v="2024-04-19T00:00:00"/>
    <x v="2"/>
    <n v="64"/>
    <n v="0"/>
    <n v="0"/>
    <x v="1"/>
    <b v="0"/>
    <b v="0"/>
    <b v="1"/>
    <x v="1"/>
    <b v="1"/>
  </r>
  <r>
    <s v="S-02af5d"/>
    <s v="A-d82ef9"/>
    <d v="2024-08-07T00:00:00"/>
    <m/>
    <x v="0"/>
    <n v="26"/>
    <n v="0"/>
    <n v="0"/>
    <x v="1"/>
    <b v="0"/>
    <b v="0"/>
    <b v="0"/>
    <x v="1"/>
    <b v="1"/>
  </r>
  <r>
    <s v="S-d07c53"/>
    <s v="A-249769"/>
    <d v="2024-09-24T00:00:00"/>
    <m/>
    <x v="2"/>
    <n v="21"/>
    <n v="399"/>
    <n v="4788"/>
    <x v="0"/>
    <b v="0"/>
    <b v="0"/>
    <b v="0"/>
    <x v="1"/>
    <b v="1"/>
  </r>
  <r>
    <s v="S-c67b80"/>
    <s v="A-eb2fdc"/>
    <d v="2024-02-24T00:00:00"/>
    <m/>
    <x v="1"/>
    <n v="31"/>
    <n v="1519"/>
    <n v="18228"/>
    <x v="0"/>
    <b v="0"/>
    <b v="0"/>
    <b v="0"/>
    <x v="0"/>
    <b v="0"/>
  </r>
  <r>
    <s v="S-5d68fb"/>
    <s v="A-5f2961"/>
    <d v="2024-12-02T00:00:00"/>
    <m/>
    <x v="1"/>
    <n v="49"/>
    <n v="2401"/>
    <n v="28812"/>
    <x v="0"/>
    <b v="0"/>
    <b v="0"/>
    <b v="0"/>
    <x v="1"/>
    <b v="1"/>
  </r>
  <r>
    <s v="S-fc9cc3"/>
    <s v="A-9b9fe9"/>
    <d v="2024-01-01T00:00:00"/>
    <m/>
    <x v="1"/>
    <n v="24"/>
    <n v="1176"/>
    <n v="14112"/>
    <x v="0"/>
    <b v="0"/>
    <b v="0"/>
    <b v="0"/>
    <x v="1"/>
    <b v="1"/>
  </r>
  <r>
    <s v="S-17f71d"/>
    <s v="A-e40f45"/>
    <d v="2024-05-15T00:00:00"/>
    <m/>
    <x v="1"/>
    <n v="44"/>
    <n v="2156"/>
    <n v="25872"/>
    <x v="0"/>
    <b v="1"/>
    <b v="0"/>
    <b v="0"/>
    <x v="0"/>
    <b v="1"/>
  </r>
  <r>
    <s v="S-5895f0"/>
    <s v="A-bcf664"/>
    <d v="2023-10-05T00:00:00"/>
    <m/>
    <x v="2"/>
    <n v="8"/>
    <n v="0"/>
    <n v="0"/>
    <x v="1"/>
    <b v="0"/>
    <b v="0"/>
    <b v="0"/>
    <x v="1"/>
    <b v="1"/>
  </r>
  <r>
    <s v="S-b042d9"/>
    <s v="A-0e966d"/>
    <d v="2024-11-15T00:00:00"/>
    <m/>
    <x v="0"/>
    <n v="11"/>
    <n v="2189"/>
    <n v="26268"/>
    <x v="0"/>
    <b v="0"/>
    <b v="0"/>
    <b v="0"/>
    <x v="1"/>
    <b v="1"/>
  </r>
  <r>
    <s v="S-ffd1ee"/>
    <s v="A-f03140"/>
    <d v="2024-11-06T00:00:00"/>
    <m/>
    <x v="1"/>
    <n v="27"/>
    <n v="0"/>
    <n v="0"/>
    <x v="1"/>
    <b v="0"/>
    <b v="0"/>
    <b v="0"/>
    <x v="1"/>
    <b v="1"/>
  </r>
  <r>
    <s v="S-9c4bcd"/>
    <s v="A-a7bd4b"/>
    <d v="2024-05-14T00:00:00"/>
    <m/>
    <x v="1"/>
    <n v="5"/>
    <n v="245"/>
    <n v="2940"/>
    <x v="0"/>
    <b v="1"/>
    <b v="0"/>
    <b v="0"/>
    <x v="0"/>
    <b v="1"/>
  </r>
  <r>
    <s v="S-4f91d0"/>
    <s v="A-7f8241"/>
    <d v="2024-10-12T00:00:00"/>
    <m/>
    <x v="2"/>
    <n v="34"/>
    <n v="646"/>
    <n v="7752"/>
    <x v="0"/>
    <b v="0"/>
    <b v="0"/>
    <b v="0"/>
    <x v="0"/>
    <b v="0"/>
  </r>
  <r>
    <s v="S-672f1b"/>
    <s v="A-eafc6e"/>
    <d v="2023-08-08T00:00:00"/>
    <m/>
    <x v="1"/>
    <n v="27"/>
    <n v="1323"/>
    <n v="15876"/>
    <x v="0"/>
    <b v="0"/>
    <b v="0"/>
    <b v="0"/>
    <x v="0"/>
    <b v="1"/>
  </r>
  <r>
    <s v="S-101201"/>
    <s v="A-d49cc5"/>
    <d v="2024-02-13T00:00:00"/>
    <m/>
    <x v="2"/>
    <n v="50"/>
    <n v="950"/>
    <n v="11400"/>
    <x v="0"/>
    <b v="0"/>
    <b v="0"/>
    <b v="0"/>
    <x v="1"/>
    <b v="1"/>
  </r>
  <r>
    <s v="S-eea643"/>
    <s v="A-54ecc2"/>
    <d v="2024-10-30T00:00:00"/>
    <m/>
    <x v="0"/>
    <n v="28"/>
    <n v="5572"/>
    <n v="66864"/>
    <x v="0"/>
    <b v="0"/>
    <b v="0"/>
    <b v="0"/>
    <x v="0"/>
    <b v="1"/>
  </r>
  <r>
    <s v="S-5f9a67"/>
    <s v="A-6da850"/>
    <d v="2023-12-04T00:00:00"/>
    <m/>
    <x v="1"/>
    <n v="5"/>
    <n v="245"/>
    <n v="2940"/>
    <x v="0"/>
    <b v="0"/>
    <b v="0"/>
    <b v="0"/>
    <x v="1"/>
    <b v="1"/>
  </r>
  <r>
    <s v="S-327e7c"/>
    <s v="A-4e960a"/>
    <d v="2024-02-07T00:00:00"/>
    <m/>
    <x v="0"/>
    <n v="17"/>
    <n v="0"/>
    <n v="0"/>
    <x v="1"/>
    <b v="0"/>
    <b v="0"/>
    <b v="0"/>
    <x v="1"/>
    <b v="1"/>
  </r>
  <r>
    <s v="S-d97c5f"/>
    <s v="A-533452"/>
    <d v="2024-11-25T00:00:00"/>
    <m/>
    <x v="1"/>
    <n v="101"/>
    <n v="4949"/>
    <n v="59388"/>
    <x v="0"/>
    <b v="0"/>
    <b v="0"/>
    <b v="0"/>
    <x v="0"/>
    <b v="1"/>
  </r>
  <r>
    <s v="S-029c20"/>
    <s v="A-f44180"/>
    <d v="2024-12-13T00:00:00"/>
    <m/>
    <x v="2"/>
    <n v="10"/>
    <n v="0"/>
    <n v="0"/>
    <x v="1"/>
    <b v="0"/>
    <b v="0"/>
    <b v="0"/>
    <x v="1"/>
    <b v="0"/>
  </r>
  <r>
    <s v="S-a74462"/>
    <s v="A-7c83a1"/>
    <d v="2024-05-14T00:00:00"/>
    <m/>
    <x v="1"/>
    <n v="48"/>
    <n v="2352"/>
    <n v="28224"/>
    <x v="0"/>
    <b v="0"/>
    <b v="0"/>
    <b v="0"/>
    <x v="1"/>
    <b v="1"/>
  </r>
  <r>
    <s v="S-02ec76"/>
    <s v="A-e60f9d"/>
    <d v="2024-09-17T00:00:00"/>
    <m/>
    <x v="1"/>
    <n v="29"/>
    <n v="1421"/>
    <n v="17052"/>
    <x v="0"/>
    <b v="0"/>
    <b v="0"/>
    <b v="0"/>
    <x v="0"/>
    <b v="1"/>
  </r>
  <r>
    <s v="S-d1c9e3"/>
    <s v="A-075038"/>
    <d v="2024-01-09T00:00:00"/>
    <m/>
    <x v="2"/>
    <n v="17"/>
    <n v="323"/>
    <n v="3876"/>
    <x v="0"/>
    <b v="0"/>
    <b v="0"/>
    <b v="0"/>
    <x v="1"/>
    <b v="1"/>
  </r>
  <r>
    <s v="S-51d8db"/>
    <s v="A-cc1d8d"/>
    <d v="2024-12-30T00:00:00"/>
    <m/>
    <x v="0"/>
    <n v="6"/>
    <n v="1194"/>
    <n v="14328"/>
    <x v="0"/>
    <b v="0"/>
    <b v="0"/>
    <b v="0"/>
    <x v="1"/>
    <b v="1"/>
  </r>
  <r>
    <s v="S-c3c85e"/>
    <s v="A-271f46"/>
    <d v="2024-10-31T00:00:00"/>
    <m/>
    <x v="2"/>
    <n v="38"/>
    <n v="722"/>
    <n v="8664"/>
    <x v="0"/>
    <b v="0"/>
    <b v="0"/>
    <b v="0"/>
    <x v="0"/>
    <b v="1"/>
  </r>
  <r>
    <s v="S-44a646"/>
    <s v="A-1e1b80"/>
    <d v="2023-12-26T00:00:00"/>
    <m/>
    <x v="2"/>
    <n v="50"/>
    <n v="950"/>
    <n v="11400"/>
    <x v="0"/>
    <b v="0"/>
    <b v="0"/>
    <b v="0"/>
    <x v="1"/>
    <b v="1"/>
  </r>
  <r>
    <s v="S-431c03"/>
    <s v="A-e4bf56"/>
    <d v="2024-12-02T00:00:00"/>
    <d v="2024-12-19T00:00:00"/>
    <x v="0"/>
    <n v="37"/>
    <n v="7363"/>
    <n v="88356"/>
    <x v="0"/>
    <b v="0"/>
    <b v="0"/>
    <b v="1"/>
    <x v="0"/>
    <b v="1"/>
  </r>
  <r>
    <s v="S-4f0027"/>
    <s v="A-ff79f2"/>
    <d v="2024-12-31T00:00:00"/>
    <d v="2024-12-31T00:00:00"/>
    <x v="0"/>
    <n v="19"/>
    <n v="3781"/>
    <n v="45372"/>
    <x v="0"/>
    <b v="0"/>
    <b v="0"/>
    <b v="1"/>
    <x v="1"/>
    <b v="1"/>
  </r>
  <r>
    <s v="S-6c9ee1"/>
    <s v="A-6da850"/>
    <d v="2024-02-20T00:00:00"/>
    <m/>
    <x v="0"/>
    <n v="23"/>
    <n v="0"/>
    <n v="0"/>
    <x v="1"/>
    <b v="0"/>
    <b v="0"/>
    <b v="0"/>
    <x v="0"/>
    <b v="1"/>
  </r>
  <r>
    <s v="S-396a84"/>
    <s v="A-5b4ebb"/>
    <d v="2024-10-23T00:00:00"/>
    <d v="2024-11-27T00:00:00"/>
    <x v="2"/>
    <n v="21"/>
    <n v="399"/>
    <n v="4788"/>
    <x v="0"/>
    <b v="0"/>
    <b v="0"/>
    <b v="1"/>
    <x v="0"/>
    <b v="0"/>
  </r>
  <r>
    <s v="S-6bea24"/>
    <s v="A-3f9cc0"/>
    <d v="2024-07-06T00:00:00"/>
    <m/>
    <x v="2"/>
    <n v="22"/>
    <n v="0"/>
    <n v="0"/>
    <x v="1"/>
    <b v="0"/>
    <b v="0"/>
    <b v="0"/>
    <x v="0"/>
    <b v="1"/>
  </r>
  <r>
    <s v="S-259804"/>
    <s v="A-d4ac0e"/>
    <d v="2024-10-01T00:00:00"/>
    <m/>
    <x v="2"/>
    <n v="28"/>
    <n v="532"/>
    <n v="6384"/>
    <x v="0"/>
    <b v="0"/>
    <b v="0"/>
    <b v="0"/>
    <x v="1"/>
    <b v="1"/>
  </r>
  <r>
    <s v="S-33e40e"/>
    <s v="A-86cdb4"/>
    <d v="2024-10-10T00:00:00"/>
    <d v="2024-12-29T00:00:00"/>
    <x v="0"/>
    <n v="2"/>
    <n v="398"/>
    <n v="4776"/>
    <x v="0"/>
    <b v="0"/>
    <b v="0"/>
    <b v="1"/>
    <x v="1"/>
    <b v="1"/>
  </r>
  <r>
    <s v="S-fbd522"/>
    <s v="A-310452"/>
    <d v="2024-12-28T00:00:00"/>
    <m/>
    <x v="1"/>
    <n v="9"/>
    <n v="0"/>
    <n v="0"/>
    <x v="1"/>
    <b v="0"/>
    <b v="0"/>
    <b v="0"/>
    <x v="1"/>
    <b v="0"/>
  </r>
  <r>
    <s v="S-bbafad"/>
    <s v="A-854864"/>
    <d v="2024-12-27T00:00:00"/>
    <d v="2024-12-30T00:00:00"/>
    <x v="2"/>
    <n v="20"/>
    <n v="380"/>
    <n v="4560"/>
    <x v="0"/>
    <b v="0"/>
    <b v="0"/>
    <b v="1"/>
    <x v="1"/>
    <b v="1"/>
  </r>
  <r>
    <s v="S-3edc14"/>
    <s v="A-d82ef9"/>
    <d v="2024-10-04T00:00:00"/>
    <m/>
    <x v="1"/>
    <n v="26"/>
    <n v="0"/>
    <n v="0"/>
    <x v="1"/>
    <b v="0"/>
    <b v="0"/>
    <b v="0"/>
    <x v="1"/>
    <b v="1"/>
  </r>
  <r>
    <s v="S-11e29d"/>
    <s v="A-71615e"/>
    <d v="2024-10-13T00:00:00"/>
    <m/>
    <x v="2"/>
    <n v="32"/>
    <n v="608"/>
    <n v="7296"/>
    <x v="0"/>
    <b v="0"/>
    <b v="0"/>
    <b v="0"/>
    <x v="0"/>
    <b v="1"/>
  </r>
  <r>
    <s v="S-1feff8"/>
    <s v="A-5fe118"/>
    <d v="2024-12-06T00:00:00"/>
    <m/>
    <x v="0"/>
    <n v="39"/>
    <n v="7761"/>
    <n v="93132"/>
    <x v="0"/>
    <b v="0"/>
    <b v="0"/>
    <b v="0"/>
    <x v="1"/>
    <b v="1"/>
  </r>
  <r>
    <s v="S-61e86c"/>
    <s v="A-39ddf4"/>
    <d v="2024-12-07T00:00:00"/>
    <m/>
    <x v="0"/>
    <n v="40"/>
    <n v="7960"/>
    <n v="95520"/>
    <x v="0"/>
    <b v="0"/>
    <b v="0"/>
    <b v="0"/>
    <x v="1"/>
    <b v="1"/>
  </r>
  <r>
    <s v="S-af41f0"/>
    <s v="A-e83938"/>
    <d v="2024-06-27T00:00:00"/>
    <m/>
    <x v="2"/>
    <n v="2"/>
    <n v="38"/>
    <n v="456"/>
    <x v="0"/>
    <b v="0"/>
    <b v="0"/>
    <b v="0"/>
    <x v="1"/>
    <b v="0"/>
  </r>
  <r>
    <s v="S-65ae02"/>
    <s v="A-671f31"/>
    <d v="2024-12-14T00:00:00"/>
    <m/>
    <x v="1"/>
    <n v="59"/>
    <n v="2891"/>
    <n v="34692"/>
    <x v="0"/>
    <b v="0"/>
    <b v="0"/>
    <b v="0"/>
    <x v="1"/>
    <b v="1"/>
  </r>
  <r>
    <s v="S-f7fccd"/>
    <s v="A-443b7c"/>
    <d v="2024-11-18T00:00:00"/>
    <m/>
    <x v="2"/>
    <n v="6"/>
    <n v="0"/>
    <n v="0"/>
    <x v="1"/>
    <b v="1"/>
    <b v="0"/>
    <b v="0"/>
    <x v="1"/>
    <b v="1"/>
  </r>
  <r>
    <s v="S-7904d3"/>
    <s v="A-d4e0d4"/>
    <d v="2024-11-30T00:00:00"/>
    <d v="2024-12-03T00:00:00"/>
    <x v="0"/>
    <n v="117"/>
    <n v="23283"/>
    <n v="279396"/>
    <x v="0"/>
    <b v="0"/>
    <b v="0"/>
    <b v="1"/>
    <x v="0"/>
    <b v="1"/>
  </r>
  <r>
    <s v="S-48a54e"/>
    <s v="A-b2225d"/>
    <d v="2024-10-29T00:00:00"/>
    <m/>
    <x v="2"/>
    <n v="47"/>
    <n v="0"/>
    <n v="0"/>
    <x v="1"/>
    <b v="0"/>
    <b v="0"/>
    <b v="0"/>
    <x v="0"/>
    <b v="1"/>
  </r>
  <r>
    <s v="S-4a08bd"/>
    <s v="A-e08cd3"/>
    <d v="2024-10-11T00:00:00"/>
    <m/>
    <x v="1"/>
    <n v="67"/>
    <n v="3283"/>
    <n v="39396"/>
    <x v="0"/>
    <b v="0"/>
    <b v="0"/>
    <b v="0"/>
    <x v="1"/>
    <b v="0"/>
  </r>
  <r>
    <s v="S-faa8ec"/>
    <s v="A-2e4581"/>
    <d v="2024-12-09T00:00:00"/>
    <m/>
    <x v="2"/>
    <n v="11"/>
    <n v="209"/>
    <n v="2508"/>
    <x v="0"/>
    <b v="0"/>
    <b v="0"/>
    <b v="0"/>
    <x v="0"/>
    <b v="1"/>
  </r>
  <r>
    <s v="S-8db104"/>
    <s v="A-4a267b"/>
    <d v="2024-10-18T00:00:00"/>
    <m/>
    <x v="1"/>
    <n v="25"/>
    <n v="1225"/>
    <n v="14700"/>
    <x v="0"/>
    <b v="0"/>
    <b v="1"/>
    <b v="0"/>
    <x v="0"/>
    <b v="1"/>
  </r>
  <r>
    <s v="S-3c0121"/>
    <s v="A-7c83a1"/>
    <d v="2024-12-30T00:00:00"/>
    <m/>
    <x v="1"/>
    <n v="24"/>
    <n v="1176"/>
    <n v="14112"/>
    <x v="0"/>
    <b v="0"/>
    <b v="0"/>
    <b v="0"/>
    <x v="0"/>
    <b v="1"/>
  </r>
  <r>
    <s v="S-13ca37"/>
    <s v="A-6843f2"/>
    <d v="2024-12-21T00:00:00"/>
    <m/>
    <x v="1"/>
    <n v="21"/>
    <n v="0"/>
    <n v="0"/>
    <x v="1"/>
    <b v="0"/>
    <b v="1"/>
    <b v="0"/>
    <x v="0"/>
    <b v="1"/>
  </r>
  <r>
    <s v="S-163e64"/>
    <s v="A-dfbd31"/>
    <d v="2024-11-08T00:00:00"/>
    <m/>
    <x v="0"/>
    <n v="62"/>
    <n v="12338"/>
    <n v="148056"/>
    <x v="0"/>
    <b v="0"/>
    <b v="0"/>
    <b v="0"/>
    <x v="0"/>
    <b v="1"/>
  </r>
  <r>
    <s v="S-4d1ba6"/>
    <s v="A-00cac8"/>
    <d v="2024-04-04T00:00:00"/>
    <m/>
    <x v="0"/>
    <n v="9"/>
    <n v="0"/>
    <n v="0"/>
    <x v="1"/>
    <b v="0"/>
    <b v="0"/>
    <b v="0"/>
    <x v="1"/>
    <b v="0"/>
  </r>
  <r>
    <s v="S-e98d6b"/>
    <s v="A-309e54"/>
    <d v="2024-12-31T00:00:00"/>
    <m/>
    <x v="2"/>
    <n v="15"/>
    <n v="285"/>
    <n v="3420"/>
    <x v="0"/>
    <b v="0"/>
    <b v="0"/>
    <b v="0"/>
    <x v="1"/>
    <b v="1"/>
  </r>
  <r>
    <s v="S-041624"/>
    <s v="A-6843f2"/>
    <d v="2024-12-12T00:00:00"/>
    <m/>
    <x v="0"/>
    <n v="21"/>
    <n v="4179"/>
    <n v="50148"/>
    <x v="0"/>
    <b v="0"/>
    <b v="0"/>
    <b v="0"/>
    <x v="0"/>
    <b v="1"/>
  </r>
  <r>
    <s v="S-b78829"/>
    <s v="A-2e4581"/>
    <d v="2024-11-12T00:00:00"/>
    <m/>
    <x v="1"/>
    <n v="20"/>
    <n v="980"/>
    <n v="11760"/>
    <x v="0"/>
    <b v="0"/>
    <b v="0"/>
    <b v="0"/>
    <x v="0"/>
    <b v="1"/>
  </r>
  <r>
    <s v="S-ca1c21"/>
    <s v="A-f92792"/>
    <d v="2024-12-02T00:00:00"/>
    <m/>
    <x v="2"/>
    <n v="9"/>
    <n v="0"/>
    <n v="0"/>
    <x v="1"/>
    <b v="0"/>
    <b v="0"/>
    <b v="0"/>
    <x v="1"/>
    <b v="0"/>
  </r>
  <r>
    <s v="S-e1de58"/>
    <s v="A-ce550d"/>
    <d v="2024-10-28T00:00:00"/>
    <m/>
    <x v="0"/>
    <n v="35"/>
    <n v="6965"/>
    <n v="83580"/>
    <x v="0"/>
    <b v="1"/>
    <b v="0"/>
    <b v="0"/>
    <x v="1"/>
    <b v="1"/>
  </r>
  <r>
    <s v="S-721fea"/>
    <s v="A-f6b2fb"/>
    <d v="2024-05-23T00:00:00"/>
    <m/>
    <x v="1"/>
    <n v="23"/>
    <n v="1127"/>
    <n v="13524"/>
    <x v="0"/>
    <b v="0"/>
    <b v="1"/>
    <b v="0"/>
    <x v="0"/>
    <b v="1"/>
  </r>
  <r>
    <s v="S-eaac58"/>
    <s v="A-ff3c73"/>
    <d v="2023-04-08T00:00:00"/>
    <m/>
    <x v="2"/>
    <n v="66"/>
    <n v="1254"/>
    <n v="15048"/>
    <x v="0"/>
    <b v="0"/>
    <b v="0"/>
    <b v="0"/>
    <x v="1"/>
    <b v="1"/>
  </r>
  <r>
    <s v="S-1218fd"/>
    <s v="A-2d4502"/>
    <d v="2024-11-02T00:00:00"/>
    <m/>
    <x v="2"/>
    <n v="14"/>
    <n v="266"/>
    <n v="3192"/>
    <x v="0"/>
    <b v="1"/>
    <b v="0"/>
    <b v="0"/>
    <x v="0"/>
    <b v="0"/>
  </r>
  <r>
    <s v="S-936732"/>
    <s v="A-2f6a32"/>
    <d v="2024-11-28T00:00:00"/>
    <d v="2024-12-06T00:00:00"/>
    <x v="1"/>
    <n v="19"/>
    <n v="931"/>
    <n v="11172"/>
    <x v="0"/>
    <b v="0"/>
    <b v="0"/>
    <b v="1"/>
    <x v="1"/>
    <b v="1"/>
  </r>
  <r>
    <s v="S-c2f293"/>
    <s v="A-69b156"/>
    <d v="2024-12-10T00:00:00"/>
    <d v="2024-12-30T00:00:00"/>
    <x v="2"/>
    <n v="8"/>
    <n v="152"/>
    <n v="1824"/>
    <x v="0"/>
    <b v="0"/>
    <b v="0"/>
    <b v="1"/>
    <x v="0"/>
    <b v="0"/>
  </r>
  <r>
    <s v="S-fe3b71"/>
    <s v="A-44dc83"/>
    <d v="2024-09-24T00:00:00"/>
    <m/>
    <x v="0"/>
    <n v="37"/>
    <n v="0"/>
    <n v="0"/>
    <x v="1"/>
    <b v="0"/>
    <b v="0"/>
    <b v="0"/>
    <x v="0"/>
    <b v="1"/>
  </r>
  <r>
    <s v="S-f5f5b3"/>
    <s v="A-89ee83"/>
    <d v="2024-12-26T00:00:00"/>
    <d v="2024-12-29T00:00:00"/>
    <x v="2"/>
    <n v="10"/>
    <n v="190"/>
    <n v="2280"/>
    <x v="0"/>
    <b v="0"/>
    <b v="0"/>
    <b v="1"/>
    <x v="1"/>
    <b v="1"/>
  </r>
  <r>
    <s v="S-4afb53"/>
    <s v="A-40de06"/>
    <d v="2023-12-12T00:00:00"/>
    <d v="2024-12-29T00:00:00"/>
    <x v="0"/>
    <n v="28"/>
    <n v="5572"/>
    <n v="66864"/>
    <x v="0"/>
    <b v="0"/>
    <b v="0"/>
    <b v="1"/>
    <x v="0"/>
    <b v="1"/>
  </r>
  <r>
    <s v="S-851bbe"/>
    <s v="A-d77f4c"/>
    <d v="2024-04-22T00:00:00"/>
    <m/>
    <x v="0"/>
    <n v="94"/>
    <n v="18706"/>
    <n v="224472"/>
    <x v="0"/>
    <b v="1"/>
    <b v="0"/>
    <b v="0"/>
    <x v="1"/>
    <b v="1"/>
  </r>
  <r>
    <s v="S-dab0d5"/>
    <s v="A-cc1d8d"/>
    <d v="2024-12-14T00:00:00"/>
    <m/>
    <x v="2"/>
    <n v="5"/>
    <n v="0"/>
    <n v="0"/>
    <x v="1"/>
    <b v="0"/>
    <b v="0"/>
    <b v="0"/>
    <x v="0"/>
    <b v="1"/>
  </r>
  <r>
    <s v="S-9aa190"/>
    <s v="A-9b9fe9"/>
    <d v="2024-10-17T00:00:00"/>
    <m/>
    <x v="2"/>
    <n v="33"/>
    <n v="627"/>
    <n v="7524"/>
    <x v="0"/>
    <b v="0"/>
    <b v="0"/>
    <b v="0"/>
    <x v="1"/>
    <b v="1"/>
  </r>
  <r>
    <s v="S-f89d8c"/>
    <s v="A-88c6ca"/>
    <d v="2024-12-18T00:00:00"/>
    <m/>
    <x v="1"/>
    <n v="49"/>
    <n v="2401"/>
    <n v="28812"/>
    <x v="0"/>
    <b v="0"/>
    <b v="0"/>
    <b v="0"/>
    <x v="0"/>
    <b v="1"/>
  </r>
  <r>
    <s v="S-766a62"/>
    <s v="A-1ac5e0"/>
    <d v="2024-11-24T00:00:00"/>
    <m/>
    <x v="0"/>
    <n v="33"/>
    <n v="0"/>
    <n v="0"/>
    <x v="1"/>
    <b v="0"/>
    <b v="0"/>
    <b v="0"/>
    <x v="0"/>
    <b v="0"/>
  </r>
  <r>
    <s v="S-10134d"/>
    <s v="A-52dd88"/>
    <d v="2024-09-09T00:00:00"/>
    <m/>
    <x v="0"/>
    <n v="23"/>
    <n v="4577"/>
    <n v="54924"/>
    <x v="0"/>
    <b v="0"/>
    <b v="0"/>
    <b v="0"/>
    <x v="1"/>
    <b v="1"/>
  </r>
  <r>
    <s v="S-85de7a"/>
    <s v="A-940b8b"/>
    <d v="2024-04-01T00:00:00"/>
    <m/>
    <x v="0"/>
    <n v="32"/>
    <n v="6368"/>
    <n v="76416"/>
    <x v="0"/>
    <b v="0"/>
    <b v="1"/>
    <b v="0"/>
    <x v="1"/>
    <b v="1"/>
  </r>
  <r>
    <s v="S-85796b"/>
    <s v="A-f19409"/>
    <d v="2024-08-27T00:00:00"/>
    <d v="2024-10-31T00:00:00"/>
    <x v="0"/>
    <n v="23"/>
    <n v="4577"/>
    <n v="54924"/>
    <x v="0"/>
    <b v="0"/>
    <b v="0"/>
    <b v="1"/>
    <x v="0"/>
    <b v="1"/>
  </r>
  <r>
    <s v="S-c97464"/>
    <s v="A-f5641b"/>
    <d v="2024-10-16T00:00:00"/>
    <m/>
    <x v="1"/>
    <n v="38"/>
    <n v="1862"/>
    <n v="22344"/>
    <x v="0"/>
    <b v="0"/>
    <b v="0"/>
    <b v="0"/>
    <x v="0"/>
    <b v="0"/>
  </r>
  <r>
    <s v="S-6732ff"/>
    <s v="A-9affe6"/>
    <d v="2023-11-22T00:00:00"/>
    <m/>
    <x v="1"/>
    <n v="24"/>
    <n v="1176"/>
    <n v="14112"/>
    <x v="0"/>
    <b v="0"/>
    <b v="0"/>
    <b v="0"/>
    <x v="1"/>
    <b v="1"/>
  </r>
  <r>
    <s v="S-aa20eb"/>
    <s v="A-6f8ad2"/>
    <d v="2024-09-08T00:00:00"/>
    <m/>
    <x v="1"/>
    <n v="1"/>
    <n v="49"/>
    <n v="588"/>
    <x v="0"/>
    <b v="0"/>
    <b v="0"/>
    <b v="0"/>
    <x v="0"/>
    <b v="0"/>
  </r>
  <r>
    <s v="S-b6aabe"/>
    <s v="A-902ef7"/>
    <d v="2024-12-25T00:00:00"/>
    <m/>
    <x v="2"/>
    <n v="83"/>
    <n v="1577"/>
    <n v="18924"/>
    <x v="0"/>
    <b v="0"/>
    <b v="0"/>
    <b v="0"/>
    <x v="1"/>
    <b v="1"/>
  </r>
  <r>
    <s v="S-0ff339"/>
    <s v="A-6dee43"/>
    <d v="2024-01-21T00:00:00"/>
    <m/>
    <x v="2"/>
    <n v="12"/>
    <n v="228"/>
    <n v="2736"/>
    <x v="0"/>
    <b v="0"/>
    <b v="0"/>
    <b v="0"/>
    <x v="1"/>
    <b v="1"/>
  </r>
  <r>
    <s v="S-4d664d"/>
    <s v="A-cc1d8d"/>
    <d v="2024-12-26T00:00:00"/>
    <m/>
    <x v="1"/>
    <n v="16"/>
    <n v="784"/>
    <n v="9408"/>
    <x v="0"/>
    <b v="1"/>
    <b v="1"/>
    <b v="0"/>
    <x v="1"/>
    <b v="1"/>
  </r>
  <r>
    <s v="S-8deb5f"/>
    <s v="A-533452"/>
    <d v="2024-12-25T00:00:00"/>
    <m/>
    <x v="2"/>
    <n v="52"/>
    <n v="988"/>
    <n v="11856"/>
    <x v="0"/>
    <b v="0"/>
    <b v="0"/>
    <b v="0"/>
    <x v="1"/>
    <b v="0"/>
  </r>
  <r>
    <s v="S-e2d4e9"/>
    <s v="A-18793f"/>
    <d v="2024-12-30T00:00:00"/>
    <m/>
    <x v="2"/>
    <n v="148"/>
    <n v="0"/>
    <n v="0"/>
    <x v="1"/>
    <b v="1"/>
    <b v="0"/>
    <b v="0"/>
    <x v="0"/>
    <b v="1"/>
  </r>
  <r>
    <s v="S-d8441d"/>
    <s v="A-8adedc"/>
    <d v="2024-03-16T00:00:00"/>
    <m/>
    <x v="2"/>
    <n v="4"/>
    <n v="76"/>
    <n v="912"/>
    <x v="0"/>
    <b v="0"/>
    <b v="0"/>
    <b v="0"/>
    <x v="1"/>
    <b v="1"/>
  </r>
  <r>
    <s v="S-6d356a"/>
    <s v="A-425e76"/>
    <d v="2023-06-26T00:00:00"/>
    <m/>
    <x v="2"/>
    <n v="28"/>
    <n v="532"/>
    <n v="6384"/>
    <x v="0"/>
    <b v="0"/>
    <b v="0"/>
    <b v="0"/>
    <x v="1"/>
    <b v="0"/>
  </r>
  <r>
    <s v="S-c005ac"/>
    <s v="A-92a3af"/>
    <d v="2024-09-18T00:00:00"/>
    <m/>
    <x v="0"/>
    <n v="25"/>
    <n v="4975"/>
    <n v="59700"/>
    <x v="0"/>
    <b v="0"/>
    <b v="0"/>
    <b v="0"/>
    <x v="1"/>
    <b v="1"/>
  </r>
  <r>
    <s v="S-d0913e"/>
    <s v="A-eb2fdc"/>
    <d v="2024-11-14T00:00:00"/>
    <m/>
    <x v="1"/>
    <n v="31"/>
    <n v="1519"/>
    <n v="18228"/>
    <x v="0"/>
    <b v="0"/>
    <b v="0"/>
    <b v="0"/>
    <x v="0"/>
    <b v="1"/>
  </r>
  <r>
    <s v="S-4bef15"/>
    <s v="A-600734"/>
    <d v="2024-08-14T00:00:00"/>
    <d v="2024-09-22T00:00:00"/>
    <x v="0"/>
    <n v="29"/>
    <n v="0"/>
    <n v="0"/>
    <x v="1"/>
    <b v="0"/>
    <b v="0"/>
    <b v="1"/>
    <x v="1"/>
    <b v="1"/>
  </r>
  <r>
    <s v="S-2573e4"/>
    <s v="A-7f8241"/>
    <d v="2024-01-25T00:00:00"/>
    <m/>
    <x v="2"/>
    <n v="60"/>
    <n v="1140"/>
    <n v="13680"/>
    <x v="0"/>
    <b v="0"/>
    <b v="0"/>
    <b v="0"/>
    <x v="0"/>
    <b v="1"/>
  </r>
  <r>
    <s v="S-80c291"/>
    <s v="A-712533"/>
    <d v="2024-01-06T00:00:00"/>
    <m/>
    <x v="0"/>
    <n v="18"/>
    <n v="3582"/>
    <n v="42984"/>
    <x v="0"/>
    <b v="0"/>
    <b v="0"/>
    <b v="0"/>
    <x v="1"/>
    <b v="1"/>
  </r>
  <r>
    <s v="S-64acb8"/>
    <s v="A-3be56b"/>
    <d v="2024-08-21T00:00:00"/>
    <m/>
    <x v="0"/>
    <n v="30"/>
    <n v="5970"/>
    <n v="71640"/>
    <x v="0"/>
    <b v="0"/>
    <b v="0"/>
    <b v="0"/>
    <x v="0"/>
    <b v="1"/>
  </r>
  <r>
    <s v="S-13a948"/>
    <s v="A-d5a319"/>
    <d v="2024-07-24T00:00:00"/>
    <m/>
    <x v="0"/>
    <n v="15"/>
    <n v="2985"/>
    <n v="35820"/>
    <x v="0"/>
    <b v="1"/>
    <b v="0"/>
    <b v="0"/>
    <x v="0"/>
    <b v="0"/>
  </r>
  <r>
    <s v="S-081b81"/>
    <s v="A-b20d99"/>
    <d v="2024-01-30T00:00:00"/>
    <m/>
    <x v="2"/>
    <n v="20"/>
    <n v="380"/>
    <n v="4560"/>
    <x v="0"/>
    <b v="0"/>
    <b v="0"/>
    <b v="0"/>
    <x v="1"/>
    <b v="1"/>
  </r>
  <r>
    <s v="S-68c537"/>
    <s v="A-9ee962"/>
    <d v="2024-06-06T00:00:00"/>
    <m/>
    <x v="0"/>
    <n v="29"/>
    <n v="5771"/>
    <n v="69252"/>
    <x v="0"/>
    <b v="0"/>
    <b v="0"/>
    <b v="0"/>
    <x v="0"/>
    <b v="1"/>
  </r>
  <r>
    <s v="S-3f82bc"/>
    <s v="A-d5a319"/>
    <d v="2023-10-30T00:00:00"/>
    <m/>
    <x v="2"/>
    <n v="15"/>
    <n v="0"/>
    <n v="0"/>
    <x v="1"/>
    <b v="0"/>
    <b v="1"/>
    <b v="0"/>
    <x v="0"/>
    <b v="1"/>
  </r>
  <r>
    <s v="S-fe6311"/>
    <s v="A-5c9849"/>
    <d v="2024-11-11T00:00:00"/>
    <m/>
    <x v="0"/>
    <n v="19"/>
    <n v="0"/>
    <n v="0"/>
    <x v="1"/>
    <b v="0"/>
    <b v="0"/>
    <b v="0"/>
    <x v="0"/>
    <b v="1"/>
  </r>
  <r>
    <s v="S-b3c4b8"/>
    <s v="A-c43359"/>
    <d v="2024-12-17T00:00:00"/>
    <m/>
    <x v="1"/>
    <n v="38"/>
    <n v="0"/>
    <n v="0"/>
    <x v="1"/>
    <b v="0"/>
    <b v="0"/>
    <b v="0"/>
    <x v="1"/>
    <b v="1"/>
  </r>
  <r>
    <s v="S-8923b3"/>
    <s v="A-157070"/>
    <d v="2024-05-17T00:00:00"/>
    <m/>
    <x v="2"/>
    <n v="27"/>
    <n v="513"/>
    <n v="6156"/>
    <x v="0"/>
    <b v="0"/>
    <b v="0"/>
    <b v="0"/>
    <x v="1"/>
    <b v="1"/>
  </r>
  <r>
    <s v="S-2410c6"/>
    <s v="A-5247b3"/>
    <d v="2024-05-11T00:00:00"/>
    <m/>
    <x v="2"/>
    <n v="33"/>
    <n v="627"/>
    <n v="7524"/>
    <x v="0"/>
    <b v="0"/>
    <b v="0"/>
    <b v="0"/>
    <x v="1"/>
    <b v="0"/>
  </r>
  <r>
    <s v="S-7a06fe"/>
    <s v="A-5a92e7"/>
    <d v="2024-09-28T00:00:00"/>
    <m/>
    <x v="1"/>
    <n v="28"/>
    <n v="1372"/>
    <n v="16464"/>
    <x v="0"/>
    <b v="0"/>
    <b v="0"/>
    <b v="0"/>
    <x v="0"/>
    <b v="1"/>
  </r>
  <r>
    <s v="S-ceaca8"/>
    <s v="A-96e141"/>
    <d v="2024-08-10T00:00:00"/>
    <m/>
    <x v="0"/>
    <n v="24"/>
    <n v="4776"/>
    <n v="57312"/>
    <x v="0"/>
    <b v="0"/>
    <b v="0"/>
    <b v="0"/>
    <x v="0"/>
    <b v="1"/>
  </r>
  <r>
    <s v="S-02c3e7"/>
    <s v="A-7c4956"/>
    <d v="2024-08-14T00:00:00"/>
    <m/>
    <x v="0"/>
    <n v="6"/>
    <n v="1194"/>
    <n v="14328"/>
    <x v="0"/>
    <b v="0"/>
    <b v="0"/>
    <b v="0"/>
    <x v="1"/>
    <b v="1"/>
  </r>
  <r>
    <s v="S-3a1a06"/>
    <s v="A-eb7fac"/>
    <d v="2024-07-09T00:00:00"/>
    <m/>
    <x v="0"/>
    <n v="14"/>
    <n v="2786"/>
    <n v="33432"/>
    <x v="0"/>
    <b v="0"/>
    <b v="0"/>
    <b v="0"/>
    <x v="0"/>
    <b v="1"/>
  </r>
  <r>
    <s v="S-7f5d03"/>
    <s v="A-22d9d2"/>
    <d v="2024-06-10T00:00:00"/>
    <m/>
    <x v="1"/>
    <n v="25"/>
    <n v="1225"/>
    <n v="14700"/>
    <x v="0"/>
    <b v="0"/>
    <b v="0"/>
    <b v="0"/>
    <x v="0"/>
    <b v="0"/>
  </r>
  <r>
    <s v="S-c10f0c"/>
    <s v="A-0f7d77"/>
    <d v="2024-11-11T00:00:00"/>
    <m/>
    <x v="2"/>
    <n v="6"/>
    <n v="114"/>
    <n v="1368"/>
    <x v="0"/>
    <b v="0"/>
    <b v="0"/>
    <b v="0"/>
    <x v="0"/>
    <b v="0"/>
  </r>
  <r>
    <s v="S-cdd00a"/>
    <s v="A-4e44e8"/>
    <d v="2024-08-23T00:00:00"/>
    <m/>
    <x v="2"/>
    <n v="38"/>
    <n v="722"/>
    <n v="8664"/>
    <x v="0"/>
    <b v="0"/>
    <b v="0"/>
    <b v="0"/>
    <x v="0"/>
    <b v="1"/>
  </r>
  <r>
    <s v="S-d57a67"/>
    <s v="A-2446e3"/>
    <d v="2024-07-14T00:00:00"/>
    <m/>
    <x v="1"/>
    <n v="27"/>
    <n v="1323"/>
    <n v="15876"/>
    <x v="0"/>
    <b v="0"/>
    <b v="0"/>
    <b v="0"/>
    <x v="0"/>
    <b v="1"/>
  </r>
  <r>
    <s v="S-f75ac4"/>
    <s v="A-faa28c"/>
    <d v="2024-02-17T00:00:00"/>
    <m/>
    <x v="0"/>
    <n v="48"/>
    <n v="0"/>
    <n v="0"/>
    <x v="1"/>
    <b v="0"/>
    <b v="0"/>
    <b v="0"/>
    <x v="1"/>
    <b v="1"/>
  </r>
  <r>
    <s v="S-76c59f"/>
    <s v="A-0aaf6e"/>
    <d v="2024-08-01T00:00:00"/>
    <m/>
    <x v="2"/>
    <n v="24"/>
    <n v="456"/>
    <n v="5472"/>
    <x v="0"/>
    <b v="0"/>
    <b v="0"/>
    <b v="0"/>
    <x v="1"/>
    <b v="1"/>
  </r>
  <r>
    <s v="S-0a15fa"/>
    <s v="A-bb1eaa"/>
    <d v="2024-12-12T00:00:00"/>
    <m/>
    <x v="1"/>
    <n v="25"/>
    <n v="1225"/>
    <n v="14700"/>
    <x v="0"/>
    <b v="0"/>
    <b v="0"/>
    <b v="0"/>
    <x v="1"/>
    <b v="1"/>
  </r>
  <r>
    <s v="S-d0f5fb"/>
    <s v="A-39868b"/>
    <d v="2024-04-25T00:00:00"/>
    <m/>
    <x v="0"/>
    <n v="9"/>
    <n v="1791"/>
    <n v="21492"/>
    <x v="0"/>
    <b v="0"/>
    <b v="0"/>
    <b v="0"/>
    <x v="1"/>
    <b v="0"/>
  </r>
  <r>
    <s v="S-ffb6cc"/>
    <s v="A-94d3da"/>
    <d v="2024-09-28T00:00:00"/>
    <m/>
    <x v="0"/>
    <n v="41"/>
    <n v="8159"/>
    <n v="97908"/>
    <x v="0"/>
    <b v="0"/>
    <b v="0"/>
    <b v="0"/>
    <x v="0"/>
    <b v="0"/>
  </r>
  <r>
    <s v="S-1b8300"/>
    <s v="A-faa28c"/>
    <d v="2024-05-23T00:00:00"/>
    <m/>
    <x v="0"/>
    <n v="48"/>
    <n v="0"/>
    <n v="0"/>
    <x v="1"/>
    <b v="1"/>
    <b v="0"/>
    <b v="0"/>
    <x v="0"/>
    <b v="1"/>
  </r>
  <r>
    <s v="S-88de1c"/>
    <s v="A-18793f"/>
    <d v="2024-12-24T00:00:00"/>
    <m/>
    <x v="2"/>
    <n v="148"/>
    <n v="2812"/>
    <n v="33744"/>
    <x v="0"/>
    <b v="0"/>
    <b v="0"/>
    <b v="0"/>
    <x v="1"/>
    <b v="1"/>
  </r>
  <r>
    <s v="S-a88ffd"/>
    <s v="A-cc102e"/>
    <d v="2024-09-06T00:00:00"/>
    <m/>
    <x v="1"/>
    <n v="13"/>
    <n v="637"/>
    <n v="7644"/>
    <x v="0"/>
    <b v="0"/>
    <b v="0"/>
    <b v="0"/>
    <x v="1"/>
    <b v="1"/>
  </r>
  <r>
    <s v="S-f12a54"/>
    <s v="A-f3ff05"/>
    <d v="2024-11-24T00:00:00"/>
    <m/>
    <x v="1"/>
    <n v="2"/>
    <n v="98"/>
    <n v="1176"/>
    <x v="0"/>
    <b v="0"/>
    <b v="0"/>
    <b v="0"/>
    <x v="0"/>
    <b v="1"/>
  </r>
  <r>
    <s v="S-f9b284"/>
    <s v="A-22d9d2"/>
    <d v="2024-07-02T00:00:00"/>
    <m/>
    <x v="1"/>
    <n v="8"/>
    <n v="392"/>
    <n v="4704"/>
    <x v="0"/>
    <b v="0"/>
    <b v="0"/>
    <b v="0"/>
    <x v="1"/>
    <b v="1"/>
  </r>
  <r>
    <s v="S-61e53d"/>
    <s v="A-d42431"/>
    <d v="2024-11-15T00:00:00"/>
    <d v="2024-12-14T00:00:00"/>
    <x v="2"/>
    <n v="22"/>
    <n v="418"/>
    <n v="5016"/>
    <x v="0"/>
    <b v="0"/>
    <b v="0"/>
    <b v="1"/>
    <x v="1"/>
    <b v="0"/>
  </r>
  <r>
    <s v="S-4c5456"/>
    <s v="A-149a69"/>
    <d v="2024-12-19T00:00:00"/>
    <m/>
    <x v="2"/>
    <n v="34"/>
    <n v="646"/>
    <n v="7752"/>
    <x v="0"/>
    <b v="0"/>
    <b v="0"/>
    <b v="0"/>
    <x v="0"/>
    <b v="1"/>
  </r>
  <r>
    <s v="S-b15cde"/>
    <s v="A-ee42db"/>
    <d v="2023-05-01T00:00:00"/>
    <m/>
    <x v="1"/>
    <n v="13"/>
    <n v="637"/>
    <n v="7644"/>
    <x v="0"/>
    <b v="0"/>
    <b v="0"/>
    <b v="0"/>
    <x v="0"/>
    <b v="1"/>
  </r>
  <r>
    <s v="S-9e6a18"/>
    <s v="A-7d514c"/>
    <d v="2024-11-06T00:00:00"/>
    <m/>
    <x v="1"/>
    <n v="21"/>
    <n v="1029"/>
    <n v="12348"/>
    <x v="0"/>
    <b v="1"/>
    <b v="0"/>
    <b v="0"/>
    <x v="0"/>
    <b v="0"/>
  </r>
  <r>
    <s v="S-0b2ac3"/>
    <s v="A-d792a6"/>
    <d v="2024-01-01T00:00:00"/>
    <m/>
    <x v="2"/>
    <n v="7"/>
    <n v="0"/>
    <n v="0"/>
    <x v="1"/>
    <b v="0"/>
    <b v="0"/>
    <b v="0"/>
    <x v="1"/>
    <b v="1"/>
  </r>
  <r>
    <s v="S-cb8a5c"/>
    <s v="A-1e6fc3"/>
    <d v="2024-12-17T00:00:00"/>
    <m/>
    <x v="0"/>
    <n v="1"/>
    <n v="199"/>
    <n v="2388"/>
    <x v="0"/>
    <b v="0"/>
    <b v="0"/>
    <b v="0"/>
    <x v="1"/>
    <b v="1"/>
  </r>
  <r>
    <s v="S-8b52b5"/>
    <s v="A-c1dfe1"/>
    <d v="2024-03-04T00:00:00"/>
    <m/>
    <x v="0"/>
    <n v="26"/>
    <n v="5174"/>
    <n v="62088"/>
    <x v="0"/>
    <b v="0"/>
    <b v="0"/>
    <b v="0"/>
    <x v="0"/>
    <b v="1"/>
  </r>
  <r>
    <s v="S-79b2bc"/>
    <s v="A-249769"/>
    <d v="2024-08-28T00:00:00"/>
    <m/>
    <x v="2"/>
    <n v="4"/>
    <n v="76"/>
    <n v="912"/>
    <x v="0"/>
    <b v="0"/>
    <b v="0"/>
    <b v="0"/>
    <x v="0"/>
    <b v="1"/>
  </r>
  <r>
    <s v="S-4fd9ba"/>
    <s v="A-d4ac0e"/>
    <d v="2024-09-10T00:00:00"/>
    <m/>
    <x v="2"/>
    <n v="24"/>
    <n v="456"/>
    <n v="5472"/>
    <x v="0"/>
    <b v="1"/>
    <b v="0"/>
    <b v="0"/>
    <x v="0"/>
    <b v="1"/>
  </r>
  <r>
    <s v="S-163e9d"/>
    <s v="A-ccabf0"/>
    <d v="2024-03-03T00:00:00"/>
    <m/>
    <x v="0"/>
    <n v="11"/>
    <n v="2189"/>
    <n v="26268"/>
    <x v="0"/>
    <b v="0"/>
    <b v="0"/>
    <b v="0"/>
    <x v="1"/>
    <b v="1"/>
  </r>
  <r>
    <s v="S-8324d4"/>
    <s v="A-5a215a"/>
    <d v="2024-07-13T00:00:00"/>
    <d v="2024-08-03T00:00:00"/>
    <x v="1"/>
    <n v="87"/>
    <n v="0"/>
    <n v="0"/>
    <x v="1"/>
    <b v="0"/>
    <b v="0"/>
    <b v="1"/>
    <x v="0"/>
    <b v="1"/>
  </r>
  <r>
    <s v="S-22f848"/>
    <s v="A-993085"/>
    <d v="2023-10-15T00:00:00"/>
    <m/>
    <x v="0"/>
    <n v="49"/>
    <n v="9751"/>
    <n v="117012"/>
    <x v="0"/>
    <b v="0"/>
    <b v="0"/>
    <b v="0"/>
    <x v="1"/>
    <b v="1"/>
  </r>
  <r>
    <s v="S-b32512"/>
    <s v="A-854864"/>
    <d v="2024-12-25T00:00:00"/>
    <m/>
    <x v="0"/>
    <n v="20"/>
    <n v="3980"/>
    <n v="47760"/>
    <x v="0"/>
    <b v="0"/>
    <b v="0"/>
    <b v="0"/>
    <x v="0"/>
    <b v="1"/>
  </r>
  <r>
    <s v="S-98ac99"/>
    <s v="A-8ed5dd"/>
    <d v="2023-11-09T00:00:00"/>
    <m/>
    <x v="2"/>
    <n v="5"/>
    <n v="95"/>
    <n v="1140"/>
    <x v="0"/>
    <b v="1"/>
    <b v="0"/>
    <b v="0"/>
    <x v="1"/>
    <b v="1"/>
  </r>
  <r>
    <s v="S-93fab3"/>
    <s v="A-9f9299"/>
    <d v="2024-11-10T00:00:00"/>
    <d v="2024-12-31T00:00:00"/>
    <x v="1"/>
    <n v="28"/>
    <n v="1372"/>
    <n v="16464"/>
    <x v="0"/>
    <b v="0"/>
    <b v="0"/>
    <b v="1"/>
    <x v="1"/>
    <b v="1"/>
  </r>
  <r>
    <s v="S-838330"/>
    <s v="A-5a215a"/>
    <d v="2024-06-20T00:00:00"/>
    <m/>
    <x v="1"/>
    <n v="87"/>
    <n v="0"/>
    <n v="0"/>
    <x v="1"/>
    <b v="0"/>
    <b v="0"/>
    <b v="0"/>
    <x v="1"/>
    <b v="0"/>
  </r>
  <r>
    <s v="S-720d62"/>
    <s v="A-c16101"/>
    <d v="2024-10-05T00:00:00"/>
    <m/>
    <x v="2"/>
    <n v="53"/>
    <n v="1007"/>
    <n v="12084"/>
    <x v="0"/>
    <b v="0"/>
    <b v="0"/>
    <b v="0"/>
    <x v="0"/>
    <b v="1"/>
  </r>
  <r>
    <s v="S-e2500e"/>
    <s v="A-5b4ebb"/>
    <d v="2024-12-06T00:00:00"/>
    <m/>
    <x v="2"/>
    <n v="21"/>
    <n v="0"/>
    <n v="0"/>
    <x v="1"/>
    <b v="0"/>
    <b v="0"/>
    <b v="0"/>
    <x v="0"/>
    <b v="1"/>
  </r>
  <r>
    <s v="S-2c091a"/>
    <s v="A-32728c"/>
    <d v="2023-06-20T00:00:00"/>
    <m/>
    <x v="1"/>
    <n v="20"/>
    <n v="980"/>
    <n v="11760"/>
    <x v="0"/>
    <b v="0"/>
    <b v="0"/>
    <b v="0"/>
    <x v="1"/>
    <b v="1"/>
  </r>
  <r>
    <s v="S-55d53c"/>
    <s v="A-2f6a32"/>
    <d v="2024-12-08T00:00:00"/>
    <m/>
    <x v="2"/>
    <n v="19"/>
    <n v="361"/>
    <n v="4332"/>
    <x v="0"/>
    <b v="0"/>
    <b v="0"/>
    <b v="0"/>
    <x v="1"/>
    <b v="1"/>
  </r>
  <r>
    <s v="S-df2fb8"/>
    <s v="A-0e966d"/>
    <d v="2024-08-17T00:00:00"/>
    <m/>
    <x v="1"/>
    <n v="55"/>
    <n v="0"/>
    <n v="0"/>
    <x v="1"/>
    <b v="0"/>
    <b v="0"/>
    <b v="0"/>
    <x v="1"/>
    <b v="1"/>
  </r>
  <r>
    <s v="S-24ae40"/>
    <s v="A-328bd0"/>
    <d v="2024-02-11T00:00:00"/>
    <d v="2024-03-28T00:00:00"/>
    <x v="2"/>
    <n v="18"/>
    <n v="342"/>
    <n v="4104"/>
    <x v="0"/>
    <b v="0"/>
    <b v="0"/>
    <b v="1"/>
    <x v="0"/>
    <b v="1"/>
  </r>
  <r>
    <s v="S-bdd4c5"/>
    <s v="A-5a92e7"/>
    <d v="2024-12-03T00:00:00"/>
    <m/>
    <x v="1"/>
    <n v="28"/>
    <n v="1372"/>
    <n v="16464"/>
    <x v="0"/>
    <b v="0"/>
    <b v="0"/>
    <b v="0"/>
    <x v="0"/>
    <b v="1"/>
  </r>
  <r>
    <s v="S-2196c4"/>
    <s v="A-425e76"/>
    <d v="2024-04-16T00:00:00"/>
    <m/>
    <x v="2"/>
    <n v="8"/>
    <n v="152"/>
    <n v="1824"/>
    <x v="0"/>
    <b v="0"/>
    <b v="0"/>
    <b v="0"/>
    <x v="0"/>
    <b v="1"/>
  </r>
  <r>
    <s v="S-9626f8"/>
    <s v="A-d4ac0e"/>
    <d v="2024-08-25T00:00:00"/>
    <m/>
    <x v="1"/>
    <n v="18"/>
    <n v="882"/>
    <n v="10584"/>
    <x v="0"/>
    <b v="0"/>
    <b v="0"/>
    <b v="0"/>
    <x v="1"/>
    <b v="1"/>
  </r>
  <r>
    <s v="S-03340d"/>
    <s v="A-4ef964"/>
    <d v="2024-04-01T00:00:00"/>
    <m/>
    <x v="0"/>
    <n v="17"/>
    <n v="3383"/>
    <n v="40596"/>
    <x v="0"/>
    <b v="0"/>
    <b v="0"/>
    <b v="0"/>
    <x v="1"/>
    <b v="0"/>
  </r>
  <r>
    <s v="S-ae1882"/>
    <s v="A-9f9299"/>
    <d v="2024-10-25T00:00:00"/>
    <m/>
    <x v="2"/>
    <n v="61"/>
    <n v="1159"/>
    <n v="13908"/>
    <x v="0"/>
    <b v="0"/>
    <b v="0"/>
    <b v="0"/>
    <x v="0"/>
    <b v="0"/>
  </r>
  <r>
    <s v="S-1cdd2c"/>
    <s v="A-ac9111"/>
    <d v="2024-03-06T00:00:00"/>
    <m/>
    <x v="1"/>
    <n v="21"/>
    <n v="1029"/>
    <n v="12348"/>
    <x v="0"/>
    <b v="0"/>
    <b v="0"/>
    <b v="0"/>
    <x v="0"/>
    <b v="0"/>
  </r>
  <r>
    <s v="S-6b7aa4"/>
    <s v="A-c37601"/>
    <d v="2024-11-29T00:00:00"/>
    <m/>
    <x v="2"/>
    <n v="22"/>
    <n v="418"/>
    <n v="5016"/>
    <x v="0"/>
    <b v="0"/>
    <b v="0"/>
    <b v="0"/>
    <x v="0"/>
    <b v="1"/>
  </r>
  <r>
    <s v="S-dfe952"/>
    <s v="A-e351e1"/>
    <d v="2024-09-27T00:00:00"/>
    <m/>
    <x v="2"/>
    <n v="33"/>
    <n v="627"/>
    <n v="7524"/>
    <x v="0"/>
    <b v="0"/>
    <b v="0"/>
    <b v="0"/>
    <x v="0"/>
    <b v="1"/>
  </r>
  <r>
    <s v="S-763384"/>
    <s v="A-526d93"/>
    <d v="2024-07-24T00:00:00"/>
    <m/>
    <x v="1"/>
    <n v="43"/>
    <n v="0"/>
    <n v="0"/>
    <x v="1"/>
    <b v="0"/>
    <b v="0"/>
    <b v="0"/>
    <x v="1"/>
    <b v="1"/>
  </r>
  <r>
    <s v="S-3e6a40"/>
    <s v="A-94c3cd"/>
    <d v="2024-08-07T00:00:00"/>
    <m/>
    <x v="0"/>
    <n v="32"/>
    <n v="0"/>
    <n v="0"/>
    <x v="1"/>
    <b v="0"/>
    <b v="0"/>
    <b v="0"/>
    <x v="0"/>
    <b v="1"/>
  </r>
  <r>
    <s v="S-5fffe8"/>
    <s v="A-4e631b"/>
    <d v="2024-07-26T00:00:00"/>
    <m/>
    <x v="2"/>
    <n v="22"/>
    <n v="418"/>
    <n v="5016"/>
    <x v="0"/>
    <b v="0"/>
    <b v="0"/>
    <b v="0"/>
    <x v="0"/>
    <b v="1"/>
  </r>
  <r>
    <s v="S-e51242"/>
    <s v="A-8145a0"/>
    <d v="2023-11-13T00:00:00"/>
    <m/>
    <x v="0"/>
    <n v="9"/>
    <n v="1791"/>
    <n v="21492"/>
    <x v="0"/>
    <b v="0"/>
    <b v="0"/>
    <b v="0"/>
    <x v="1"/>
    <b v="1"/>
  </r>
  <r>
    <s v="S-ae3270"/>
    <s v="A-fdfc91"/>
    <d v="2023-09-14T00:00:00"/>
    <m/>
    <x v="2"/>
    <n v="29"/>
    <n v="551"/>
    <n v="6612"/>
    <x v="0"/>
    <b v="0"/>
    <b v="0"/>
    <b v="0"/>
    <x v="1"/>
    <b v="1"/>
  </r>
  <r>
    <s v="S-808668"/>
    <s v="A-e351e1"/>
    <d v="2024-10-01T00:00:00"/>
    <m/>
    <x v="1"/>
    <n v="33"/>
    <n v="1617"/>
    <n v="19404"/>
    <x v="0"/>
    <b v="0"/>
    <b v="0"/>
    <b v="0"/>
    <x v="0"/>
    <b v="1"/>
  </r>
  <r>
    <s v="S-388f70"/>
    <s v="A-40a557"/>
    <d v="2024-09-21T00:00:00"/>
    <m/>
    <x v="1"/>
    <n v="18"/>
    <n v="0"/>
    <n v="0"/>
    <x v="1"/>
    <b v="0"/>
    <b v="0"/>
    <b v="0"/>
    <x v="1"/>
    <b v="1"/>
  </r>
  <r>
    <s v="S-b84a07"/>
    <s v="A-7c4956"/>
    <d v="2023-06-05T00:00:00"/>
    <m/>
    <x v="1"/>
    <n v="9"/>
    <n v="441"/>
    <n v="5292"/>
    <x v="0"/>
    <b v="0"/>
    <b v="0"/>
    <b v="0"/>
    <x v="1"/>
    <b v="1"/>
  </r>
  <r>
    <s v="S-a24476"/>
    <s v="A-91e948"/>
    <d v="2024-01-26T00:00:00"/>
    <m/>
    <x v="2"/>
    <n v="41"/>
    <n v="0"/>
    <n v="0"/>
    <x v="1"/>
    <b v="0"/>
    <b v="0"/>
    <b v="0"/>
    <x v="0"/>
    <b v="1"/>
  </r>
  <r>
    <s v="S-ff78bf"/>
    <s v="A-50f3f7"/>
    <d v="2024-05-13T00:00:00"/>
    <m/>
    <x v="1"/>
    <n v="31"/>
    <n v="0"/>
    <n v="0"/>
    <x v="1"/>
    <b v="0"/>
    <b v="0"/>
    <b v="0"/>
    <x v="0"/>
    <b v="0"/>
  </r>
  <r>
    <s v="S-695c1e"/>
    <s v="A-ce66f8"/>
    <d v="2024-07-02T00:00:00"/>
    <m/>
    <x v="0"/>
    <n v="37"/>
    <n v="7363"/>
    <n v="88356"/>
    <x v="0"/>
    <b v="0"/>
    <b v="0"/>
    <b v="0"/>
    <x v="0"/>
    <b v="1"/>
  </r>
  <r>
    <s v="S-f97609"/>
    <s v="A-712f1c"/>
    <d v="2024-05-15T00:00:00"/>
    <m/>
    <x v="1"/>
    <n v="38"/>
    <n v="1862"/>
    <n v="22344"/>
    <x v="0"/>
    <b v="1"/>
    <b v="0"/>
    <b v="0"/>
    <x v="1"/>
    <b v="0"/>
  </r>
  <r>
    <s v="S-fee60b"/>
    <s v="A-4a267b"/>
    <d v="2024-09-22T00:00:00"/>
    <d v="2024-09-29T00:00:00"/>
    <x v="1"/>
    <n v="46"/>
    <n v="2254"/>
    <n v="27048"/>
    <x v="0"/>
    <b v="0"/>
    <b v="0"/>
    <b v="1"/>
    <x v="0"/>
    <b v="1"/>
  </r>
  <r>
    <s v="S-3cc163"/>
    <s v="A-df10db"/>
    <d v="2024-07-02T00:00:00"/>
    <m/>
    <x v="2"/>
    <n v="68"/>
    <n v="0"/>
    <n v="0"/>
    <x v="1"/>
    <b v="1"/>
    <b v="0"/>
    <b v="0"/>
    <x v="1"/>
    <b v="0"/>
  </r>
  <r>
    <s v="S-534c28"/>
    <s v="A-e888d1"/>
    <d v="2024-09-16T00:00:00"/>
    <m/>
    <x v="2"/>
    <n v="14"/>
    <n v="266"/>
    <n v="3192"/>
    <x v="0"/>
    <b v="0"/>
    <b v="0"/>
    <b v="0"/>
    <x v="0"/>
    <b v="1"/>
  </r>
  <r>
    <s v="S-e1d553"/>
    <s v="A-692f18"/>
    <d v="2024-09-27T00:00:00"/>
    <m/>
    <x v="1"/>
    <n v="9"/>
    <n v="0"/>
    <n v="0"/>
    <x v="1"/>
    <b v="0"/>
    <b v="0"/>
    <b v="0"/>
    <x v="1"/>
    <b v="1"/>
  </r>
  <r>
    <s v="S-358daa"/>
    <s v="A-39b19f"/>
    <d v="2024-09-04T00:00:00"/>
    <m/>
    <x v="0"/>
    <n v="24"/>
    <n v="0"/>
    <n v="0"/>
    <x v="1"/>
    <b v="0"/>
    <b v="0"/>
    <b v="0"/>
    <x v="1"/>
    <b v="1"/>
  </r>
  <r>
    <s v="S-ff2761"/>
    <s v="A-0cc442"/>
    <d v="2024-09-25T00:00:00"/>
    <m/>
    <x v="2"/>
    <n v="45"/>
    <n v="855"/>
    <n v="10260"/>
    <x v="0"/>
    <b v="1"/>
    <b v="0"/>
    <b v="0"/>
    <x v="0"/>
    <b v="1"/>
  </r>
  <r>
    <s v="S-b6d200"/>
    <s v="A-d27f50"/>
    <d v="2024-12-19T00:00:00"/>
    <m/>
    <x v="2"/>
    <n v="44"/>
    <n v="836"/>
    <n v="10032"/>
    <x v="0"/>
    <b v="0"/>
    <b v="0"/>
    <b v="0"/>
    <x v="0"/>
    <b v="1"/>
  </r>
  <r>
    <s v="S-518472"/>
    <s v="A-e7beab"/>
    <d v="2024-12-08T00:00:00"/>
    <m/>
    <x v="1"/>
    <n v="19"/>
    <n v="931"/>
    <n v="11172"/>
    <x v="0"/>
    <b v="0"/>
    <b v="0"/>
    <b v="0"/>
    <x v="0"/>
    <b v="1"/>
  </r>
  <r>
    <s v="S-682d28"/>
    <s v="A-fdfc91"/>
    <d v="2024-08-31T00:00:00"/>
    <m/>
    <x v="0"/>
    <n v="47"/>
    <n v="9353"/>
    <n v="112236"/>
    <x v="0"/>
    <b v="0"/>
    <b v="0"/>
    <b v="0"/>
    <x v="1"/>
    <b v="1"/>
  </r>
  <r>
    <s v="S-0a2238"/>
    <s v="A-c7ffc2"/>
    <d v="2024-09-16T00:00:00"/>
    <m/>
    <x v="2"/>
    <n v="30"/>
    <n v="570"/>
    <n v="6840"/>
    <x v="0"/>
    <b v="0"/>
    <b v="0"/>
    <b v="0"/>
    <x v="0"/>
    <b v="1"/>
  </r>
  <r>
    <s v="S-6e4c1a"/>
    <s v="A-94f8c9"/>
    <d v="2024-08-02T00:00:00"/>
    <m/>
    <x v="0"/>
    <n v="13"/>
    <n v="2587"/>
    <n v="31044"/>
    <x v="0"/>
    <b v="0"/>
    <b v="0"/>
    <b v="0"/>
    <x v="0"/>
    <b v="1"/>
  </r>
  <r>
    <s v="S-7564e1"/>
    <s v="A-313be3"/>
    <d v="2024-08-14T00:00:00"/>
    <m/>
    <x v="0"/>
    <n v="47"/>
    <n v="0"/>
    <n v="0"/>
    <x v="1"/>
    <b v="0"/>
    <b v="0"/>
    <b v="0"/>
    <x v="0"/>
    <b v="1"/>
  </r>
  <r>
    <s v="S-41023c"/>
    <s v="A-49b828"/>
    <d v="2023-12-15T00:00:00"/>
    <m/>
    <x v="0"/>
    <n v="31"/>
    <n v="6169"/>
    <n v="74028"/>
    <x v="0"/>
    <b v="0"/>
    <b v="0"/>
    <b v="0"/>
    <x v="1"/>
    <b v="1"/>
  </r>
  <r>
    <s v="S-6e0006"/>
    <s v="A-5b051a"/>
    <d v="2024-09-18T00:00:00"/>
    <m/>
    <x v="2"/>
    <n v="22"/>
    <n v="418"/>
    <n v="5016"/>
    <x v="0"/>
    <b v="0"/>
    <b v="0"/>
    <b v="0"/>
    <x v="0"/>
    <b v="1"/>
  </r>
  <r>
    <s v="S-7e1791"/>
    <s v="A-a6d261"/>
    <d v="2024-05-09T00:00:00"/>
    <m/>
    <x v="0"/>
    <n v="9"/>
    <n v="1791"/>
    <n v="21492"/>
    <x v="0"/>
    <b v="0"/>
    <b v="0"/>
    <b v="0"/>
    <x v="1"/>
    <b v="1"/>
  </r>
  <r>
    <s v="S-1109d6"/>
    <s v="A-a2485e"/>
    <d v="2024-08-11T00:00:00"/>
    <m/>
    <x v="0"/>
    <n v="3"/>
    <n v="597"/>
    <n v="7164"/>
    <x v="0"/>
    <b v="0"/>
    <b v="1"/>
    <b v="0"/>
    <x v="1"/>
    <b v="1"/>
  </r>
  <r>
    <s v="S-b35203"/>
    <s v="A-ac85cd"/>
    <d v="2024-12-23T00:00:00"/>
    <m/>
    <x v="0"/>
    <n v="53"/>
    <n v="10547"/>
    <n v="126564"/>
    <x v="0"/>
    <b v="0"/>
    <b v="1"/>
    <b v="0"/>
    <x v="0"/>
    <b v="1"/>
  </r>
  <r>
    <s v="S-ef4ad8"/>
    <s v="A-bcf87c"/>
    <d v="2024-08-14T00:00:00"/>
    <m/>
    <x v="1"/>
    <n v="10"/>
    <n v="490"/>
    <n v="5880"/>
    <x v="0"/>
    <b v="0"/>
    <b v="0"/>
    <b v="0"/>
    <x v="1"/>
    <b v="0"/>
  </r>
  <r>
    <s v="S-2dad6b"/>
    <s v="A-104f1a"/>
    <d v="2024-12-20T00:00:00"/>
    <m/>
    <x v="2"/>
    <n v="34"/>
    <n v="646"/>
    <n v="7752"/>
    <x v="0"/>
    <b v="0"/>
    <b v="0"/>
    <b v="0"/>
    <x v="0"/>
    <b v="1"/>
  </r>
  <r>
    <s v="S-4c100f"/>
    <s v="A-eb7fac"/>
    <d v="2024-02-24T00:00:00"/>
    <m/>
    <x v="0"/>
    <n v="136"/>
    <n v="27064"/>
    <n v="324768"/>
    <x v="0"/>
    <b v="0"/>
    <b v="0"/>
    <b v="0"/>
    <x v="0"/>
    <b v="0"/>
  </r>
  <r>
    <s v="S-17cfc4"/>
    <s v="A-592832"/>
    <d v="2024-12-01T00:00:00"/>
    <m/>
    <x v="1"/>
    <n v="18"/>
    <n v="0"/>
    <n v="0"/>
    <x v="1"/>
    <b v="0"/>
    <b v="1"/>
    <b v="0"/>
    <x v="0"/>
    <b v="1"/>
  </r>
  <r>
    <s v="S-c317f9"/>
    <s v="A-86902e"/>
    <d v="2023-11-24T00:00:00"/>
    <m/>
    <x v="2"/>
    <n v="34"/>
    <n v="646"/>
    <n v="7752"/>
    <x v="0"/>
    <b v="0"/>
    <b v="0"/>
    <b v="0"/>
    <x v="1"/>
    <b v="1"/>
  </r>
  <r>
    <s v="S-3311b1"/>
    <s v="A-7cfe77"/>
    <d v="2024-08-24T00:00:00"/>
    <m/>
    <x v="1"/>
    <n v="69"/>
    <n v="3381"/>
    <n v="40572"/>
    <x v="0"/>
    <b v="1"/>
    <b v="0"/>
    <b v="0"/>
    <x v="0"/>
    <b v="1"/>
  </r>
  <r>
    <s v="S-26e8f0"/>
    <s v="A-d40bf7"/>
    <d v="2024-11-17T00:00:00"/>
    <m/>
    <x v="0"/>
    <n v="59"/>
    <n v="11741"/>
    <n v="140892"/>
    <x v="0"/>
    <b v="0"/>
    <b v="0"/>
    <b v="0"/>
    <x v="0"/>
    <b v="0"/>
  </r>
  <r>
    <s v="S-807d87"/>
    <s v="A-69b156"/>
    <d v="2024-01-16T00:00:00"/>
    <m/>
    <x v="0"/>
    <n v="28"/>
    <n v="5572"/>
    <n v="66864"/>
    <x v="0"/>
    <b v="0"/>
    <b v="0"/>
    <b v="0"/>
    <x v="1"/>
    <b v="1"/>
  </r>
  <r>
    <s v="S-c4aa5f"/>
    <s v="A-ccb686"/>
    <d v="2024-02-28T00:00:00"/>
    <m/>
    <x v="1"/>
    <n v="52"/>
    <n v="2548"/>
    <n v="30576"/>
    <x v="0"/>
    <b v="0"/>
    <b v="0"/>
    <b v="0"/>
    <x v="1"/>
    <b v="0"/>
  </r>
  <r>
    <s v="S-86c28f"/>
    <s v="A-8adedc"/>
    <d v="2024-04-02T00:00:00"/>
    <m/>
    <x v="1"/>
    <n v="79"/>
    <n v="3871"/>
    <n v="46452"/>
    <x v="0"/>
    <b v="0"/>
    <b v="0"/>
    <b v="0"/>
    <x v="1"/>
    <b v="1"/>
  </r>
  <r>
    <s v="S-d635a2"/>
    <s v="A-ff79f2"/>
    <d v="2024-05-29T00:00:00"/>
    <m/>
    <x v="2"/>
    <n v="12"/>
    <n v="228"/>
    <n v="2736"/>
    <x v="0"/>
    <b v="0"/>
    <b v="0"/>
    <b v="0"/>
    <x v="1"/>
    <b v="1"/>
  </r>
  <r>
    <s v="S-463525"/>
    <s v="A-016043"/>
    <d v="2024-12-02T00:00:00"/>
    <m/>
    <x v="0"/>
    <n v="13"/>
    <n v="2587"/>
    <n v="31044"/>
    <x v="0"/>
    <b v="0"/>
    <b v="0"/>
    <b v="0"/>
    <x v="1"/>
    <b v="1"/>
  </r>
  <r>
    <s v="S-b2238e"/>
    <s v="A-104f1a"/>
    <d v="2024-11-16T00:00:00"/>
    <m/>
    <x v="2"/>
    <n v="24"/>
    <n v="456"/>
    <n v="5472"/>
    <x v="0"/>
    <b v="0"/>
    <b v="0"/>
    <b v="0"/>
    <x v="0"/>
    <b v="1"/>
  </r>
  <r>
    <s v="S-d01053"/>
    <s v="A-779e4e"/>
    <d v="2023-11-12T00:00:00"/>
    <d v="2024-10-29T00:00:00"/>
    <x v="0"/>
    <n v="36"/>
    <n v="7164"/>
    <n v="85968"/>
    <x v="0"/>
    <b v="0"/>
    <b v="0"/>
    <b v="1"/>
    <x v="1"/>
    <b v="1"/>
  </r>
  <r>
    <s v="S-b9bbfd"/>
    <s v="A-118d55"/>
    <d v="2024-11-13T00:00:00"/>
    <m/>
    <x v="0"/>
    <n v="36"/>
    <n v="7164"/>
    <n v="85968"/>
    <x v="0"/>
    <b v="0"/>
    <b v="0"/>
    <b v="0"/>
    <x v="0"/>
    <b v="1"/>
  </r>
  <r>
    <s v="S-790762"/>
    <s v="A-ac85cd"/>
    <d v="2024-12-24T00:00:00"/>
    <m/>
    <x v="1"/>
    <n v="53"/>
    <n v="2597"/>
    <n v="31164"/>
    <x v="0"/>
    <b v="0"/>
    <b v="0"/>
    <b v="0"/>
    <x v="0"/>
    <b v="1"/>
  </r>
  <r>
    <s v="S-321498"/>
    <s v="A-3a7284"/>
    <d v="2024-12-25T00:00:00"/>
    <d v="2024-12-31T00:00:00"/>
    <x v="1"/>
    <n v="31"/>
    <n v="0"/>
    <n v="0"/>
    <x v="1"/>
    <b v="0"/>
    <b v="0"/>
    <b v="1"/>
    <x v="0"/>
    <b v="1"/>
  </r>
  <r>
    <s v="S-8cf2ef"/>
    <s v="A-600734"/>
    <d v="2024-08-29T00:00:00"/>
    <m/>
    <x v="2"/>
    <n v="42"/>
    <n v="798"/>
    <n v="9576"/>
    <x v="0"/>
    <b v="0"/>
    <b v="0"/>
    <b v="0"/>
    <x v="1"/>
    <b v="0"/>
  </r>
  <r>
    <s v="S-48aa95"/>
    <s v="A-a8b49c"/>
    <d v="2024-03-23T00:00:00"/>
    <m/>
    <x v="0"/>
    <n v="7"/>
    <n v="1393"/>
    <n v="16716"/>
    <x v="0"/>
    <b v="0"/>
    <b v="0"/>
    <b v="0"/>
    <x v="0"/>
    <b v="1"/>
  </r>
  <r>
    <s v="S-42218c"/>
    <s v="A-e2cd1b"/>
    <d v="2024-07-30T00:00:00"/>
    <m/>
    <x v="1"/>
    <n v="45"/>
    <n v="2205"/>
    <n v="26460"/>
    <x v="0"/>
    <b v="0"/>
    <b v="0"/>
    <b v="0"/>
    <x v="0"/>
    <b v="1"/>
  </r>
  <r>
    <s v="S-e6e96f"/>
    <s v="A-cbd1a3"/>
    <d v="2024-11-30T00:00:00"/>
    <m/>
    <x v="0"/>
    <n v="8"/>
    <n v="0"/>
    <n v="0"/>
    <x v="1"/>
    <b v="0"/>
    <b v="0"/>
    <b v="0"/>
    <x v="1"/>
    <b v="0"/>
  </r>
  <r>
    <s v="S-627cfa"/>
    <s v="A-9bfc9f"/>
    <d v="2023-09-19T00:00:00"/>
    <d v="2024-01-04T00:00:00"/>
    <x v="1"/>
    <n v="53"/>
    <n v="2597"/>
    <n v="31164"/>
    <x v="0"/>
    <b v="0"/>
    <b v="0"/>
    <b v="1"/>
    <x v="0"/>
    <b v="1"/>
  </r>
  <r>
    <s v="S-47a04b"/>
    <s v="A-b54c01"/>
    <d v="2024-10-07T00:00:00"/>
    <m/>
    <x v="1"/>
    <n v="29"/>
    <n v="0"/>
    <n v="0"/>
    <x v="1"/>
    <b v="0"/>
    <b v="0"/>
    <b v="0"/>
    <x v="1"/>
    <b v="1"/>
  </r>
  <r>
    <s v="S-2a6eb3"/>
    <s v="A-80eeb6"/>
    <d v="2023-08-27T00:00:00"/>
    <m/>
    <x v="0"/>
    <n v="68"/>
    <n v="13532"/>
    <n v="162384"/>
    <x v="0"/>
    <b v="0"/>
    <b v="0"/>
    <b v="0"/>
    <x v="0"/>
    <b v="1"/>
  </r>
  <r>
    <s v="S-c5f3d4"/>
    <s v="A-9f2731"/>
    <d v="2024-11-22T00:00:00"/>
    <m/>
    <x v="1"/>
    <n v="5"/>
    <n v="0"/>
    <n v="0"/>
    <x v="1"/>
    <b v="0"/>
    <b v="0"/>
    <b v="0"/>
    <x v="1"/>
    <b v="1"/>
  </r>
  <r>
    <s v="S-c3bf1d"/>
    <s v="A-55f257"/>
    <d v="2024-03-15T00:00:00"/>
    <m/>
    <x v="1"/>
    <n v="9"/>
    <n v="441"/>
    <n v="5292"/>
    <x v="0"/>
    <b v="0"/>
    <b v="0"/>
    <b v="0"/>
    <x v="1"/>
    <b v="1"/>
  </r>
  <r>
    <s v="S-a82441"/>
    <s v="A-4a267b"/>
    <d v="2024-08-09T00:00:00"/>
    <m/>
    <x v="1"/>
    <n v="25"/>
    <n v="1225"/>
    <n v="14700"/>
    <x v="0"/>
    <b v="0"/>
    <b v="0"/>
    <b v="0"/>
    <x v="1"/>
    <b v="1"/>
  </r>
  <r>
    <s v="S-ccdf41"/>
    <s v="A-94f8c9"/>
    <d v="2024-11-29T00:00:00"/>
    <m/>
    <x v="0"/>
    <n v="17"/>
    <n v="3383"/>
    <n v="40596"/>
    <x v="0"/>
    <b v="0"/>
    <b v="0"/>
    <b v="0"/>
    <x v="0"/>
    <b v="1"/>
  </r>
  <r>
    <s v="S-3503cb"/>
    <s v="A-c43359"/>
    <d v="2024-12-14T00:00:00"/>
    <m/>
    <x v="2"/>
    <n v="38"/>
    <n v="722"/>
    <n v="8664"/>
    <x v="0"/>
    <b v="0"/>
    <b v="0"/>
    <b v="0"/>
    <x v="0"/>
    <b v="1"/>
  </r>
  <r>
    <s v="S-ed32c7"/>
    <s v="A-37f969"/>
    <d v="2023-10-24T00:00:00"/>
    <m/>
    <x v="1"/>
    <n v="30"/>
    <n v="1470"/>
    <n v="17640"/>
    <x v="0"/>
    <b v="0"/>
    <b v="0"/>
    <b v="0"/>
    <x v="1"/>
    <b v="0"/>
  </r>
  <r>
    <s v="S-64bd69"/>
    <s v="A-ac9111"/>
    <d v="2023-10-04T00:00:00"/>
    <m/>
    <x v="2"/>
    <n v="21"/>
    <n v="399"/>
    <n v="4788"/>
    <x v="0"/>
    <b v="0"/>
    <b v="0"/>
    <b v="0"/>
    <x v="1"/>
    <b v="1"/>
  </r>
  <r>
    <s v="S-abd244"/>
    <s v="A-66224b"/>
    <d v="2024-12-05T00:00:00"/>
    <m/>
    <x v="2"/>
    <n v="92"/>
    <n v="1748"/>
    <n v="20976"/>
    <x v="0"/>
    <b v="0"/>
    <b v="0"/>
    <b v="0"/>
    <x v="0"/>
    <b v="0"/>
  </r>
  <r>
    <s v="S-1e83a6"/>
    <s v="A-443b7c"/>
    <d v="2024-12-29T00:00:00"/>
    <m/>
    <x v="2"/>
    <n v="8"/>
    <n v="152"/>
    <n v="1824"/>
    <x v="0"/>
    <b v="0"/>
    <b v="0"/>
    <b v="0"/>
    <x v="1"/>
    <b v="1"/>
  </r>
  <r>
    <s v="S-e86a94"/>
    <s v="A-443f6f"/>
    <d v="2024-12-26T00:00:00"/>
    <m/>
    <x v="1"/>
    <n v="19"/>
    <n v="931"/>
    <n v="11172"/>
    <x v="0"/>
    <b v="0"/>
    <b v="0"/>
    <b v="0"/>
    <x v="0"/>
    <b v="1"/>
  </r>
  <r>
    <s v="S-2480b0"/>
    <s v="A-6e08f3"/>
    <d v="2024-12-27T00:00:00"/>
    <m/>
    <x v="2"/>
    <n v="13"/>
    <n v="247"/>
    <n v="2964"/>
    <x v="0"/>
    <b v="0"/>
    <b v="0"/>
    <b v="0"/>
    <x v="1"/>
    <b v="1"/>
  </r>
  <r>
    <s v="S-095083"/>
    <s v="A-98a59a"/>
    <d v="2023-09-27T00:00:00"/>
    <m/>
    <x v="2"/>
    <n v="56"/>
    <n v="1064"/>
    <n v="12768"/>
    <x v="0"/>
    <b v="0"/>
    <b v="0"/>
    <b v="0"/>
    <x v="1"/>
    <b v="1"/>
  </r>
  <r>
    <s v="S-07abdd"/>
    <s v="A-f19409"/>
    <d v="2023-09-26T00:00:00"/>
    <m/>
    <x v="1"/>
    <n v="34"/>
    <n v="1666"/>
    <n v="19992"/>
    <x v="0"/>
    <b v="0"/>
    <b v="0"/>
    <b v="0"/>
    <x v="1"/>
    <b v="1"/>
  </r>
  <r>
    <s v="S-c29f3a"/>
    <s v="A-b7b7b7"/>
    <d v="2024-09-10T00:00:00"/>
    <m/>
    <x v="1"/>
    <n v="24"/>
    <n v="1176"/>
    <n v="14112"/>
    <x v="0"/>
    <b v="1"/>
    <b v="0"/>
    <b v="0"/>
    <x v="0"/>
    <b v="0"/>
  </r>
  <r>
    <s v="S-b4ac47"/>
    <s v="A-3b5cd1"/>
    <d v="2023-10-07T00:00:00"/>
    <m/>
    <x v="1"/>
    <n v="31"/>
    <n v="1519"/>
    <n v="18228"/>
    <x v="0"/>
    <b v="0"/>
    <b v="0"/>
    <b v="0"/>
    <x v="1"/>
    <b v="0"/>
  </r>
  <r>
    <s v="S-2e017b"/>
    <s v="A-432483"/>
    <d v="2023-04-02T00:00:00"/>
    <d v="2023-04-05T00:00:00"/>
    <x v="1"/>
    <n v="5"/>
    <n v="245"/>
    <n v="2940"/>
    <x v="0"/>
    <b v="0"/>
    <b v="0"/>
    <b v="1"/>
    <x v="1"/>
    <b v="1"/>
  </r>
  <r>
    <s v="S-c64e87"/>
    <s v="A-f3ff05"/>
    <d v="2024-09-19T00:00:00"/>
    <m/>
    <x v="0"/>
    <n v="27"/>
    <n v="5373"/>
    <n v="64476"/>
    <x v="0"/>
    <b v="0"/>
    <b v="0"/>
    <b v="0"/>
    <x v="1"/>
    <b v="1"/>
  </r>
  <r>
    <s v="S-c24467"/>
    <s v="A-e888d1"/>
    <d v="2023-07-05T00:00:00"/>
    <m/>
    <x v="2"/>
    <n v="50"/>
    <n v="0"/>
    <n v="0"/>
    <x v="1"/>
    <b v="0"/>
    <b v="0"/>
    <b v="0"/>
    <x v="0"/>
    <b v="0"/>
  </r>
  <r>
    <s v="S-f7b0e0"/>
    <s v="A-66224b"/>
    <d v="2024-11-24T00:00:00"/>
    <m/>
    <x v="2"/>
    <n v="92"/>
    <n v="1748"/>
    <n v="20976"/>
    <x v="0"/>
    <b v="0"/>
    <b v="0"/>
    <b v="0"/>
    <x v="1"/>
    <b v="1"/>
  </r>
  <r>
    <s v="S-edeacd"/>
    <s v="A-59f724"/>
    <d v="2024-01-01T00:00:00"/>
    <m/>
    <x v="1"/>
    <n v="18"/>
    <n v="882"/>
    <n v="10584"/>
    <x v="0"/>
    <b v="0"/>
    <b v="0"/>
    <b v="0"/>
    <x v="1"/>
    <b v="1"/>
  </r>
  <r>
    <s v="S-3d6b69"/>
    <s v="A-2446e3"/>
    <d v="2024-09-16T00:00:00"/>
    <m/>
    <x v="0"/>
    <n v="27"/>
    <n v="5373"/>
    <n v="64476"/>
    <x v="0"/>
    <b v="0"/>
    <b v="0"/>
    <b v="0"/>
    <x v="1"/>
    <b v="0"/>
  </r>
  <r>
    <s v="S-63e282"/>
    <s v="A-6a4e2d"/>
    <d v="2024-10-15T00:00:00"/>
    <d v="2024-11-07T00:00:00"/>
    <x v="1"/>
    <n v="14"/>
    <n v="686"/>
    <n v="8232"/>
    <x v="0"/>
    <b v="1"/>
    <b v="0"/>
    <b v="1"/>
    <x v="1"/>
    <b v="1"/>
  </r>
  <r>
    <s v="S-ef2a21"/>
    <s v="A-427b69"/>
    <d v="2024-11-28T00:00:00"/>
    <d v="2024-12-09T00:00:00"/>
    <x v="1"/>
    <n v="36"/>
    <n v="1764"/>
    <n v="21168"/>
    <x v="0"/>
    <b v="0"/>
    <b v="0"/>
    <b v="1"/>
    <x v="1"/>
    <b v="1"/>
  </r>
  <r>
    <s v="S-e052d8"/>
    <s v="A-4e44e8"/>
    <d v="2024-10-26T00:00:00"/>
    <m/>
    <x v="1"/>
    <n v="25"/>
    <n v="0"/>
    <n v="0"/>
    <x v="1"/>
    <b v="0"/>
    <b v="0"/>
    <b v="0"/>
    <x v="1"/>
    <b v="1"/>
  </r>
  <r>
    <s v="S-2d51ca"/>
    <s v="A-96e141"/>
    <d v="2023-12-05T00:00:00"/>
    <m/>
    <x v="1"/>
    <n v="32"/>
    <n v="1568"/>
    <n v="18816"/>
    <x v="0"/>
    <b v="0"/>
    <b v="0"/>
    <b v="0"/>
    <x v="0"/>
    <b v="1"/>
  </r>
  <r>
    <s v="S-0921a1"/>
    <s v="A-ee42db"/>
    <d v="2023-08-02T00:00:00"/>
    <m/>
    <x v="2"/>
    <n v="22"/>
    <n v="418"/>
    <n v="5016"/>
    <x v="0"/>
    <b v="0"/>
    <b v="0"/>
    <b v="0"/>
    <x v="1"/>
    <b v="1"/>
  </r>
  <r>
    <s v="S-62c98f"/>
    <s v="A-5a92e7"/>
    <d v="2024-10-27T00:00:00"/>
    <m/>
    <x v="1"/>
    <n v="35"/>
    <n v="1715"/>
    <n v="20580"/>
    <x v="0"/>
    <b v="0"/>
    <b v="0"/>
    <b v="0"/>
    <x v="0"/>
    <b v="1"/>
  </r>
  <r>
    <s v="S-1cff77"/>
    <s v="A-5a3eb9"/>
    <d v="2023-09-20T00:00:00"/>
    <m/>
    <x v="1"/>
    <n v="65"/>
    <n v="3185"/>
    <n v="38220"/>
    <x v="0"/>
    <b v="0"/>
    <b v="0"/>
    <b v="0"/>
    <x v="1"/>
    <b v="1"/>
  </r>
  <r>
    <s v="S-3a28a1"/>
    <s v="A-b9f5b1"/>
    <d v="2024-07-25T00:00:00"/>
    <m/>
    <x v="0"/>
    <n v="15"/>
    <n v="2985"/>
    <n v="35820"/>
    <x v="0"/>
    <b v="0"/>
    <b v="0"/>
    <b v="0"/>
    <x v="1"/>
    <b v="1"/>
  </r>
  <r>
    <s v="S-42aaf0"/>
    <s v="A-6da850"/>
    <d v="2024-12-31T00:00:00"/>
    <d v="2024-12-31T00:00:00"/>
    <x v="2"/>
    <n v="6"/>
    <n v="114"/>
    <n v="1368"/>
    <x v="0"/>
    <b v="0"/>
    <b v="0"/>
    <b v="1"/>
    <x v="1"/>
    <b v="1"/>
  </r>
  <r>
    <s v="S-d02277"/>
    <s v="A-05f0e5"/>
    <d v="2024-06-11T00:00:00"/>
    <m/>
    <x v="0"/>
    <n v="92"/>
    <n v="18308"/>
    <n v="219696"/>
    <x v="0"/>
    <b v="1"/>
    <b v="0"/>
    <b v="0"/>
    <x v="0"/>
    <b v="1"/>
  </r>
  <r>
    <s v="S-72b92f"/>
    <s v="A-bd4708"/>
    <d v="2024-12-14T00:00:00"/>
    <m/>
    <x v="0"/>
    <n v="37"/>
    <n v="7363"/>
    <n v="88356"/>
    <x v="0"/>
    <b v="0"/>
    <b v="0"/>
    <b v="0"/>
    <x v="0"/>
    <b v="0"/>
  </r>
  <r>
    <s v="S-15609d"/>
    <s v="A-94d3da"/>
    <d v="2024-08-04T00:00:00"/>
    <m/>
    <x v="2"/>
    <n v="41"/>
    <n v="0"/>
    <n v="0"/>
    <x v="1"/>
    <b v="0"/>
    <b v="0"/>
    <b v="0"/>
    <x v="0"/>
    <b v="0"/>
  </r>
  <r>
    <s v="S-6d12c1"/>
    <s v="A-d26ab4"/>
    <d v="2024-11-20T00:00:00"/>
    <m/>
    <x v="2"/>
    <n v="11"/>
    <n v="209"/>
    <n v="2508"/>
    <x v="0"/>
    <b v="0"/>
    <b v="0"/>
    <b v="0"/>
    <x v="0"/>
    <b v="1"/>
  </r>
  <r>
    <s v="S-1bf267"/>
    <s v="A-c42f1f"/>
    <d v="2024-11-13T00:00:00"/>
    <m/>
    <x v="2"/>
    <n v="28"/>
    <n v="532"/>
    <n v="6384"/>
    <x v="0"/>
    <b v="0"/>
    <b v="0"/>
    <b v="0"/>
    <x v="1"/>
    <b v="1"/>
  </r>
  <r>
    <s v="S-2d4edf"/>
    <s v="A-69fad4"/>
    <d v="2023-09-04T00:00:00"/>
    <m/>
    <x v="0"/>
    <n v="6"/>
    <n v="1194"/>
    <n v="14328"/>
    <x v="0"/>
    <b v="0"/>
    <b v="0"/>
    <b v="0"/>
    <x v="1"/>
    <b v="0"/>
  </r>
  <r>
    <s v="S-050a91"/>
    <s v="A-d27f50"/>
    <d v="2024-08-06T00:00:00"/>
    <m/>
    <x v="2"/>
    <n v="45"/>
    <n v="855"/>
    <n v="10260"/>
    <x v="0"/>
    <b v="0"/>
    <b v="0"/>
    <b v="0"/>
    <x v="1"/>
    <b v="1"/>
  </r>
  <r>
    <s v="S-e41457"/>
    <s v="A-5f2961"/>
    <d v="2024-12-17T00:00:00"/>
    <m/>
    <x v="0"/>
    <n v="4"/>
    <n v="796"/>
    <n v="9552"/>
    <x v="0"/>
    <b v="0"/>
    <b v="0"/>
    <b v="0"/>
    <x v="1"/>
    <b v="1"/>
  </r>
  <r>
    <s v="S-9f2386"/>
    <s v="A-558c72"/>
    <d v="2024-03-09T00:00:00"/>
    <m/>
    <x v="0"/>
    <n v="15"/>
    <n v="2985"/>
    <n v="35820"/>
    <x v="0"/>
    <b v="0"/>
    <b v="0"/>
    <b v="0"/>
    <x v="1"/>
    <b v="1"/>
  </r>
  <r>
    <s v="S-e23fd8"/>
    <s v="A-cc98bc"/>
    <d v="2023-06-05T00:00:00"/>
    <m/>
    <x v="0"/>
    <n v="32"/>
    <n v="0"/>
    <n v="0"/>
    <x v="1"/>
    <b v="0"/>
    <b v="0"/>
    <b v="0"/>
    <x v="1"/>
    <b v="1"/>
  </r>
  <r>
    <s v="S-c1056f"/>
    <s v="A-6f8ad2"/>
    <d v="2024-10-23T00:00:00"/>
    <m/>
    <x v="2"/>
    <n v="21"/>
    <n v="399"/>
    <n v="4788"/>
    <x v="0"/>
    <b v="0"/>
    <b v="0"/>
    <b v="0"/>
    <x v="0"/>
    <b v="0"/>
  </r>
  <r>
    <s v="S-c4c9ce"/>
    <s v="A-625d0b"/>
    <d v="2024-11-16T00:00:00"/>
    <d v="2024-11-22T00:00:00"/>
    <x v="0"/>
    <n v="10"/>
    <n v="1990"/>
    <n v="23880"/>
    <x v="0"/>
    <b v="0"/>
    <b v="0"/>
    <b v="1"/>
    <x v="0"/>
    <b v="1"/>
  </r>
  <r>
    <s v="S-dc90ef"/>
    <s v="A-bcf87c"/>
    <d v="2024-07-22T00:00:00"/>
    <m/>
    <x v="1"/>
    <n v="17"/>
    <n v="833"/>
    <n v="9996"/>
    <x v="0"/>
    <b v="0"/>
    <b v="0"/>
    <b v="0"/>
    <x v="1"/>
    <b v="1"/>
  </r>
  <r>
    <s v="S-fc1114"/>
    <s v="A-4c56c9"/>
    <d v="2024-07-17T00:00:00"/>
    <d v="2024-10-23T00:00:00"/>
    <x v="1"/>
    <n v="18"/>
    <n v="882"/>
    <n v="10584"/>
    <x v="0"/>
    <b v="0"/>
    <b v="0"/>
    <b v="1"/>
    <x v="1"/>
    <b v="1"/>
  </r>
  <r>
    <s v="S-b95110"/>
    <s v="A-b07b56"/>
    <d v="2024-12-16T00:00:00"/>
    <m/>
    <x v="1"/>
    <n v="25"/>
    <n v="1225"/>
    <n v="14700"/>
    <x v="0"/>
    <b v="0"/>
    <b v="0"/>
    <b v="0"/>
    <x v="0"/>
    <b v="0"/>
  </r>
  <r>
    <s v="S-e2e052"/>
    <s v="A-91e948"/>
    <d v="2023-11-07T00:00:00"/>
    <m/>
    <x v="1"/>
    <n v="41"/>
    <n v="2009"/>
    <n v="24108"/>
    <x v="0"/>
    <b v="0"/>
    <b v="0"/>
    <b v="0"/>
    <x v="0"/>
    <b v="1"/>
  </r>
  <r>
    <s v="S-0de78a"/>
    <s v="A-e4144b"/>
    <d v="2024-12-12T00:00:00"/>
    <m/>
    <x v="2"/>
    <n v="41"/>
    <n v="779"/>
    <n v="9348"/>
    <x v="0"/>
    <b v="0"/>
    <b v="0"/>
    <b v="0"/>
    <x v="1"/>
    <b v="1"/>
  </r>
  <r>
    <s v="S-8a37c8"/>
    <s v="A-054577"/>
    <d v="2024-12-09T00:00:00"/>
    <m/>
    <x v="1"/>
    <n v="8"/>
    <n v="392"/>
    <n v="4704"/>
    <x v="0"/>
    <b v="0"/>
    <b v="0"/>
    <b v="0"/>
    <x v="0"/>
    <b v="1"/>
  </r>
  <r>
    <s v="S-8d6cec"/>
    <s v="A-32fb14"/>
    <d v="2024-07-05T00:00:00"/>
    <m/>
    <x v="1"/>
    <n v="32"/>
    <n v="1568"/>
    <n v="18816"/>
    <x v="0"/>
    <b v="1"/>
    <b v="0"/>
    <b v="0"/>
    <x v="1"/>
    <b v="1"/>
  </r>
  <r>
    <s v="S-65dd83"/>
    <s v="A-592832"/>
    <d v="2024-11-07T00:00:00"/>
    <m/>
    <x v="1"/>
    <n v="36"/>
    <n v="1764"/>
    <n v="21168"/>
    <x v="0"/>
    <b v="0"/>
    <b v="0"/>
    <b v="0"/>
    <x v="1"/>
    <b v="1"/>
  </r>
  <r>
    <s v="S-fa7c1a"/>
    <s v="A-df10db"/>
    <d v="2024-10-21T00:00:00"/>
    <m/>
    <x v="0"/>
    <n v="12"/>
    <n v="2388"/>
    <n v="28656"/>
    <x v="0"/>
    <b v="0"/>
    <b v="0"/>
    <b v="0"/>
    <x v="0"/>
    <b v="1"/>
  </r>
  <r>
    <s v="S-cc964d"/>
    <s v="A-d26ab4"/>
    <d v="2024-11-21T00:00:00"/>
    <m/>
    <x v="2"/>
    <n v="15"/>
    <n v="0"/>
    <n v="0"/>
    <x v="1"/>
    <b v="0"/>
    <b v="0"/>
    <b v="0"/>
    <x v="1"/>
    <b v="1"/>
  </r>
  <r>
    <s v="S-e72beb"/>
    <s v="A-712533"/>
    <d v="2024-10-26T00:00:00"/>
    <m/>
    <x v="1"/>
    <n v="70"/>
    <n v="3430"/>
    <n v="41160"/>
    <x v="0"/>
    <b v="1"/>
    <b v="0"/>
    <b v="0"/>
    <x v="1"/>
    <b v="1"/>
  </r>
  <r>
    <s v="S-80199e"/>
    <s v="A-50bb9f"/>
    <d v="2024-10-26T00:00:00"/>
    <m/>
    <x v="0"/>
    <n v="18"/>
    <n v="3582"/>
    <n v="42984"/>
    <x v="0"/>
    <b v="1"/>
    <b v="0"/>
    <b v="0"/>
    <x v="0"/>
    <b v="1"/>
  </r>
  <r>
    <s v="S-b6f87e"/>
    <s v="A-8b25f2"/>
    <d v="2024-09-30T00:00:00"/>
    <m/>
    <x v="2"/>
    <n v="10"/>
    <n v="190"/>
    <n v="2280"/>
    <x v="0"/>
    <b v="0"/>
    <b v="0"/>
    <b v="0"/>
    <x v="1"/>
    <b v="1"/>
  </r>
  <r>
    <s v="S-6129d4"/>
    <s v="A-6965e1"/>
    <d v="2024-12-26T00:00:00"/>
    <m/>
    <x v="0"/>
    <n v="13"/>
    <n v="2587"/>
    <n v="31044"/>
    <x v="0"/>
    <b v="0"/>
    <b v="0"/>
    <b v="0"/>
    <x v="1"/>
    <b v="1"/>
  </r>
  <r>
    <s v="S-7b647e"/>
    <s v="A-d62e02"/>
    <d v="2024-09-03T00:00:00"/>
    <m/>
    <x v="0"/>
    <n v="10"/>
    <n v="1990"/>
    <n v="23880"/>
    <x v="0"/>
    <b v="0"/>
    <b v="1"/>
    <b v="0"/>
    <x v="0"/>
    <b v="1"/>
  </r>
  <r>
    <s v="S-426f2f"/>
    <s v="A-8145a0"/>
    <d v="2024-03-08T00:00:00"/>
    <m/>
    <x v="0"/>
    <n v="3"/>
    <n v="597"/>
    <n v="7164"/>
    <x v="0"/>
    <b v="0"/>
    <b v="0"/>
    <b v="0"/>
    <x v="1"/>
    <b v="1"/>
  </r>
  <r>
    <s v="S-02cde8"/>
    <s v="A-5b4ebb"/>
    <d v="2024-11-21T00:00:00"/>
    <m/>
    <x v="0"/>
    <n v="63"/>
    <n v="12537"/>
    <n v="150444"/>
    <x v="0"/>
    <b v="0"/>
    <b v="0"/>
    <b v="0"/>
    <x v="0"/>
    <b v="1"/>
  </r>
  <r>
    <s v="S-61a87e"/>
    <s v="A-91e948"/>
    <d v="2023-08-14T00:00:00"/>
    <m/>
    <x v="2"/>
    <n v="41"/>
    <n v="779"/>
    <n v="9348"/>
    <x v="0"/>
    <b v="0"/>
    <b v="0"/>
    <b v="0"/>
    <x v="0"/>
    <b v="1"/>
  </r>
  <r>
    <s v="S-5698bd"/>
    <s v="A-52dd88"/>
    <d v="2023-03-26T00:00:00"/>
    <m/>
    <x v="1"/>
    <n v="26"/>
    <n v="1274"/>
    <n v="15288"/>
    <x v="0"/>
    <b v="0"/>
    <b v="0"/>
    <b v="0"/>
    <x v="0"/>
    <b v="0"/>
  </r>
  <r>
    <s v="S-702fe2"/>
    <s v="A-d77f4c"/>
    <d v="2024-03-27T00:00:00"/>
    <m/>
    <x v="0"/>
    <n v="11"/>
    <n v="2189"/>
    <n v="26268"/>
    <x v="0"/>
    <b v="0"/>
    <b v="0"/>
    <b v="0"/>
    <x v="0"/>
    <b v="1"/>
  </r>
  <r>
    <s v="S-3e510d"/>
    <s v="A-50f3f7"/>
    <d v="2024-06-27T00:00:00"/>
    <m/>
    <x v="1"/>
    <n v="31"/>
    <n v="1519"/>
    <n v="18228"/>
    <x v="0"/>
    <b v="0"/>
    <b v="1"/>
    <b v="0"/>
    <x v="1"/>
    <b v="1"/>
  </r>
  <r>
    <s v="S-ec7c12"/>
    <s v="A-cbd1a3"/>
    <d v="2024-12-02T00:00:00"/>
    <m/>
    <x v="0"/>
    <n v="6"/>
    <n v="1194"/>
    <n v="14328"/>
    <x v="0"/>
    <b v="0"/>
    <b v="0"/>
    <b v="0"/>
    <x v="0"/>
    <b v="1"/>
  </r>
  <r>
    <s v="S-d725da"/>
    <s v="A-f17767"/>
    <d v="2024-02-15T00:00:00"/>
    <m/>
    <x v="1"/>
    <n v="22"/>
    <n v="1078"/>
    <n v="12936"/>
    <x v="0"/>
    <b v="0"/>
    <b v="0"/>
    <b v="0"/>
    <x v="1"/>
    <b v="1"/>
  </r>
  <r>
    <s v="S-c84c8d"/>
    <s v="A-7988d1"/>
    <d v="2024-08-18T00:00:00"/>
    <m/>
    <x v="0"/>
    <n v="92"/>
    <n v="0"/>
    <n v="0"/>
    <x v="1"/>
    <b v="0"/>
    <b v="0"/>
    <b v="0"/>
    <x v="1"/>
    <b v="1"/>
  </r>
  <r>
    <s v="S-049328"/>
    <s v="A-39b19f"/>
    <d v="2023-07-20T00:00:00"/>
    <m/>
    <x v="1"/>
    <n v="55"/>
    <n v="2695"/>
    <n v="32340"/>
    <x v="0"/>
    <b v="0"/>
    <b v="0"/>
    <b v="0"/>
    <x v="0"/>
    <b v="1"/>
  </r>
  <r>
    <s v="S-d9ad28"/>
    <s v="A-4f18f0"/>
    <d v="2024-04-28T00:00:00"/>
    <m/>
    <x v="1"/>
    <n v="24"/>
    <n v="1176"/>
    <n v="14112"/>
    <x v="0"/>
    <b v="0"/>
    <b v="0"/>
    <b v="0"/>
    <x v="0"/>
    <b v="0"/>
  </r>
  <r>
    <s v="S-eec041"/>
    <s v="A-c43359"/>
    <d v="2024-12-22T00:00:00"/>
    <m/>
    <x v="2"/>
    <n v="38"/>
    <n v="722"/>
    <n v="8664"/>
    <x v="0"/>
    <b v="1"/>
    <b v="0"/>
    <b v="0"/>
    <x v="0"/>
    <b v="1"/>
  </r>
  <r>
    <s v="S-a554da"/>
    <s v="A-712f1c"/>
    <d v="2024-04-09T00:00:00"/>
    <d v="2024-07-23T00:00:00"/>
    <x v="0"/>
    <n v="17"/>
    <n v="3383"/>
    <n v="40596"/>
    <x v="0"/>
    <b v="0"/>
    <b v="0"/>
    <b v="1"/>
    <x v="1"/>
    <b v="1"/>
  </r>
  <r>
    <s v="S-2ccc04"/>
    <s v="A-9a532a"/>
    <d v="2024-10-18T00:00:00"/>
    <m/>
    <x v="0"/>
    <n v="11"/>
    <n v="2189"/>
    <n v="26268"/>
    <x v="0"/>
    <b v="0"/>
    <b v="0"/>
    <b v="0"/>
    <x v="0"/>
    <b v="1"/>
  </r>
  <r>
    <s v="S-984f8b"/>
    <s v="A-db5e9e"/>
    <d v="2024-12-28T00:00:00"/>
    <d v="2024-12-28T00:00:00"/>
    <x v="0"/>
    <n v="17"/>
    <n v="3383"/>
    <n v="40596"/>
    <x v="0"/>
    <b v="0"/>
    <b v="1"/>
    <b v="1"/>
    <x v="1"/>
    <b v="1"/>
  </r>
  <r>
    <s v="S-d3613b"/>
    <s v="A-6f50ae"/>
    <d v="2023-11-27T00:00:00"/>
    <m/>
    <x v="0"/>
    <n v="19"/>
    <n v="0"/>
    <n v="0"/>
    <x v="1"/>
    <b v="0"/>
    <b v="0"/>
    <b v="0"/>
    <x v="0"/>
    <b v="1"/>
  </r>
  <r>
    <s v="S-e27a20"/>
    <s v="A-ffc04f"/>
    <d v="2024-12-28T00:00:00"/>
    <m/>
    <x v="2"/>
    <n v="13"/>
    <n v="247"/>
    <n v="2964"/>
    <x v="0"/>
    <b v="0"/>
    <b v="0"/>
    <b v="0"/>
    <x v="0"/>
    <b v="1"/>
  </r>
  <r>
    <s v="S-41871d"/>
    <s v="A-029f69"/>
    <d v="2024-08-10T00:00:00"/>
    <m/>
    <x v="0"/>
    <n v="3"/>
    <n v="597"/>
    <n v="7164"/>
    <x v="0"/>
    <b v="0"/>
    <b v="0"/>
    <b v="0"/>
    <x v="1"/>
    <b v="1"/>
  </r>
  <r>
    <s v="S-9686c6"/>
    <s v="A-eb2fdc"/>
    <d v="2024-05-31T00:00:00"/>
    <d v="2024-09-25T00:00:00"/>
    <x v="1"/>
    <n v="33"/>
    <n v="1617"/>
    <n v="19404"/>
    <x v="0"/>
    <b v="0"/>
    <b v="0"/>
    <b v="1"/>
    <x v="1"/>
    <b v="0"/>
  </r>
  <r>
    <s v="S-9b1f0e"/>
    <s v="A-e83938"/>
    <d v="2024-07-16T00:00:00"/>
    <m/>
    <x v="1"/>
    <n v="2"/>
    <n v="98"/>
    <n v="1176"/>
    <x v="0"/>
    <b v="1"/>
    <b v="0"/>
    <b v="0"/>
    <x v="1"/>
    <b v="1"/>
  </r>
  <r>
    <s v="S-3445f5"/>
    <s v="A-7f6b86"/>
    <d v="2023-10-15T00:00:00"/>
    <m/>
    <x v="2"/>
    <n v="45"/>
    <n v="855"/>
    <n v="10260"/>
    <x v="0"/>
    <b v="0"/>
    <b v="0"/>
    <b v="0"/>
    <x v="1"/>
    <b v="0"/>
  </r>
  <r>
    <s v="S-f6e14c"/>
    <s v="A-8bde0c"/>
    <d v="2024-12-15T00:00:00"/>
    <m/>
    <x v="0"/>
    <n v="28"/>
    <n v="5572"/>
    <n v="66864"/>
    <x v="0"/>
    <b v="0"/>
    <b v="0"/>
    <b v="0"/>
    <x v="1"/>
    <b v="1"/>
  </r>
  <r>
    <s v="S-94cfff"/>
    <s v="A-439b2f"/>
    <d v="2024-04-16T00:00:00"/>
    <d v="2024-05-18T00:00:00"/>
    <x v="1"/>
    <n v="22"/>
    <n v="0"/>
    <n v="0"/>
    <x v="1"/>
    <b v="0"/>
    <b v="0"/>
    <b v="1"/>
    <x v="1"/>
    <b v="1"/>
  </r>
  <r>
    <s v="S-ceb9bd"/>
    <s v="A-7da956"/>
    <d v="2024-11-12T00:00:00"/>
    <m/>
    <x v="1"/>
    <n v="20"/>
    <n v="980"/>
    <n v="11760"/>
    <x v="0"/>
    <b v="0"/>
    <b v="0"/>
    <b v="0"/>
    <x v="1"/>
    <b v="1"/>
  </r>
  <r>
    <s v="S-2c270f"/>
    <s v="A-9f9299"/>
    <d v="2024-08-02T00:00:00"/>
    <m/>
    <x v="0"/>
    <n v="28"/>
    <n v="5572"/>
    <n v="66864"/>
    <x v="0"/>
    <b v="0"/>
    <b v="0"/>
    <b v="0"/>
    <x v="1"/>
    <b v="0"/>
  </r>
  <r>
    <s v="S-baba71"/>
    <s v="A-8b25f2"/>
    <d v="2024-05-03T00:00:00"/>
    <m/>
    <x v="0"/>
    <n v="10"/>
    <n v="1990"/>
    <n v="23880"/>
    <x v="0"/>
    <b v="0"/>
    <b v="0"/>
    <b v="0"/>
    <x v="0"/>
    <b v="1"/>
  </r>
  <r>
    <s v="S-d33d84"/>
    <s v="A-31ab9a"/>
    <d v="2024-04-01T00:00:00"/>
    <m/>
    <x v="0"/>
    <n v="3"/>
    <n v="597"/>
    <n v="7164"/>
    <x v="0"/>
    <b v="0"/>
    <b v="0"/>
    <b v="0"/>
    <x v="1"/>
    <b v="1"/>
  </r>
  <r>
    <s v="S-c1012c"/>
    <s v="A-b7b7b7"/>
    <d v="2024-09-19T00:00:00"/>
    <m/>
    <x v="0"/>
    <n v="24"/>
    <n v="4776"/>
    <n v="57312"/>
    <x v="0"/>
    <b v="0"/>
    <b v="0"/>
    <b v="0"/>
    <x v="0"/>
    <b v="1"/>
  </r>
  <r>
    <s v="S-42af3d"/>
    <s v="A-40de06"/>
    <d v="2023-06-03T00:00:00"/>
    <m/>
    <x v="0"/>
    <n v="28"/>
    <n v="5572"/>
    <n v="66864"/>
    <x v="0"/>
    <b v="0"/>
    <b v="0"/>
    <b v="0"/>
    <x v="1"/>
    <b v="1"/>
  </r>
  <r>
    <s v="S-d4cc9b"/>
    <s v="A-10b8f2"/>
    <d v="2023-10-03T00:00:00"/>
    <m/>
    <x v="1"/>
    <n v="54"/>
    <n v="2646"/>
    <n v="31752"/>
    <x v="0"/>
    <b v="0"/>
    <b v="0"/>
    <b v="0"/>
    <x v="1"/>
    <b v="1"/>
  </r>
  <r>
    <s v="S-1351ac"/>
    <s v="A-0cc442"/>
    <d v="2024-07-27T00:00:00"/>
    <m/>
    <x v="0"/>
    <n v="45"/>
    <n v="0"/>
    <n v="0"/>
    <x v="1"/>
    <b v="0"/>
    <b v="0"/>
    <b v="0"/>
    <x v="0"/>
    <b v="1"/>
  </r>
  <r>
    <s v="S-753a0a"/>
    <s v="A-ad64c6"/>
    <d v="2024-06-15T00:00:00"/>
    <m/>
    <x v="0"/>
    <n v="28"/>
    <n v="5572"/>
    <n v="66864"/>
    <x v="0"/>
    <b v="0"/>
    <b v="0"/>
    <b v="0"/>
    <x v="1"/>
    <b v="0"/>
  </r>
  <r>
    <s v="S-62a710"/>
    <s v="A-42b791"/>
    <d v="2024-11-07T00:00:00"/>
    <m/>
    <x v="1"/>
    <n v="22"/>
    <n v="1078"/>
    <n v="12936"/>
    <x v="0"/>
    <b v="0"/>
    <b v="0"/>
    <b v="0"/>
    <x v="1"/>
    <b v="1"/>
  </r>
  <r>
    <s v="S-85eb8f"/>
    <s v="A-59f724"/>
    <d v="2024-01-29T00:00:00"/>
    <m/>
    <x v="0"/>
    <n v="22"/>
    <n v="4378"/>
    <n v="52536"/>
    <x v="0"/>
    <b v="0"/>
    <b v="0"/>
    <b v="0"/>
    <x v="0"/>
    <b v="1"/>
  </r>
  <r>
    <s v="S-e6f639"/>
    <s v="A-37f969"/>
    <d v="2023-12-02T00:00:00"/>
    <m/>
    <x v="1"/>
    <n v="30"/>
    <n v="1470"/>
    <n v="17640"/>
    <x v="0"/>
    <b v="0"/>
    <b v="0"/>
    <b v="0"/>
    <x v="0"/>
    <b v="1"/>
  </r>
  <r>
    <s v="S-85ba19"/>
    <s v="A-6965e1"/>
    <d v="2024-12-11T00:00:00"/>
    <m/>
    <x v="0"/>
    <n v="13"/>
    <n v="2587"/>
    <n v="31044"/>
    <x v="0"/>
    <b v="1"/>
    <b v="0"/>
    <b v="0"/>
    <x v="0"/>
    <b v="1"/>
  </r>
  <r>
    <s v="S-a14f63"/>
    <s v="A-e1b9cd"/>
    <d v="2024-02-04T00:00:00"/>
    <m/>
    <x v="0"/>
    <n v="40"/>
    <n v="7960"/>
    <n v="95520"/>
    <x v="0"/>
    <b v="0"/>
    <b v="1"/>
    <b v="0"/>
    <x v="0"/>
    <b v="1"/>
  </r>
  <r>
    <s v="S-f80ef5"/>
    <s v="A-e51ec7"/>
    <d v="2024-03-22T00:00:00"/>
    <m/>
    <x v="2"/>
    <n v="5"/>
    <n v="0"/>
    <n v="0"/>
    <x v="1"/>
    <b v="0"/>
    <b v="0"/>
    <b v="0"/>
    <x v="1"/>
    <b v="1"/>
  </r>
  <r>
    <s v="S-ed4e09"/>
    <s v="A-e43bf7"/>
    <d v="2024-02-26T00:00:00"/>
    <m/>
    <x v="1"/>
    <n v="44"/>
    <n v="2156"/>
    <n v="25872"/>
    <x v="0"/>
    <b v="1"/>
    <b v="0"/>
    <b v="0"/>
    <x v="1"/>
    <b v="1"/>
  </r>
  <r>
    <s v="S-f49e0b"/>
    <s v="A-7f6b86"/>
    <d v="2024-01-21T00:00:00"/>
    <d v="2024-03-21T00:00:00"/>
    <x v="1"/>
    <n v="45"/>
    <n v="2205"/>
    <n v="26460"/>
    <x v="0"/>
    <b v="1"/>
    <b v="0"/>
    <b v="1"/>
    <x v="1"/>
    <b v="1"/>
  </r>
  <r>
    <s v="S-22be2c"/>
    <s v="A-35083d"/>
    <d v="2024-12-15T00:00:00"/>
    <m/>
    <x v="0"/>
    <n v="49"/>
    <n v="9751"/>
    <n v="117012"/>
    <x v="0"/>
    <b v="0"/>
    <b v="0"/>
    <b v="0"/>
    <x v="0"/>
    <b v="1"/>
  </r>
  <r>
    <s v="S-6587d8"/>
    <s v="A-2446e3"/>
    <d v="2024-04-18T00:00:00"/>
    <m/>
    <x v="0"/>
    <n v="27"/>
    <n v="5373"/>
    <n v="64476"/>
    <x v="0"/>
    <b v="0"/>
    <b v="0"/>
    <b v="0"/>
    <x v="0"/>
    <b v="0"/>
  </r>
  <r>
    <s v="S-44fba6"/>
    <s v="A-82d8a6"/>
    <d v="2024-12-22T00:00:00"/>
    <m/>
    <x v="0"/>
    <n v="7"/>
    <n v="0"/>
    <n v="0"/>
    <x v="1"/>
    <b v="0"/>
    <b v="0"/>
    <b v="0"/>
    <x v="1"/>
    <b v="1"/>
  </r>
  <r>
    <s v="S-f14c84"/>
    <s v="A-fa2041"/>
    <d v="2024-06-11T00:00:00"/>
    <m/>
    <x v="2"/>
    <n v="18"/>
    <n v="0"/>
    <n v="0"/>
    <x v="1"/>
    <b v="0"/>
    <b v="0"/>
    <b v="0"/>
    <x v="0"/>
    <b v="1"/>
  </r>
  <r>
    <s v="S-f243c1"/>
    <s v="A-e888d1"/>
    <d v="2024-03-12T00:00:00"/>
    <d v="2024-12-28T00:00:00"/>
    <x v="1"/>
    <n v="14"/>
    <n v="0"/>
    <n v="0"/>
    <x v="1"/>
    <b v="0"/>
    <b v="0"/>
    <b v="1"/>
    <x v="1"/>
    <b v="1"/>
  </r>
  <r>
    <s v="S-ca454e"/>
    <s v="A-9174e0"/>
    <d v="2024-12-14T00:00:00"/>
    <m/>
    <x v="0"/>
    <n v="37"/>
    <n v="7363"/>
    <n v="88356"/>
    <x v="0"/>
    <b v="0"/>
    <b v="0"/>
    <b v="0"/>
    <x v="0"/>
    <b v="1"/>
  </r>
  <r>
    <s v="S-3e8283"/>
    <s v="A-940b8b"/>
    <d v="2024-04-29T00:00:00"/>
    <m/>
    <x v="1"/>
    <n v="24"/>
    <n v="1176"/>
    <n v="14112"/>
    <x v="0"/>
    <b v="1"/>
    <b v="0"/>
    <b v="0"/>
    <x v="1"/>
    <b v="0"/>
  </r>
  <r>
    <s v="S-70ae65"/>
    <s v="A-df1e44"/>
    <d v="2024-05-23T00:00:00"/>
    <m/>
    <x v="1"/>
    <n v="63"/>
    <n v="3087"/>
    <n v="37044"/>
    <x v="0"/>
    <b v="1"/>
    <b v="0"/>
    <b v="0"/>
    <x v="0"/>
    <b v="1"/>
  </r>
  <r>
    <s v="S-f615d2"/>
    <s v="A-0a282f"/>
    <d v="2024-10-23T00:00:00"/>
    <m/>
    <x v="1"/>
    <n v="18"/>
    <n v="882"/>
    <n v="10584"/>
    <x v="0"/>
    <b v="1"/>
    <b v="0"/>
    <b v="0"/>
    <x v="0"/>
    <b v="1"/>
  </r>
  <r>
    <s v="S-a8f236"/>
    <s v="A-855a48"/>
    <d v="2024-03-17T00:00:00"/>
    <m/>
    <x v="0"/>
    <n v="14"/>
    <n v="2786"/>
    <n v="33432"/>
    <x v="0"/>
    <b v="0"/>
    <b v="0"/>
    <b v="0"/>
    <x v="0"/>
    <b v="0"/>
  </r>
  <r>
    <s v="S-684751"/>
    <s v="A-86cdb4"/>
    <d v="2024-12-31T00:00:00"/>
    <m/>
    <x v="2"/>
    <n v="17"/>
    <n v="323"/>
    <n v="3876"/>
    <x v="0"/>
    <b v="0"/>
    <b v="0"/>
    <b v="0"/>
    <x v="0"/>
    <b v="1"/>
  </r>
  <r>
    <s v="S-4d9635"/>
    <s v="A-dcc3f1"/>
    <d v="2024-08-05T00:00:00"/>
    <m/>
    <x v="0"/>
    <n v="22"/>
    <n v="4378"/>
    <n v="52536"/>
    <x v="0"/>
    <b v="0"/>
    <b v="0"/>
    <b v="0"/>
    <x v="1"/>
    <b v="1"/>
  </r>
  <r>
    <s v="S-43c489"/>
    <s v="A-c222ab"/>
    <d v="2024-08-27T00:00:00"/>
    <m/>
    <x v="1"/>
    <n v="32"/>
    <n v="1568"/>
    <n v="18816"/>
    <x v="0"/>
    <b v="0"/>
    <b v="0"/>
    <b v="0"/>
    <x v="1"/>
    <b v="1"/>
  </r>
  <r>
    <s v="S-a346d6"/>
    <s v="A-0a282f"/>
    <d v="2024-08-31T00:00:00"/>
    <d v="2024-09-25T00:00:00"/>
    <x v="0"/>
    <n v="19"/>
    <n v="3781"/>
    <n v="45372"/>
    <x v="0"/>
    <b v="0"/>
    <b v="0"/>
    <b v="1"/>
    <x v="1"/>
    <b v="1"/>
  </r>
  <r>
    <s v="S-47ce2d"/>
    <s v="A-d792a6"/>
    <d v="2023-02-06T00:00:00"/>
    <m/>
    <x v="1"/>
    <n v="37"/>
    <n v="1813"/>
    <n v="21756"/>
    <x v="0"/>
    <b v="0"/>
    <b v="0"/>
    <b v="0"/>
    <x v="0"/>
    <b v="1"/>
  </r>
  <r>
    <s v="S-b4212b"/>
    <s v="A-10b8da"/>
    <d v="2023-05-12T00:00:00"/>
    <d v="2024-01-21T00:00:00"/>
    <x v="0"/>
    <n v="17"/>
    <n v="3383"/>
    <n v="40596"/>
    <x v="0"/>
    <b v="1"/>
    <b v="0"/>
    <b v="1"/>
    <x v="0"/>
    <b v="1"/>
  </r>
  <r>
    <s v="S-006908"/>
    <s v="A-d82ef9"/>
    <d v="2024-09-28T00:00:00"/>
    <m/>
    <x v="1"/>
    <n v="26"/>
    <n v="1274"/>
    <n v="15288"/>
    <x v="0"/>
    <b v="0"/>
    <b v="1"/>
    <b v="0"/>
    <x v="0"/>
    <b v="1"/>
  </r>
  <r>
    <s v="S-60b7c7"/>
    <s v="A-02fac6"/>
    <d v="2024-05-02T00:00:00"/>
    <m/>
    <x v="0"/>
    <n v="23"/>
    <n v="4577"/>
    <n v="54924"/>
    <x v="0"/>
    <b v="0"/>
    <b v="0"/>
    <b v="0"/>
    <x v="1"/>
    <b v="0"/>
  </r>
  <r>
    <s v="S-3e54f5"/>
    <s v="A-157070"/>
    <d v="2023-12-12T00:00:00"/>
    <m/>
    <x v="2"/>
    <n v="17"/>
    <n v="323"/>
    <n v="3876"/>
    <x v="0"/>
    <b v="0"/>
    <b v="0"/>
    <b v="0"/>
    <x v="1"/>
    <b v="1"/>
  </r>
  <r>
    <s v="S-e32789"/>
    <s v="A-ac85cd"/>
    <d v="2024-10-13T00:00:00"/>
    <m/>
    <x v="1"/>
    <n v="53"/>
    <n v="2597"/>
    <n v="31164"/>
    <x v="0"/>
    <b v="0"/>
    <b v="1"/>
    <b v="0"/>
    <x v="1"/>
    <b v="1"/>
  </r>
  <r>
    <s v="S-6f398a"/>
    <s v="A-8ed5dd"/>
    <d v="2023-11-13T00:00:00"/>
    <m/>
    <x v="1"/>
    <n v="5"/>
    <n v="245"/>
    <n v="2940"/>
    <x v="0"/>
    <b v="0"/>
    <b v="0"/>
    <b v="0"/>
    <x v="1"/>
    <b v="1"/>
  </r>
  <r>
    <s v="S-ccc0fe"/>
    <s v="A-1619f8"/>
    <d v="2024-11-28T00:00:00"/>
    <m/>
    <x v="2"/>
    <n v="29"/>
    <n v="551"/>
    <n v="6612"/>
    <x v="0"/>
    <b v="0"/>
    <b v="0"/>
    <b v="0"/>
    <x v="0"/>
    <b v="1"/>
  </r>
  <r>
    <s v="S-1dd0ad"/>
    <s v="A-ac85cd"/>
    <d v="2024-11-11T00:00:00"/>
    <m/>
    <x v="2"/>
    <n v="53"/>
    <n v="1007"/>
    <n v="12084"/>
    <x v="0"/>
    <b v="1"/>
    <b v="0"/>
    <b v="0"/>
    <x v="0"/>
    <b v="1"/>
  </r>
  <r>
    <s v="S-52385a"/>
    <s v="A-0aaf6e"/>
    <d v="2024-11-13T00:00:00"/>
    <m/>
    <x v="2"/>
    <n v="3"/>
    <n v="57"/>
    <n v="684"/>
    <x v="0"/>
    <b v="0"/>
    <b v="0"/>
    <b v="0"/>
    <x v="0"/>
    <b v="1"/>
  </r>
  <r>
    <s v="S-26a630"/>
    <s v="A-5247b3"/>
    <d v="2024-03-23T00:00:00"/>
    <m/>
    <x v="0"/>
    <n v="16"/>
    <n v="3184"/>
    <n v="38208"/>
    <x v="0"/>
    <b v="0"/>
    <b v="0"/>
    <b v="0"/>
    <x v="0"/>
    <b v="1"/>
  </r>
  <r>
    <s v="S-904784"/>
    <s v="A-9badbd"/>
    <d v="2024-09-20T00:00:00"/>
    <m/>
    <x v="0"/>
    <n v="20"/>
    <n v="0"/>
    <n v="0"/>
    <x v="1"/>
    <b v="0"/>
    <b v="0"/>
    <b v="0"/>
    <x v="0"/>
    <b v="0"/>
  </r>
  <r>
    <s v="S-80a6a6"/>
    <s v="A-4437e4"/>
    <d v="2024-12-07T00:00:00"/>
    <m/>
    <x v="0"/>
    <n v="3"/>
    <n v="597"/>
    <n v="7164"/>
    <x v="0"/>
    <b v="0"/>
    <b v="0"/>
    <b v="0"/>
    <x v="1"/>
    <b v="1"/>
  </r>
  <r>
    <s v="S-d2d423"/>
    <s v="A-72799b"/>
    <d v="2024-08-12T00:00:00"/>
    <m/>
    <x v="0"/>
    <n v="20"/>
    <n v="3980"/>
    <n v="47760"/>
    <x v="0"/>
    <b v="0"/>
    <b v="0"/>
    <b v="0"/>
    <x v="0"/>
    <b v="1"/>
  </r>
  <r>
    <s v="S-bdac36"/>
    <s v="A-443f6f"/>
    <d v="2024-12-08T00:00:00"/>
    <m/>
    <x v="0"/>
    <n v="19"/>
    <n v="3781"/>
    <n v="45372"/>
    <x v="0"/>
    <b v="0"/>
    <b v="0"/>
    <b v="0"/>
    <x v="0"/>
    <b v="0"/>
  </r>
  <r>
    <s v="S-a68f4f"/>
    <s v="A-2ebb4b"/>
    <d v="2023-06-04T00:00:00"/>
    <m/>
    <x v="2"/>
    <n v="41"/>
    <n v="0"/>
    <n v="0"/>
    <x v="1"/>
    <b v="0"/>
    <b v="0"/>
    <b v="0"/>
    <x v="0"/>
    <b v="1"/>
  </r>
  <r>
    <s v="S-eb84b1"/>
    <s v="A-05d3b3"/>
    <d v="2024-08-24T00:00:00"/>
    <m/>
    <x v="1"/>
    <n v="9"/>
    <n v="441"/>
    <n v="5292"/>
    <x v="0"/>
    <b v="0"/>
    <b v="0"/>
    <b v="0"/>
    <x v="0"/>
    <b v="0"/>
  </r>
  <r>
    <s v="S-c9b181"/>
    <s v="A-443b7c"/>
    <d v="2024-10-08T00:00:00"/>
    <m/>
    <x v="1"/>
    <n v="28"/>
    <n v="1372"/>
    <n v="16464"/>
    <x v="0"/>
    <b v="1"/>
    <b v="0"/>
    <b v="0"/>
    <x v="0"/>
    <b v="1"/>
  </r>
  <r>
    <s v="S-2e55e6"/>
    <s v="A-f19409"/>
    <d v="2024-12-20T00:00:00"/>
    <m/>
    <x v="2"/>
    <n v="35"/>
    <n v="665"/>
    <n v="7980"/>
    <x v="0"/>
    <b v="0"/>
    <b v="0"/>
    <b v="0"/>
    <x v="1"/>
    <b v="0"/>
  </r>
  <r>
    <s v="S-863c87"/>
    <s v="A-e43bf7"/>
    <d v="2023-07-05T00:00:00"/>
    <m/>
    <x v="0"/>
    <n v="70"/>
    <n v="13930"/>
    <n v="167160"/>
    <x v="0"/>
    <b v="1"/>
    <b v="0"/>
    <b v="0"/>
    <x v="1"/>
    <b v="1"/>
  </r>
  <r>
    <s v="S-7564c5"/>
    <s v="A-96215d"/>
    <d v="2024-09-12T00:00:00"/>
    <m/>
    <x v="1"/>
    <n v="17"/>
    <n v="833"/>
    <n v="9996"/>
    <x v="0"/>
    <b v="0"/>
    <b v="0"/>
    <b v="0"/>
    <x v="0"/>
    <b v="0"/>
  </r>
  <r>
    <s v="S-8a9db8"/>
    <s v="A-474ad4"/>
    <d v="2024-11-30T00:00:00"/>
    <d v="2024-12-07T00:00:00"/>
    <x v="0"/>
    <n v="8"/>
    <n v="1592"/>
    <n v="19104"/>
    <x v="0"/>
    <b v="0"/>
    <b v="0"/>
    <b v="1"/>
    <x v="1"/>
    <b v="1"/>
  </r>
  <r>
    <s v="S-200752"/>
    <s v="A-4d1e75"/>
    <d v="2024-09-17T00:00:00"/>
    <m/>
    <x v="1"/>
    <n v="20"/>
    <n v="980"/>
    <n v="11760"/>
    <x v="0"/>
    <b v="1"/>
    <b v="0"/>
    <b v="0"/>
    <x v="0"/>
    <b v="0"/>
  </r>
  <r>
    <s v="S-74e211"/>
    <s v="A-3d957b"/>
    <d v="2024-07-15T00:00:00"/>
    <m/>
    <x v="1"/>
    <n v="14"/>
    <n v="686"/>
    <n v="8232"/>
    <x v="0"/>
    <b v="1"/>
    <b v="0"/>
    <b v="0"/>
    <x v="0"/>
    <b v="0"/>
  </r>
  <r>
    <s v="S-2aadef"/>
    <s v="A-1619f8"/>
    <d v="2024-11-16T00:00:00"/>
    <m/>
    <x v="1"/>
    <n v="29"/>
    <n v="1421"/>
    <n v="17052"/>
    <x v="0"/>
    <b v="0"/>
    <b v="0"/>
    <b v="0"/>
    <x v="1"/>
    <b v="1"/>
  </r>
  <r>
    <s v="S-fdc415"/>
    <s v="A-726cfa"/>
    <d v="2023-08-10T00:00:00"/>
    <m/>
    <x v="0"/>
    <n v="30"/>
    <n v="5970"/>
    <n v="71640"/>
    <x v="0"/>
    <b v="0"/>
    <b v="0"/>
    <b v="0"/>
    <x v="1"/>
    <b v="1"/>
  </r>
  <r>
    <s v="S-c03f87"/>
    <s v="A-6f50ae"/>
    <d v="2024-01-05T00:00:00"/>
    <m/>
    <x v="0"/>
    <n v="19"/>
    <n v="3781"/>
    <n v="45372"/>
    <x v="0"/>
    <b v="0"/>
    <b v="0"/>
    <b v="0"/>
    <x v="1"/>
    <b v="1"/>
  </r>
  <r>
    <s v="S-a245f6"/>
    <s v="A-86902e"/>
    <d v="2023-12-28T00:00:00"/>
    <m/>
    <x v="2"/>
    <n v="34"/>
    <n v="646"/>
    <n v="7752"/>
    <x v="0"/>
    <b v="0"/>
    <b v="0"/>
    <b v="0"/>
    <x v="0"/>
    <b v="1"/>
  </r>
  <r>
    <s v="S-a1cc61"/>
    <s v="A-bc4d48"/>
    <d v="2024-07-04T00:00:00"/>
    <m/>
    <x v="2"/>
    <n v="35"/>
    <n v="665"/>
    <n v="7980"/>
    <x v="0"/>
    <b v="0"/>
    <b v="0"/>
    <b v="0"/>
    <x v="1"/>
    <b v="1"/>
  </r>
  <r>
    <s v="S-9b96c2"/>
    <s v="A-02cd81"/>
    <d v="2024-05-13T00:00:00"/>
    <m/>
    <x v="0"/>
    <n v="44"/>
    <n v="8756"/>
    <n v="105072"/>
    <x v="0"/>
    <b v="0"/>
    <b v="0"/>
    <b v="0"/>
    <x v="0"/>
    <b v="1"/>
  </r>
  <r>
    <s v="S-2e79e8"/>
    <s v="A-cb5333"/>
    <d v="2024-05-16T00:00:00"/>
    <m/>
    <x v="1"/>
    <n v="33"/>
    <n v="0"/>
    <n v="0"/>
    <x v="1"/>
    <b v="0"/>
    <b v="0"/>
    <b v="0"/>
    <x v="0"/>
    <b v="1"/>
  </r>
  <r>
    <s v="S-f965de"/>
    <s v="A-ab438f"/>
    <d v="2024-10-20T00:00:00"/>
    <d v="2024-12-18T00:00:00"/>
    <x v="1"/>
    <n v="64"/>
    <n v="0"/>
    <n v="0"/>
    <x v="1"/>
    <b v="1"/>
    <b v="0"/>
    <b v="1"/>
    <x v="0"/>
    <b v="1"/>
  </r>
  <r>
    <s v="S-abff7d"/>
    <s v="A-94f8c9"/>
    <d v="2024-06-26T00:00:00"/>
    <m/>
    <x v="2"/>
    <n v="20"/>
    <n v="0"/>
    <n v="0"/>
    <x v="1"/>
    <b v="0"/>
    <b v="0"/>
    <b v="0"/>
    <x v="1"/>
    <b v="1"/>
  </r>
  <r>
    <s v="S-791c64"/>
    <s v="A-a1b80b"/>
    <d v="2024-11-07T00:00:00"/>
    <m/>
    <x v="1"/>
    <n v="16"/>
    <n v="0"/>
    <n v="0"/>
    <x v="1"/>
    <b v="0"/>
    <b v="0"/>
    <b v="0"/>
    <x v="1"/>
    <b v="1"/>
  </r>
  <r>
    <s v="S-7b7be8"/>
    <s v="A-d42431"/>
    <d v="2024-07-08T00:00:00"/>
    <m/>
    <x v="2"/>
    <n v="91"/>
    <n v="1729"/>
    <n v="20748"/>
    <x v="0"/>
    <b v="0"/>
    <b v="0"/>
    <b v="0"/>
    <x v="0"/>
    <b v="1"/>
  </r>
  <r>
    <s v="S-6055d4"/>
    <s v="A-ce550d"/>
    <d v="2024-11-13T00:00:00"/>
    <m/>
    <x v="0"/>
    <n v="35"/>
    <n v="0"/>
    <n v="0"/>
    <x v="1"/>
    <b v="0"/>
    <b v="0"/>
    <b v="0"/>
    <x v="0"/>
    <b v="1"/>
  </r>
  <r>
    <s v="S-938e4e"/>
    <s v="A-794a0b"/>
    <d v="2024-06-02T00:00:00"/>
    <m/>
    <x v="1"/>
    <n v="23"/>
    <n v="0"/>
    <n v="0"/>
    <x v="1"/>
    <b v="0"/>
    <b v="0"/>
    <b v="0"/>
    <x v="1"/>
    <b v="0"/>
  </r>
  <r>
    <s v="S-1f3254"/>
    <s v="A-4c56c9"/>
    <d v="2024-12-29T00:00:00"/>
    <m/>
    <x v="2"/>
    <n v="18"/>
    <n v="342"/>
    <n v="4104"/>
    <x v="0"/>
    <b v="0"/>
    <b v="0"/>
    <b v="0"/>
    <x v="1"/>
    <b v="1"/>
  </r>
  <r>
    <s v="S-2c4909"/>
    <s v="A-659280"/>
    <d v="2024-05-10T00:00:00"/>
    <m/>
    <x v="2"/>
    <n v="13"/>
    <n v="247"/>
    <n v="2964"/>
    <x v="0"/>
    <b v="0"/>
    <b v="0"/>
    <b v="0"/>
    <x v="0"/>
    <b v="0"/>
  </r>
  <r>
    <s v="S-e143c9"/>
    <s v="A-bd4513"/>
    <d v="2024-12-01T00:00:00"/>
    <m/>
    <x v="1"/>
    <n v="50"/>
    <n v="2450"/>
    <n v="29400"/>
    <x v="0"/>
    <b v="0"/>
    <b v="0"/>
    <b v="0"/>
    <x v="1"/>
    <b v="1"/>
  </r>
  <r>
    <s v="S-c3213f"/>
    <s v="A-1d5444"/>
    <d v="2024-08-02T00:00:00"/>
    <m/>
    <x v="0"/>
    <n v="41"/>
    <n v="8159"/>
    <n v="97908"/>
    <x v="0"/>
    <b v="0"/>
    <b v="0"/>
    <b v="0"/>
    <x v="1"/>
    <b v="0"/>
  </r>
  <r>
    <s v="S-102053"/>
    <s v="A-4e0e85"/>
    <d v="2024-04-10T00:00:00"/>
    <m/>
    <x v="0"/>
    <n v="6"/>
    <n v="1194"/>
    <n v="14328"/>
    <x v="0"/>
    <b v="0"/>
    <b v="0"/>
    <b v="0"/>
    <x v="0"/>
    <b v="1"/>
  </r>
  <r>
    <s v="S-43c2e3"/>
    <s v="A-6f8ad2"/>
    <d v="2024-08-11T00:00:00"/>
    <m/>
    <x v="0"/>
    <n v="35"/>
    <n v="6965"/>
    <n v="83580"/>
    <x v="0"/>
    <b v="1"/>
    <b v="0"/>
    <b v="0"/>
    <x v="0"/>
    <b v="1"/>
  </r>
  <r>
    <s v="S-a2b83d"/>
    <s v="A-cc8c8f"/>
    <d v="2024-07-26T00:00:00"/>
    <m/>
    <x v="2"/>
    <n v="23"/>
    <n v="437"/>
    <n v="5244"/>
    <x v="0"/>
    <b v="0"/>
    <b v="0"/>
    <b v="0"/>
    <x v="1"/>
    <b v="1"/>
  </r>
  <r>
    <s v="S-b6793d"/>
    <s v="A-6f50ae"/>
    <d v="2024-07-19T00:00:00"/>
    <m/>
    <x v="1"/>
    <n v="22"/>
    <n v="1078"/>
    <n v="12936"/>
    <x v="0"/>
    <b v="0"/>
    <b v="0"/>
    <b v="0"/>
    <x v="1"/>
    <b v="0"/>
  </r>
  <r>
    <s v="S-a3a1c1"/>
    <s v="A-f25509"/>
    <d v="2024-10-02T00:00:00"/>
    <m/>
    <x v="1"/>
    <n v="47"/>
    <n v="2303"/>
    <n v="27636"/>
    <x v="0"/>
    <b v="0"/>
    <b v="0"/>
    <b v="0"/>
    <x v="0"/>
    <b v="1"/>
  </r>
  <r>
    <s v="S-260e48"/>
    <s v="A-7f4db3"/>
    <d v="2023-07-16T00:00:00"/>
    <m/>
    <x v="1"/>
    <n v="10"/>
    <n v="490"/>
    <n v="5880"/>
    <x v="0"/>
    <b v="0"/>
    <b v="0"/>
    <b v="0"/>
    <x v="1"/>
    <b v="1"/>
  </r>
  <r>
    <s v="S-e98296"/>
    <s v="A-6f8ad2"/>
    <d v="2024-10-22T00:00:00"/>
    <m/>
    <x v="1"/>
    <n v="16"/>
    <n v="784"/>
    <n v="9408"/>
    <x v="0"/>
    <b v="0"/>
    <b v="1"/>
    <b v="0"/>
    <x v="0"/>
    <b v="1"/>
  </r>
  <r>
    <s v="S-7d55dc"/>
    <s v="A-08e34e"/>
    <d v="2024-09-01T00:00:00"/>
    <m/>
    <x v="0"/>
    <n v="30"/>
    <n v="5970"/>
    <n v="71640"/>
    <x v="0"/>
    <b v="0"/>
    <b v="0"/>
    <b v="0"/>
    <x v="1"/>
    <b v="1"/>
  </r>
  <r>
    <s v="S-d26ff6"/>
    <s v="A-a0ca4e"/>
    <d v="2024-12-01T00:00:00"/>
    <m/>
    <x v="0"/>
    <n v="26"/>
    <n v="5174"/>
    <n v="62088"/>
    <x v="0"/>
    <b v="0"/>
    <b v="0"/>
    <b v="0"/>
    <x v="0"/>
    <b v="1"/>
  </r>
  <r>
    <s v="S-ba8c46"/>
    <s v="A-9f0b68"/>
    <d v="2024-10-16T00:00:00"/>
    <m/>
    <x v="1"/>
    <n v="18"/>
    <n v="882"/>
    <n v="10584"/>
    <x v="0"/>
    <b v="1"/>
    <b v="0"/>
    <b v="0"/>
    <x v="0"/>
    <b v="1"/>
  </r>
  <r>
    <s v="S-992c2a"/>
    <s v="A-d922bf"/>
    <d v="2024-08-11T00:00:00"/>
    <m/>
    <x v="0"/>
    <n v="26"/>
    <n v="0"/>
    <n v="0"/>
    <x v="1"/>
    <b v="0"/>
    <b v="0"/>
    <b v="0"/>
    <x v="0"/>
    <b v="1"/>
  </r>
  <r>
    <s v="S-19f899"/>
    <s v="A-331424"/>
    <d v="2024-05-01T00:00:00"/>
    <m/>
    <x v="0"/>
    <n v="11"/>
    <n v="2189"/>
    <n v="26268"/>
    <x v="0"/>
    <b v="0"/>
    <b v="0"/>
    <b v="0"/>
    <x v="1"/>
    <b v="0"/>
  </r>
  <r>
    <s v="S-b95751"/>
    <s v="A-02cd81"/>
    <d v="2024-04-24T00:00:00"/>
    <m/>
    <x v="2"/>
    <n v="44"/>
    <n v="0"/>
    <n v="0"/>
    <x v="1"/>
    <b v="0"/>
    <b v="0"/>
    <b v="0"/>
    <x v="0"/>
    <b v="1"/>
  </r>
  <r>
    <s v="S-d74a31"/>
    <s v="A-993085"/>
    <d v="2024-09-23T00:00:00"/>
    <m/>
    <x v="1"/>
    <n v="33"/>
    <n v="1617"/>
    <n v="19404"/>
    <x v="0"/>
    <b v="0"/>
    <b v="0"/>
    <b v="0"/>
    <x v="0"/>
    <b v="1"/>
  </r>
  <r>
    <s v="S-676254"/>
    <s v="A-854864"/>
    <d v="2024-12-31T00:00:00"/>
    <m/>
    <x v="1"/>
    <n v="20"/>
    <n v="980"/>
    <n v="11760"/>
    <x v="0"/>
    <b v="0"/>
    <b v="0"/>
    <b v="0"/>
    <x v="1"/>
    <b v="1"/>
  </r>
  <r>
    <s v="S-3ad7c4"/>
    <s v="A-f17767"/>
    <d v="2024-01-03T00:00:00"/>
    <d v="2024-01-28T00:00:00"/>
    <x v="1"/>
    <n v="11"/>
    <n v="539"/>
    <n v="6468"/>
    <x v="0"/>
    <b v="1"/>
    <b v="0"/>
    <b v="1"/>
    <x v="0"/>
    <b v="1"/>
  </r>
  <r>
    <s v="S-96fb48"/>
    <s v="A-1f7acb"/>
    <d v="2024-08-27T00:00:00"/>
    <m/>
    <x v="1"/>
    <n v="64"/>
    <n v="3136"/>
    <n v="37632"/>
    <x v="0"/>
    <b v="0"/>
    <b v="1"/>
    <b v="0"/>
    <x v="0"/>
    <b v="1"/>
  </r>
  <r>
    <s v="S-afea79"/>
    <s v="A-05f0e5"/>
    <d v="2024-08-16T00:00:00"/>
    <m/>
    <x v="1"/>
    <n v="32"/>
    <n v="1568"/>
    <n v="18816"/>
    <x v="0"/>
    <b v="1"/>
    <b v="0"/>
    <b v="0"/>
    <x v="1"/>
    <b v="0"/>
  </r>
  <r>
    <s v="S-c8a983"/>
    <s v="A-2d4502"/>
    <d v="2024-12-04T00:00:00"/>
    <m/>
    <x v="1"/>
    <n v="12"/>
    <n v="588"/>
    <n v="7056"/>
    <x v="0"/>
    <b v="0"/>
    <b v="0"/>
    <b v="0"/>
    <x v="1"/>
    <b v="0"/>
  </r>
  <r>
    <s v="S-e3c3c8"/>
    <s v="A-856b1e"/>
    <d v="2023-12-30T00:00:00"/>
    <m/>
    <x v="1"/>
    <n v="25"/>
    <n v="1225"/>
    <n v="14700"/>
    <x v="0"/>
    <b v="1"/>
    <b v="0"/>
    <b v="0"/>
    <x v="0"/>
    <b v="0"/>
  </r>
  <r>
    <s v="S-020222"/>
    <s v="A-02fac6"/>
    <d v="2024-05-23T00:00:00"/>
    <m/>
    <x v="1"/>
    <n v="22"/>
    <n v="1078"/>
    <n v="12936"/>
    <x v="0"/>
    <b v="0"/>
    <b v="0"/>
    <b v="0"/>
    <x v="0"/>
    <b v="1"/>
  </r>
  <r>
    <s v="S-65c079"/>
    <s v="A-417d2f"/>
    <d v="2023-07-04T00:00:00"/>
    <m/>
    <x v="2"/>
    <n v="5"/>
    <n v="95"/>
    <n v="1140"/>
    <x v="0"/>
    <b v="0"/>
    <b v="0"/>
    <b v="0"/>
    <x v="1"/>
    <b v="1"/>
  </r>
  <r>
    <s v="S-056af2"/>
    <s v="A-054577"/>
    <d v="2024-09-05T00:00:00"/>
    <m/>
    <x v="0"/>
    <n v="75"/>
    <n v="14925"/>
    <n v="179100"/>
    <x v="0"/>
    <b v="0"/>
    <b v="0"/>
    <b v="0"/>
    <x v="0"/>
    <b v="1"/>
  </r>
  <r>
    <s v="S-09761d"/>
    <s v="A-6843f2"/>
    <d v="2024-12-31T00:00:00"/>
    <m/>
    <x v="1"/>
    <n v="23"/>
    <n v="1127"/>
    <n v="13524"/>
    <x v="0"/>
    <b v="0"/>
    <b v="0"/>
    <b v="0"/>
    <x v="1"/>
    <b v="1"/>
  </r>
  <r>
    <s v="S-a7d379"/>
    <s v="A-702032"/>
    <d v="2024-11-28T00:00:00"/>
    <m/>
    <x v="2"/>
    <n v="28"/>
    <n v="532"/>
    <n v="6384"/>
    <x v="0"/>
    <b v="0"/>
    <b v="0"/>
    <b v="0"/>
    <x v="0"/>
    <b v="1"/>
  </r>
  <r>
    <s v="S-a903ad"/>
    <s v="A-59f724"/>
    <d v="2024-06-22T00:00:00"/>
    <m/>
    <x v="1"/>
    <n v="27"/>
    <n v="1323"/>
    <n v="15876"/>
    <x v="0"/>
    <b v="0"/>
    <b v="0"/>
    <b v="0"/>
    <x v="1"/>
    <b v="1"/>
  </r>
  <r>
    <s v="S-de3416"/>
    <s v="A-0dbdc6"/>
    <d v="2024-12-15T00:00:00"/>
    <m/>
    <x v="1"/>
    <n v="47"/>
    <n v="2303"/>
    <n v="27636"/>
    <x v="0"/>
    <b v="0"/>
    <b v="0"/>
    <b v="0"/>
    <x v="1"/>
    <b v="1"/>
  </r>
  <r>
    <s v="S-9161b0"/>
    <s v="A-4d1e75"/>
    <d v="2024-09-14T00:00:00"/>
    <m/>
    <x v="0"/>
    <n v="62"/>
    <n v="12338"/>
    <n v="148056"/>
    <x v="0"/>
    <b v="1"/>
    <b v="0"/>
    <b v="0"/>
    <x v="0"/>
    <b v="1"/>
  </r>
  <r>
    <s v="S-f3274c"/>
    <s v="A-43a9e3"/>
    <d v="2024-02-07T00:00:00"/>
    <m/>
    <x v="1"/>
    <n v="18"/>
    <n v="882"/>
    <n v="10584"/>
    <x v="0"/>
    <b v="0"/>
    <b v="0"/>
    <b v="0"/>
    <x v="1"/>
    <b v="0"/>
  </r>
  <r>
    <s v="S-2991c7"/>
    <s v="A-443b7c"/>
    <d v="2024-11-11T00:00:00"/>
    <m/>
    <x v="1"/>
    <n v="38"/>
    <n v="1862"/>
    <n v="22344"/>
    <x v="0"/>
    <b v="0"/>
    <b v="0"/>
    <b v="0"/>
    <x v="0"/>
    <b v="1"/>
  </r>
  <r>
    <s v="S-239a39"/>
    <s v="A-30b4ca"/>
    <d v="2024-07-01T00:00:00"/>
    <m/>
    <x v="1"/>
    <n v="86"/>
    <n v="4214"/>
    <n v="50568"/>
    <x v="0"/>
    <b v="0"/>
    <b v="0"/>
    <b v="0"/>
    <x v="0"/>
    <b v="1"/>
  </r>
  <r>
    <s v="S-19f80d"/>
    <s v="A-d62e02"/>
    <d v="2024-12-02T00:00:00"/>
    <m/>
    <x v="2"/>
    <n v="32"/>
    <n v="608"/>
    <n v="7296"/>
    <x v="0"/>
    <b v="0"/>
    <b v="0"/>
    <b v="0"/>
    <x v="1"/>
    <b v="1"/>
  </r>
  <r>
    <s v="S-13c8b6"/>
    <s v="A-89ee83"/>
    <d v="2024-10-29T00:00:00"/>
    <m/>
    <x v="2"/>
    <n v="27"/>
    <n v="513"/>
    <n v="6156"/>
    <x v="0"/>
    <b v="0"/>
    <b v="0"/>
    <b v="0"/>
    <x v="0"/>
    <b v="1"/>
  </r>
  <r>
    <s v="S-d5a07a"/>
    <s v="A-19b2c8"/>
    <d v="2024-07-12T00:00:00"/>
    <m/>
    <x v="2"/>
    <n v="24"/>
    <n v="456"/>
    <n v="5472"/>
    <x v="0"/>
    <b v="0"/>
    <b v="0"/>
    <b v="0"/>
    <x v="1"/>
    <b v="1"/>
  </r>
  <r>
    <s v="S-e5ba1c"/>
    <s v="A-39868b"/>
    <d v="2024-06-22T00:00:00"/>
    <m/>
    <x v="0"/>
    <n v="9"/>
    <n v="1791"/>
    <n v="21492"/>
    <x v="0"/>
    <b v="0"/>
    <b v="0"/>
    <b v="0"/>
    <x v="1"/>
    <b v="1"/>
  </r>
  <r>
    <s v="S-e2793d"/>
    <s v="A-4c38bc"/>
    <d v="2024-10-07T00:00:00"/>
    <m/>
    <x v="2"/>
    <n v="36"/>
    <n v="684"/>
    <n v="8208"/>
    <x v="0"/>
    <b v="0"/>
    <b v="0"/>
    <b v="0"/>
    <x v="0"/>
    <b v="1"/>
  </r>
  <r>
    <s v="S-a37653"/>
    <s v="A-812c5b"/>
    <d v="2024-10-12T00:00:00"/>
    <m/>
    <x v="1"/>
    <n v="55"/>
    <n v="2695"/>
    <n v="32340"/>
    <x v="0"/>
    <b v="0"/>
    <b v="0"/>
    <b v="0"/>
    <x v="0"/>
    <b v="0"/>
  </r>
  <r>
    <s v="S-0b25d7"/>
    <s v="A-0e966d"/>
    <d v="2024-10-30T00:00:00"/>
    <m/>
    <x v="2"/>
    <n v="22"/>
    <n v="418"/>
    <n v="5016"/>
    <x v="0"/>
    <b v="0"/>
    <b v="0"/>
    <b v="0"/>
    <x v="0"/>
    <b v="1"/>
  </r>
  <r>
    <s v="S-75c1b4"/>
    <s v="A-5a3eb9"/>
    <d v="2024-12-10T00:00:00"/>
    <d v="2024-12-28T00:00:00"/>
    <x v="1"/>
    <n v="18"/>
    <n v="882"/>
    <n v="10584"/>
    <x v="0"/>
    <b v="0"/>
    <b v="0"/>
    <b v="1"/>
    <x v="1"/>
    <b v="1"/>
  </r>
  <r>
    <s v="S-7262b9"/>
    <s v="A-4a4c2d"/>
    <d v="2024-10-03T00:00:00"/>
    <m/>
    <x v="2"/>
    <n v="54"/>
    <n v="1026"/>
    <n v="12312"/>
    <x v="0"/>
    <b v="0"/>
    <b v="0"/>
    <b v="0"/>
    <x v="0"/>
    <b v="1"/>
  </r>
  <r>
    <s v="S-6c6e62"/>
    <s v="A-5fe118"/>
    <d v="2024-12-29T00:00:00"/>
    <m/>
    <x v="2"/>
    <n v="39"/>
    <n v="0"/>
    <n v="0"/>
    <x v="1"/>
    <b v="0"/>
    <b v="0"/>
    <b v="0"/>
    <x v="0"/>
    <b v="1"/>
  </r>
  <r>
    <s v="S-add03a"/>
    <s v="A-0cc442"/>
    <d v="2024-12-18T00:00:00"/>
    <m/>
    <x v="0"/>
    <n v="45"/>
    <n v="8955"/>
    <n v="107460"/>
    <x v="0"/>
    <b v="0"/>
    <b v="0"/>
    <b v="0"/>
    <x v="1"/>
    <b v="1"/>
  </r>
  <r>
    <s v="S-648e54"/>
    <s v="A-993085"/>
    <d v="2024-06-28T00:00:00"/>
    <m/>
    <x v="1"/>
    <n v="31"/>
    <n v="1519"/>
    <n v="18228"/>
    <x v="0"/>
    <b v="1"/>
    <b v="0"/>
    <b v="0"/>
    <x v="0"/>
    <b v="1"/>
  </r>
  <r>
    <s v="S-01bbfe"/>
    <s v="A-50f3f7"/>
    <d v="2024-07-12T00:00:00"/>
    <m/>
    <x v="1"/>
    <n v="31"/>
    <n v="1519"/>
    <n v="18228"/>
    <x v="0"/>
    <b v="0"/>
    <b v="0"/>
    <b v="0"/>
    <x v="1"/>
    <b v="1"/>
  </r>
  <r>
    <s v="S-6c9dc9"/>
    <s v="A-de24d5"/>
    <d v="2024-12-26T00:00:00"/>
    <m/>
    <x v="2"/>
    <n v="10"/>
    <n v="190"/>
    <n v="2280"/>
    <x v="0"/>
    <b v="0"/>
    <b v="0"/>
    <b v="0"/>
    <x v="0"/>
    <b v="1"/>
  </r>
  <r>
    <s v="S-826424"/>
    <s v="A-fa2041"/>
    <d v="2024-10-30T00:00:00"/>
    <m/>
    <x v="0"/>
    <n v="18"/>
    <n v="3582"/>
    <n v="42984"/>
    <x v="0"/>
    <b v="0"/>
    <b v="0"/>
    <b v="0"/>
    <x v="1"/>
    <b v="1"/>
  </r>
  <r>
    <s v="S-e64c2b"/>
    <s v="A-c16b88"/>
    <d v="2024-11-25T00:00:00"/>
    <m/>
    <x v="0"/>
    <n v="23"/>
    <n v="4577"/>
    <n v="54924"/>
    <x v="0"/>
    <b v="1"/>
    <b v="0"/>
    <b v="0"/>
    <x v="1"/>
    <b v="0"/>
  </r>
  <r>
    <s v="S-c693b6"/>
    <s v="A-d4ac0e"/>
    <d v="2024-08-09T00:00:00"/>
    <m/>
    <x v="2"/>
    <n v="27"/>
    <n v="513"/>
    <n v="6156"/>
    <x v="0"/>
    <b v="1"/>
    <b v="0"/>
    <b v="0"/>
    <x v="0"/>
    <b v="0"/>
  </r>
  <r>
    <s v="S-096065"/>
    <s v="A-2b9d3e"/>
    <d v="2024-03-27T00:00:00"/>
    <m/>
    <x v="0"/>
    <n v="11"/>
    <n v="0"/>
    <n v="0"/>
    <x v="1"/>
    <b v="0"/>
    <b v="0"/>
    <b v="0"/>
    <x v="1"/>
    <b v="1"/>
  </r>
  <r>
    <s v="S-d449e1"/>
    <s v="A-ccabf0"/>
    <d v="2024-10-15T00:00:00"/>
    <d v="2024-11-06T00:00:00"/>
    <x v="2"/>
    <n v="25"/>
    <n v="0"/>
    <n v="0"/>
    <x v="1"/>
    <b v="0"/>
    <b v="0"/>
    <b v="1"/>
    <x v="1"/>
    <b v="1"/>
  </r>
  <r>
    <s v="S-592c0d"/>
    <s v="A-a7bd4b"/>
    <d v="2023-06-13T00:00:00"/>
    <m/>
    <x v="1"/>
    <n v="5"/>
    <n v="0"/>
    <n v="0"/>
    <x v="1"/>
    <b v="0"/>
    <b v="0"/>
    <b v="0"/>
    <x v="1"/>
    <b v="1"/>
  </r>
  <r>
    <s v="S-ab24c6"/>
    <s v="A-4e631b"/>
    <d v="2024-10-15T00:00:00"/>
    <m/>
    <x v="0"/>
    <n v="22"/>
    <n v="4378"/>
    <n v="52536"/>
    <x v="0"/>
    <b v="0"/>
    <b v="1"/>
    <b v="0"/>
    <x v="1"/>
    <b v="1"/>
  </r>
  <r>
    <s v="S-e32b34"/>
    <s v="A-4c56c9"/>
    <d v="2024-07-23T00:00:00"/>
    <m/>
    <x v="2"/>
    <n v="12"/>
    <n v="228"/>
    <n v="2736"/>
    <x v="0"/>
    <b v="0"/>
    <b v="0"/>
    <b v="0"/>
    <x v="0"/>
    <b v="1"/>
  </r>
  <r>
    <s v="S-191550"/>
    <s v="A-6c093d"/>
    <d v="2024-05-08T00:00:00"/>
    <m/>
    <x v="2"/>
    <n v="15"/>
    <n v="285"/>
    <n v="3420"/>
    <x v="0"/>
    <b v="1"/>
    <b v="0"/>
    <b v="0"/>
    <x v="0"/>
    <b v="1"/>
  </r>
  <r>
    <s v="S-c65c8b"/>
    <s v="A-bc4d48"/>
    <d v="2024-06-26T00:00:00"/>
    <m/>
    <x v="2"/>
    <n v="35"/>
    <n v="665"/>
    <n v="7980"/>
    <x v="0"/>
    <b v="0"/>
    <b v="0"/>
    <b v="0"/>
    <x v="1"/>
    <b v="0"/>
  </r>
  <r>
    <s v="S-39e88c"/>
    <s v="A-3b37d9"/>
    <d v="2023-07-10T00:00:00"/>
    <m/>
    <x v="1"/>
    <n v="23"/>
    <n v="1127"/>
    <n v="13524"/>
    <x v="0"/>
    <b v="0"/>
    <b v="0"/>
    <b v="0"/>
    <x v="1"/>
    <b v="1"/>
  </r>
  <r>
    <s v="S-9a08ff"/>
    <s v="A-a1bbb6"/>
    <d v="2023-06-07T00:00:00"/>
    <m/>
    <x v="0"/>
    <n v="16"/>
    <n v="3184"/>
    <n v="38208"/>
    <x v="0"/>
    <b v="0"/>
    <b v="0"/>
    <b v="0"/>
    <x v="1"/>
    <b v="0"/>
  </r>
  <r>
    <s v="S-95d15a"/>
    <s v="A-9289f6"/>
    <d v="2024-12-05T00:00:00"/>
    <m/>
    <x v="2"/>
    <n v="13"/>
    <n v="247"/>
    <n v="2964"/>
    <x v="0"/>
    <b v="0"/>
    <b v="0"/>
    <b v="0"/>
    <x v="1"/>
    <b v="1"/>
  </r>
  <r>
    <s v="S-7c5f3b"/>
    <s v="A-1e1b80"/>
    <d v="2024-04-30T00:00:00"/>
    <m/>
    <x v="2"/>
    <n v="50"/>
    <n v="950"/>
    <n v="11400"/>
    <x v="0"/>
    <b v="0"/>
    <b v="0"/>
    <b v="0"/>
    <x v="0"/>
    <b v="1"/>
  </r>
  <r>
    <s v="S-70af60"/>
    <s v="A-0354fe"/>
    <d v="2024-12-10T00:00:00"/>
    <m/>
    <x v="2"/>
    <n v="34"/>
    <n v="0"/>
    <n v="0"/>
    <x v="1"/>
    <b v="0"/>
    <b v="0"/>
    <b v="0"/>
    <x v="1"/>
    <b v="1"/>
  </r>
  <r>
    <s v="S-175429"/>
    <s v="A-b54c01"/>
    <d v="2024-12-23T00:00:00"/>
    <m/>
    <x v="2"/>
    <n v="29"/>
    <n v="551"/>
    <n v="6612"/>
    <x v="0"/>
    <b v="0"/>
    <b v="0"/>
    <b v="0"/>
    <x v="1"/>
    <b v="0"/>
  </r>
  <r>
    <s v="S-d36b9f"/>
    <s v="A-0cc442"/>
    <d v="2024-11-01T00:00:00"/>
    <m/>
    <x v="0"/>
    <n v="45"/>
    <n v="8955"/>
    <n v="107460"/>
    <x v="0"/>
    <b v="0"/>
    <b v="0"/>
    <b v="0"/>
    <x v="1"/>
    <b v="0"/>
  </r>
  <r>
    <s v="S-65071f"/>
    <s v="A-b9f5b1"/>
    <d v="2024-08-11T00:00:00"/>
    <m/>
    <x v="2"/>
    <n v="43"/>
    <n v="817"/>
    <n v="9804"/>
    <x v="0"/>
    <b v="0"/>
    <b v="0"/>
    <b v="0"/>
    <x v="0"/>
    <b v="1"/>
  </r>
  <r>
    <s v="S-ab63e3"/>
    <s v="A-0354fe"/>
    <d v="2024-11-23T00:00:00"/>
    <m/>
    <x v="2"/>
    <n v="34"/>
    <n v="646"/>
    <n v="7752"/>
    <x v="0"/>
    <b v="0"/>
    <b v="0"/>
    <b v="0"/>
    <x v="1"/>
    <b v="1"/>
  </r>
  <r>
    <s v="S-260d1e"/>
    <s v="A-337bc1"/>
    <d v="2024-03-05T00:00:00"/>
    <m/>
    <x v="0"/>
    <n v="31"/>
    <n v="6169"/>
    <n v="74028"/>
    <x v="0"/>
    <b v="0"/>
    <b v="0"/>
    <b v="0"/>
    <x v="1"/>
    <b v="1"/>
  </r>
  <r>
    <s v="S-bdc6b7"/>
    <s v="A-7f29a7"/>
    <d v="2024-12-02T00:00:00"/>
    <d v="2024-12-25T00:00:00"/>
    <x v="0"/>
    <n v="41"/>
    <n v="8159"/>
    <n v="97908"/>
    <x v="0"/>
    <b v="0"/>
    <b v="0"/>
    <b v="1"/>
    <x v="0"/>
    <b v="0"/>
  </r>
  <r>
    <s v="S-1c3522"/>
    <s v="A-075038"/>
    <d v="2023-11-26T00:00:00"/>
    <m/>
    <x v="1"/>
    <n v="17"/>
    <n v="0"/>
    <n v="0"/>
    <x v="1"/>
    <b v="0"/>
    <b v="0"/>
    <b v="0"/>
    <x v="1"/>
    <b v="1"/>
  </r>
  <r>
    <s v="S-891ad9"/>
    <s v="A-7988d1"/>
    <d v="2024-12-03T00:00:00"/>
    <m/>
    <x v="2"/>
    <n v="33"/>
    <n v="0"/>
    <n v="0"/>
    <x v="1"/>
    <b v="0"/>
    <b v="0"/>
    <b v="0"/>
    <x v="0"/>
    <b v="1"/>
  </r>
  <r>
    <s v="S-2c1ca6"/>
    <s v="A-118f1c"/>
    <d v="2024-11-11T00:00:00"/>
    <m/>
    <x v="0"/>
    <n v="32"/>
    <n v="6368"/>
    <n v="76416"/>
    <x v="0"/>
    <b v="0"/>
    <b v="0"/>
    <b v="0"/>
    <x v="0"/>
    <b v="0"/>
  </r>
  <r>
    <s v="S-11066a"/>
    <s v="A-779e4e"/>
    <d v="2023-02-12T00:00:00"/>
    <d v="2023-11-24T00:00:00"/>
    <x v="1"/>
    <n v="19"/>
    <n v="931"/>
    <n v="11172"/>
    <x v="0"/>
    <b v="0"/>
    <b v="0"/>
    <b v="1"/>
    <x v="1"/>
    <b v="1"/>
  </r>
  <r>
    <s v="S-f4db1d"/>
    <s v="A-526d93"/>
    <d v="2024-07-05T00:00:00"/>
    <m/>
    <x v="0"/>
    <n v="43"/>
    <n v="0"/>
    <n v="0"/>
    <x v="1"/>
    <b v="0"/>
    <b v="0"/>
    <b v="0"/>
    <x v="1"/>
    <b v="1"/>
  </r>
  <r>
    <s v="S-45baa6"/>
    <s v="A-0a282f"/>
    <d v="2024-10-08T00:00:00"/>
    <m/>
    <x v="1"/>
    <n v="4"/>
    <n v="196"/>
    <n v="2352"/>
    <x v="0"/>
    <b v="0"/>
    <b v="0"/>
    <b v="0"/>
    <x v="0"/>
    <b v="1"/>
  </r>
  <r>
    <s v="S-f74ac6"/>
    <s v="A-684255"/>
    <d v="2024-07-01T00:00:00"/>
    <m/>
    <x v="1"/>
    <n v="9"/>
    <n v="441"/>
    <n v="5292"/>
    <x v="0"/>
    <b v="0"/>
    <b v="0"/>
    <b v="0"/>
    <x v="0"/>
    <b v="1"/>
  </r>
  <r>
    <s v="S-bc1457"/>
    <s v="A-69b156"/>
    <d v="2024-10-06T00:00:00"/>
    <m/>
    <x v="0"/>
    <n v="7"/>
    <n v="1393"/>
    <n v="16716"/>
    <x v="0"/>
    <b v="0"/>
    <b v="1"/>
    <b v="0"/>
    <x v="1"/>
    <b v="1"/>
  </r>
  <r>
    <s v="S-b8daaa"/>
    <s v="A-4bfa33"/>
    <d v="2024-12-25T00:00:00"/>
    <m/>
    <x v="0"/>
    <n v="8"/>
    <n v="0"/>
    <n v="0"/>
    <x v="1"/>
    <b v="0"/>
    <b v="0"/>
    <b v="0"/>
    <x v="1"/>
    <b v="1"/>
  </r>
  <r>
    <s v="S-49aa80"/>
    <s v="A-a45270"/>
    <d v="2024-12-22T00:00:00"/>
    <d v="2024-12-30T00:00:00"/>
    <x v="1"/>
    <n v="3"/>
    <n v="147"/>
    <n v="1764"/>
    <x v="0"/>
    <b v="0"/>
    <b v="1"/>
    <b v="1"/>
    <x v="0"/>
    <b v="1"/>
  </r>
  <r>
    <s v="S-9740c1"/>
    <s v="A-9f0b68"/>
    <d v="2024-06-14T00:00:00"/>
    <m/>
    <x v="0"/>
    <n v="10"/>
    <n v="1990"/>
    <n v="23880"/>
    <x v="0"/>
    <b v="0"/>
    <b v="0"/>
    <b v="0"/>
    <x v="0"/>
    <b v="1"/>
  </r>
  <r>
    <s v="S-d6c9dc"/>
    <s v="A-80eeb6"/>
    <d v="2024-10-07T00:00:00"/>
    <m/>
    <x v="2"/>
    <n v="27"/>
    <n v="513"/>
    <n v="6156"/>
    <x v="0"/>
    <b v="0"/>
    <b v="0"/>
    <b v="0"/>
    <x v="1"/>
    <b v="1"/>
  </r>
  <r>
    <s v="S-1e8c9e"/>
    <s v="A-c37cab"/>
    <d v="2024-12-13T00:00:00"/>
    <m/>
    <x v="1"/>
    <n v="13"/>
    <n v="637"/>
    <n v="7644"/>
    <x v="0"/>
    <b v="0"/>
    <b v="0"/>
    <b v="0"/>
    <x v="0"/>
    <b v="1"/>
  </r>
  <r>
    <s v="S-4c0b7b"/>
    <s v="A-e60f9d"/>
    <d v="2024-10-21T00:00:00"/>
    <m/>
    <x v="2"/>
    <n v="60"/>
    <n v="1140"/>
    <n v="13680"/>
    <x v="0"/>
    <b v="0"/>
    <b v="1"/>
    <b v="0"/>
    <x v="1"/>
    <b v="1"/>
  </r>
  <r>
    <s v="S-e7b281"/>
    <s v="A-86902e"/>
    <d v="2024-05-05T00:00:00"/>
    <m/>
    <x v="1"/>
    <n v="34"/>
    <n v="1666"/>
    <n v="19992"/>
    <x v="0"/>
    <b v="0"/>
    <b v="0"/>
    <b v="0"/>
    <x v="0"/>
    <b v="1"/>
  </r>
  <r>
    <s v="S-761a0f"/>
    <s v="A-d792a6"/>
    <d v="2024-10-17T00:00:00"/>
    <m/>
    <x v="0"/>
    <n v="65"/>
    <n v="12935"/>
    <n v="155220"/>
    <x v="0"/>
    <b v="0"/>
    <b v="0"/>
    <b v="0"/>
    <x v="1"/>
    <b v="1"/>
  </r>
  <r>
    <s v="S-859ee0"/>
    <s v="A-8bde0c"/>
    <d v="2024-12-26T00:00:00"/>
    <m/>
    <x v="0"/>
    <n v="28"/>
    <n v="5572"/>
    <n v="66864"/>
    <x v="0"/>
    <b v="0"/>
    <b v="0"/>
    <b v="0"/>
    <x v="0"/>
    <b v="1"/>
  </r>
  <r>
    <s v="S-924925"/>
    <s v="A-4d1e75"/>
    <d v="2024-11-17T00:00:00"/>
    <m/>
    <x v="1"/>
    <n v="31"/>
    <n v="1519"/>
    <n v="18228"/>
    <x v="0"/>
    <b v="0"/>
    <b v="0"/>
    <b v="0"/>
    <x v="0"/>
    <b v="0"/>
  </r>
  <r>
    <s v="S-c55cbb"/>
    <s v="A-798a3f"/>
    <d v="2024-09-11T00:00:00"/>
    <m/>
    <x v="0"/>
    <n v="12"/>
    <n v="0"/>
    <n v="0"/>
    <x v="1"/>
    <b v="0"/>
    <b v="0"/>
    <b v="0"/>
    <x v="0"/>
    <b v="1"/>
  </r>
  <r>
    <s v="S-872bdd"/>
    <s v="A-d3c88e"/>
    <d v="2024-10-23T00:00:00"/>
    <m/>
    <x v="0"/>
    <n v="16"/>
    <n v="3184"/>
    <n v="38208"/>
    <x v="0"/>
    <b v="0"/>
    <b v="0"/>
    <b v="0"/>
    <x v="1"/>
    <b v="1"/>
  </r>
  <r>
    <s v="S-bf9b37"/>
    <s v="A-692f18"/>
    <d v="2024-05-25T00:00:00"/>
    <m/>
    <x v="1"/>
    <n v="6"/>
    <n v="294"/>
    <n v="3528"/>
    <x v="0"/>
    <b v="0"/>
    <b v="0"/>
    <b v="0"/>
    <x v="1"/>
    <b v="1"/>
  </r>
  <r>
    <s v="S-51924b"/>
    <s v="A-67be94"/>
    <d v="2024-01-18T00:00:00"/>
    <m/>
    <x v="2"/>
    <n v="62"/>
    <n v="1178"/>
    <n v="14136"/>
    <x v="0"/>
    <b v="0"/>
    <b v="0"/>
    <b v="0"/>
    <x v="1"/>
    <b v="1"/>
  </r>
  <r>
    <s v="S-b03125"/>
    <s v="A-fd9422"/>
    <d v="2024-12-20T00:00:00"/>
    <m/>
    <x v="1"/>
    <n v="58"/>
    <n v="2842"/>
    <n v="34104"/>
    <x v="0"/>
    <b v="0"/>
    <b v="1"/>
    <b v="0"/>
    <x v="1"/>
    <b v="1"/>
  </r>
  <r>
    <s v="S-02ab8b"/>
    <s v="A-4e44e8"/>
    <d v="2024-11-03T00:00:00"/>
    <m/>
    <x v="0"/>
    <n v="75"/>
    <n v="14925"/>
    <n v="179100"/>
    <x v="0"/>
    <b v="0"/>
    <b v="0"/>
    <b v="0"/>
    <x v="0"/>
    <b v="1"/>
  </r>
  <r>
    <s v="S-de5d6e"/>
    <s v="A-e36807"/>
    <d v="2024-09-25T00:00:00"/>
    <m/>
    <x v="2"/>
    <n v="26"/>
    <n v="494"/>
    <n v="5928"/>
    <x v="0"/>
    <b v="0"/>
    <b v="0"/>
    <b v="0"/>
    <x v="0"/>
    <b v="1"/>
  </r>
  <r>
    <s v="S-e1fa5b"/>
    <s v="A-157070"/>
    <d v="2024-12-08T00:00:00"/>
    <d v="2024-12-25T00:00:00"/>
    <x v="0"/>
    <n v="16"/>
    <n v="3184"/>
    <n v="38208"/>
    <x v="0"/>
    <b v="0"/>
    <b v="0"/>
    <b v="1"/>
    <x v="0"/>
    <b v="1"/>
  </r>
  <r>
    <s v="S-b41494"/>
    <s v="A-b7724f"/>
    <d v="2023-06-03T00:00:00"/>
    <m/>
    <x v="2"/>
    <n v="33"/>
    <n v="627"/>
    <n v="7524"/>
    <x v="0"/>
    <b v="0"/>
    <b v="0"/>
    <b v="0"/>
    <x v="0"/>
    <b v="1"/>
  </r>
  <r>
    <s v="S-d7ccbd"/>
    <s v="A-db5e9e"/>
    <d v="2024-12-22T00:00:00"/>
    <m/>
    <x v="1"/>
    <n v="40"/>
    <n v="0"/>
    <n v="0"/>
    <x v="1"/>
    <b v="0"/>
    <b v="0"/>
    <b v="0"/>
    <x v="0"/>
    <b v="1"/>
  </r>
  <r>
    <s v="S-34f2f9"/>
    <s v="A-f19409"/>
    <d v="2024-09-16T00:00:00"/>
    <m/>
    <x v="0"/>
    <n v="23"/>
    <n v="4577"/>
    <n v="54924"/>
    <x v="0"/>
    <b v="0"/>
    <b v="0"/>
    <b v="0"/>
    <x v="1"/>
    <b v="1"/>
  </r>
  <r>
    <s v="S-54d2a3"/>
    <s v="A-712f1c"/>
    <d v="2024-01-21T00:00:00"/>
    <m/>
    <x v="0"/>
    <n v="17"/>
    <n v="3383"/>
    <n v="40596"/>
    <x v="0"/>
    <b v="0"/>
    <b v="0"/>
    <b v="0"/>
    <x v="0"/>
    <b v="1"/>
  </r>
  <r>
    <s v="S-d1350e"/>
    <s v="A-6c093d"/>
    <d v="2024-07-27T00:00:00"/>
    <m/>
    <x v="0"/>
    <n v="61"/>
    <n v="12139"/>
    <n v="145668"/>
    <x v="0"/>
    <b v="0"/>
    <b v="0"/>
    <b v="0"/>
    <x v="1"/>
    <b v="1"/>
  </r>
  <r>
    <s v="S-e76e80"/>
    <s v="A-832ec2"/>
    <d v="2024-01-02T00:00:00"/>
    <m/>
    <x v="2"/>
    <n v="25"/>
    <n v="0"/>
    <n v="0"/>
    <x v="1"/>
    <b v="0"/>
    <b v="0"/>
    <b v="0"/>
    <x v="0"/>
    <b v="1"/>
  </r>
  <r>
    <s v="S-f4097a"/>
    <s v="A-faa28c"/>
    <d v="2024-06-06T00:00:00"/>
    <m/>
    <x v="0"/>
    <n v="48"/>
    <n v="9552"/>
    <n v="114624"/>
    <x v="0"/>
    <b v="0"/>
    <b v="0"/>
    <b v="0"/>
    <x v="0"/>
    <b v="0"/>
  </r>
  <r>
    <s v="S-d4f02f"/>
    <s v="A-342303"/>
    <d v="2024-07-10T00:00:00"/>
    <m/>
    <x v="1"/>
    <n v="28"/>
    <n v="1372"/>
    <n v="16464"/>
    <x v="0"/>
    <b v="0"/>
    <b v="0"/>
    <b v="0"/>
    <x v="1"/>
    <b v="1"/>
  </r>
  <r>
    <s v="S-bf3403"/>
    <s v="A-0cc442"/>
    <d v="2024-11-10T00:00:00"/>
    <m/>
    <x v="0"/>
    <n v="45"/>
    <n v="8955"/>
    <n v="107460"/>
    <x v="0"/>
    <b v="0"/>
    <b v="0"/>
    <b v="0"/>
    <x v="1"/>
    <b v="0"/>
  </r>
  <r>
    <s v="S-0a83cc"/>
    <s v="A-d922bf"/>
    <d v="2024-02-16T00:00:00"/>
    <m/>
    <x v="2"/>
    <n v="5"/>
    <n v="0"/>
    <n v="0"/>
    <x v="1"/>
    <b v="0"/>
    <b v="0"/>
    <b v="0"/>
    <x v="1"/>
    <b v="1"/>
  </r>
  <r>
    <s v="S-1a9fb7"/>
    <s v="A-b30291"/>
    <d v="2024-06-04T00:00:00"/>
    <m/>
    <x v="0"/>
    <n v="16"/>
    <n v="3184"/>
    <n v="38208"/>
    <x v="0"/>
    <b v="0"/>
    <b v="0"/>
    <b v="0"/>
    <x v="0"/>
    <b v="1"/>
  </r>
  <r>
    <s v="S-1a3627"/>
    <s v="A-86fc1d"/>
    <d v="2024-12-31T00:00:00"/>
    <m/>
    <x v="2"/>
    <n v="26"/>
    <n v="0"/>
    <n v="0"/>
    <x v="1"/>
    <b v="0"/>
    <b v="0"/>
    <b v="0"/>
    <x v="0"/>
    <b v="1"/>
  </r>
  <r>
    <s v="S-93f835"/>
    <s v="A-5a215a"/>
    <d v="2024-02-11T00:00:00"/>
    <m/>
    <x v="1"/>
    <n v="87"/>
    <n v="4263"/>
    <n v="51156"/>
    <x v="0"/>
    <b v="1"/>
    <b v="0"/>
    <b v="0"/>
    <x v="0"/>
    <b v="1"/>
  </r>
  <r>
    <s v="S-75e469"/>
    <s v="A-b78bf8"/>
    <d v="2024-12-28T00:00:00"/>
    <m/>
    <x v="1"/>
    <n v="33"/>
    <n v="1617"/>
    <n v="19404"/>
    <x v="0"/>
    <b v="0"/>
    <b v="0"/>
    <b v="0"/>
    <x v="0"/>
    <b v="1"/>
  </r>
  <r>
    <s v="S-409291"/>
    <s v="A-3932db"/>
    <d v="2024-10-29T00:00:00"/>
    <m/>
    <x v="1"/>
    <n v="36"/>
    <n v="1764"/>
    <n v="21168"/>
    <x v="0"/>
    <b v="0"/>
    <b v="0"/>
    <b v="0"/>
    <x v="1"/>
    <b v="1"/>
  </r>
  <r>
    <s v="S-41cdf0"/>
    <s v="A-68f37c"/>
    <d v="2023-08-15T00:00:00"/>
    <d v="2023-11-03T00:00:00"/>
    <x v="1"/>
    <n v="17"/>
    <n v="0"/>
    <n v="0"/>
    <x v="1"/>
    <b v="1"/>
    <b v="0"/>
    <b v="1"/>
    <x v="0"/>
    <b v="1"/>
  </r>
  <r>
    <s v="S-5be27b"/>
    <s v="A-5b4ebb"/>
    <d v="2024-10-18T00:00:00"/>
    <m/>
    <x v="0"/>
    <n v="21"/>
    <n v="4179"/>
    <n v="50148"/>
    <x v="0"/>
    <b v="0"/>
    <b v="0"/>
    <b v="0"/>
    <x v="1"/>
    <b v="1"/>
  </r>
  <r>
    <s v="S-8f7c91"/>
    <s v="A-ccb686"/>
    <d v="2024-12-11T00:00:00"/>
    <m/>
    <x v="2"/>
    <n v="11"/>
    <n v="209"/>
    <n v="2508"/>
    <x v="0"/>
    <b v="0"/>
    <b v="0"/>
    <b v="0"/>
    <x v="1"/>
    <b v="1"/>
  </r>
  <r>
    <s v="S-aaed3e"/>
    <s v="A-e6afc1"/>
    <d v="2024-12-18T00:00:00"/>
    <m/>
    <x v="1"/>
    <n v="9"/>
    <n v="0"/>
    <n v="0"/>
    <x v="1"/>
    <b v="0"/>
    <b v="0"/>
    <b v="0"/>
    <x v="0"/>
    <b v="0"/>
  </r>
  <r>
    <s v="S-4fdfa3"/>
    <s v="A-5a3eb9"/>
    <d v="2024-11-09T00:00:00"/>
    <m/>
    <x v="0"/>
    <n v="18"/>
    <n v="3582"/>
    <n v="42984"/>
    <x v="0"/>
    <b v="0"/>
    <b v="0"/>
    <b v="0"/>
    <x v="0"/>
    <b v="1"/>
  </r>
  <r>
    <s v="S-f421c8"/>
    <s v="A-9badbd"/>
    <d v="2024-06-29T00:00:00"/>
    <m/>
    <x v="2"/>
    <n v="28"/>
    <n v="532"/>
    <n v="6384"/>
    <x v="0"/>
    <b v="0"/>
    <b v="0"/>
    <b v="0"/>
    <x v="1"/>
    <b v="1"/>
  </r>
  <r>
    <s v="S-34553e"/>
    <s v="A-d49cc5"/>
    <d v="2024-06-25T00:00:00"/>
    <m/>
    <x v="2"/>
    <n v="50"/>
    <n v="950"/>
    <n v="11400"/>
    <x v="0"/>
    <b v="0"/>
    <b v="0"/>
    <b v="0"/>
    <x v="1"/>
    <b v="0"/>
  </r>
  <r>
    <s v="S-e6a17a"/>
    <s v="A-039727"/>
    <d v="2024-12-19T00:00:00"/>
    <d v="2024-12-30T00:00:00"/>
    <x v="0"/>
    <n v="25"/>
    <n v="4975"/>
    <n v="59700"/>
    <x v="0"/>
    <b v="1"/>
    <b v="0"/>
    <b v="1"/>
    <x v="1"/>
    <b v="1"/>
  </r>
  <r>
    <s v="S-9d36ff"/>
    <s v="A-2e3bad"/>
    <d v="2024-03-11T00:00:00"/>
    <m/>
    <x v="0"/>
    <n v="61"/>
    <n v="0"/>
    <n v="0"/>
    <x v="1"/>
    <b v="0"/>
    <b v="0"/>
    <b v="0"/>
    <x v="0"/>
    <b v="1"/>
  </r>
  <r>
    <s v="S-583ae2"/>
    <s v="A-726cfa"/>
    <d v="2024-01-05T00:00:00"/>
    <m/>
    <x v="2"/>
    <n v="17"/>
    <n v="323"/>
    <n v="3876"/>
    <x v="0"/>
    <b v="0"/>
    <b v="0"/>
    <b v="0"/>
    <x v="1"/>
    <b v="0"/>
  </r>
  <r>
    <s v="S-e162d0"/>
    <s v="A-503d5a"/>
    <d v="2023-12-18T00:00:00"/>
    <m/>
    <x v="2"/>
    <n v="19"/>
    <n v="0"/>
    <n v="0"/>
    <x v="1"/>
    <b v="0"/>
    <b v="0"/>
    <b v="0"/>
    <x v="0"/>
    <b v="1"/>
  </r>
  <r>
    <s v="S-96383d"/>
    <s v="A-39ddf4"/>
    <d v="2024-12-29T00:00:00"/>
    <m/>
    <x v="0"/>
    <n v="40"/>
    <n v="7960"/>
    <n v="95520"/>
    <x v="0"/>
    <b v="0"/>
    <b v="0"/>
    <b v="0"/>
    <x v="1"/>
    <b v="1"/>
  </r>
  <r>
    <s v="S-f0ad87"/>
    <s v="A-acb7f7"/>
    <d v="2024-10-13T00:00:00"/>
    <m/>
    <x v="2"/>
    <n v="32"/>
    <n v="0"/>
    <n v="0"/>
    <x v="1"/>
    <b v="0"/>
    <b v="0"/>
    <b v="0"/>
    <x v="1"/>
    <b v="0"/>
  </r>
  <r>
    <s v="S-d619ad"/>
    <s v="A-bc4d48"/>
    <d v="2024-06-29T00:00:00"/>
    <m/>
    <x v="1"/>
    <n v="35"/>
    <n v="0"/>
    <n v="0"/>
    <x v="1"/>
    <b v="0"/>
    <b v="0"/>
    <b v="0"/>
    <x v="0"/>
    <b v="1"/>
  </r>
  <r>
    <s v="S-d65491"/>
    <s v="A-186a44"/>
    <d v="2024-12-17T00:00:00"/>
    <m/>
    <x v="1"/>
    <n v="20"/>
    <n v="0"/>
    <n v="0"/>
    <x v="1"/>
    <b v="0"/>
    <b v="0"/>
    <b v="0"/>
    <x v="1"/>
    <b v="1"/>
  </r>
  <r>
    <s v="S-34cc51"/>
    <s v="A-118d55"/>
    <d v="2024-11-21T00:00:00"/>
    <m/>
    <x v="2"/>
    <n v="15"/>
    <n v="285"/>
    <n v="3420"/>
    <x v="0"/>
    <b v="0"/>
    <b v="0"/>
    <b v="0"/>
    <x v="1"/>
    <b v="0"/>
  </r>
  <r>
    <s v="S-e4ba87"/>
    <s v="A-e40f45"/>
    <d v="2024-05-23T00:00:00"/>
    <m/>
    <x v="2"/>
    <n v="27"/>
    <n v="513"/>
    <n v="6156"/>
    <x v="0"/>
    <b v="0"/>
    <b v="0"/>
    <b v="0"/>
    <x v="1"/>
    <b v="1"/>
  </r>
  <r>
    <s v="S-709484"/>
    <s v="A-bcf664"/>
    <d v="2024-08-22T00:00:00"/>
    <m/>
    <x v="1"/>
    <n v="8"/>
    <n v="392"/>
    <n v="4704"/>
    <x v="0"/>
    <b v="0"/>
    <b v="0"/>
    <b v="0"/>
    <x v="1"/>
    <b v="1"/>
  </r>
  <r>
    <s v="S-631547"/>
    <s v="A-d82ef9"/>
    <d v="2024-11-28T00:00:00"/>
    <m/>
    <x v="2"/>
    <n v="26"/>
    <n v="0"/>
    <n v="0"/>
    <x v="1"/>
    <b v="0"/>
    <b v="0"/>
    <b v="0"/>
    <x v="1"/>
    <b v="0"/>
  </r>
  <r>
    <s v="S-d7e65d"/>
    <s v="A-5a92e7"/>
    <d v="2024-08-30T00:00:00"/>
    <m/>
    <x v="1"/>
    <n v="20"/>
    <n v="980"/>
    <n v="11760"/>
    <x v="0"/>
    <b v="0"/>
    <b v="0"/>
    <b v="0"/>
    <x v="0"/>
    <b v="1"/>
  </r>
  <r>
    <s v="S-f32440"/>
    <s v="A-0a282f"/>
    <d v="2024-10-06T00:00:00"/>
    <m/>
    <x v="2"/>
    <n v="40"/>
    <n v="760"/>
    <n v="9120"/>
    <x v="0"/>
    <b v="0"/>
    <b v="0"/>
    <b v="0"/>
    <x v="0"/>
    <b v="1"/>
  </r>
  <r>
    <s v="S-44d025"/>
    <s v="A-d4ac0e"/>
    <d v="2024-11-29T00:00:00"/>
    <m/>
    <x v="1"/>
    <n v="18"/>
    <n v="882"/>
    <n v="10584"/>
    <x v="0"/>
    <b v="0"/>
    <b v="0"/>
    <b v="0"/>
    <x v="1"/>
    <b v="1"/>
  </r>
  <r>
    <s v="S-e3a257"/>
    <s v="A-84ebe4"/>
    <d v="2024-02-14T00:00:00"/>
    <m/>
    <x v="1"/>
    <n v="18"/>
    <n v="882"/>
    <n v="10584"/>
    <x v="0"/>
    <b v="0"/>
    <b v="0"/>
    <b v="0"/>
    <x v="1"/>
    <b v="1"/>
  </r>
  <r>
    <s v="S-6e0562"/>
    <s v="A-9bfc9f"/>
    <d v="2024-03-15T00:00:00"/>
    <m/>
    <x v="1"/>
    <n v="53"/>
    <n v="2597"/>
    <n v="31164"/>
    <x v="0"/>
    <b v="0"/>
    <b v="0"/>
    <b v="0"/>
    <x v="1"/>
    <b v="1"/>
  </r>
  <r>
    <s v="S-11d378"/>
    <s v="A-f51f16"/>
    <d v="2024-02-18T00:00:00"/>
    <m/>
    <x v="2"/>
    <n v="24"/>
    <n v="456"/>
    <n v="5472"/>
    <x v="0"/>
    <b v="1"/>
    <b v="0"/>
    <b v="0"/>
    <x v="0"/>
    <b v="1"/>
  </r>
  <r>
    <s v="S-a69559"/>
    <s v="A-cd458b"/>
    <d v="2024-08-25T00:00:00"/>
    <m/>
    <x v="2"/>
    <n v="10"/>
    <n v="190"/>
    <n v="2280"/>
    <x v="0"/>
    <b v="0"/>
    <b v="0"/>
    <b v="0"/>
    <x v="0"/>
    <b v="0"/>
  </r>
  <r>
    <s v="S-984423"/>
    <s v="A-96e141"/>
    <d v="2024-08-21T00:00:00"/>
    <m/>
    <x v="0"/>
    <n v="25"/>
    <n v="4975"/>
    <n v="59700"/>
    <x v="0"/>
    <b v="0"/>
    <b v="0"/>
    <b v="0"/>
    <x v="0"/>
    <b v="1"/>
  </r>
  <r>
    <s v="S-49e3e5"/>
    <s v="A-6e7827"/>
    <d v="2023-06-11T00:00:00"/>
    <m/>
    <x v="2"/>
    <n v="9"/>
    <n v="171"/>
    <n v="2052"/>
    <x v="0"/>
    <b v="1"/>
    <b v="0"/>
    <b v="0"/>
    <x v="0"/>
    <b v="1"/>
  </r>
  <r>
    <s v="S-0b6e58"/>
    <s v="A-1e1b80"/>
    <d v="2024-07-05T00:00:00"/>
    <m/>
    <x v="0"/>
    <n v="50"/>
    <n v="9950"/>
    <n v="119400"/>
    <x v="0"/>
    <b v="0"/>
    <b v="0"/>
    <b v="0"/>
    <x v="1"/>
    <b v="0"/>
  </r>
  <r>
    <s v="S-16ef7a"/>
    <s v="A-751c58"/>
    <d v="2024-12-16T00:00:00"/>
    <m/>
    <x v="2"/>
    <n v="16"/>
    <n v="0"/>
    <n v="0"/>
    <x v="1"/>
    <b v="0"/>
    <b v="0"/>
    <b v="0"/>
    <x v="0"/>
    <b v="1"/>
  </r>
  <r>
    <s v="S-3fb291"/>
    <s v="A-f51f16"/>
    <d v="2024-05-06T00:00:00"/>
    <m/>
    <x v="0"/>
    <n v="39"/>
    <n v="7761"/>
    <n v="93132"/>
    <x v="0"/>
    <b v="0"/>
    <b v="0"/>
    <b v="0"/>
    <x v="1"/>
    <b v="1"/>
  </r>
  <r>
    <s v="S-f6cd70"/>
    <s v="A-2ebb4b"/>
    <d v="2023-10-14T00:00:00"/>
    <m/>
    <x v="1"/>
    <n v="41"/>
    <n v="2009"/>
    <n v="24108"/>
    <x v="0"/>
    <b v="0"/>
    <b v="0"/>
    <b v="0"/>
    <x v="1"/>
    <b v="1"/>
  </r>
  <r>
    <s v="S-e7d026"/>
    <s v="A-0aaf6e"/>
    <d v="2024-12-25T00:00:00"/>
    <m/>
    <x v="0"/>
    <n v="88"/>
    <n v="17512"/>
    <n v="210144"/>
    <x v="0"/>
    <b v="0"/>
    <b v="0"/>
    <b v="0"/>
    <x v="1"/>
    <b v="1"/>
  </r>
  <r>
    <s v="S-c2fd82"/>
    <s v="A-84ebe4"/>
    <d v="2024-06-29T00:00:00"/>
    <d v="2024-11-06T00:00:00"/>
    <x v="0"/>
    <n v="82"/>
    <n v="0"/>
    <n v="0"/>
    <x v="1"/>
    <b v="0"/>
    <b v="0"/>
    <b v="1"/>
    <x v="0"/>
    <b v="1"/>
  </r>
  <r>
    <s v="S-38131a"/>
    <s v="A-aa9511"/>
    <d v="2024-04-13T00:00:00"/>
    <m/>
    <x v="0"/>
    <n v="23"/>
    <n v="0"/>
    <n v="0"/>
    <x v="1"/>
    <b v="0"/>
    <b v="0"/>
    <b v="0"/>
    <x v="0"/>
    <b v="1"/>
  </r>
  <r>
    <s v="S-aa3a36"/>
    <s v="A-ccc747"/>
    <d v="2024-05-13T00:00:00"/>
    <m/>
    <x v="0"/>
    <n v="16"/>
    <n v="0"/>
    <n v="0"/>
    <x v="1"/>
    <b v="1"/>
    <b v="0"/>
    <b v="0"/>
    <x v="0"/>
    <b v="0"/>
  </r>
  <r>
    <s v="S-46eb1c"/>
    <s v="A-089363"/>
    <d v="2024-10-13T00:00:00"/>
    <m/>
    <x v="2"/>
    <n v="11"/>
    <n v="209"/>
    <n v="2508"/>
    <x v="0"/>
    <b v="0"/>
    <b v="0"/>
    <b v="0"/>
    <x v="1"/>
    <b v="0"/>
  </r>
  <r>
    <s v="S-6ed77d"/>
    <s v="A-fe79a5"/>
    <d v="2024-05-22T00:00:00"/>
    <m/>
    <x v="0"/>
    <n v="9"/>
    <n v="1791"/>
    <n v="21492"/>
    <x v="0"/>
    <b v="0"/>
    <b v="0"/>
    <b v="0"/>
    <x v="0"/>
    <b v="1"/>
  </r>
  <r>
    <s v="S-f72b84"/>
    <s v="A-f44180"/>
    <d v="2024-06-22T00:00:00"/>
    <m/>
    <x v="1"/>
    <n v="9"/>
    <n v="441"/>
    <n v="5292"/>
    <x v="0"/>
    <b v="0"/>
    <b v="0"/>
    <b v="0"/>
    <x v="0"/>
    <b v="1"/>
  </r>
  <r>
    <s v="S-0f0d3a"/>
    <s v="A-ad296b"/>
    <d v="2024-11-16T00:00:00"/>
    <d v="2024-11-20T00:00:00"/>
    <x v="2"/>
    <n v="38"/>
    <n v="722"/>
    <n v="8664"/>
    <x v="0"/>
    <b v="0"/>
    <b v="0"/>
    <b v="1"/>
    <x v="1"/>
    <b v="1"/>
  </r>
  <r>
    <s v="S-05b080"/>
    <s v="A-b9eed8"/>
    <d v="2024-06-21T00:00:00"/>
    <m/>
    <x v="2"/>
    <n v="11"/>
    <n v="209"/>
    <n v="2508"/>
    <x v="0"/>
    <b v="0"/>
    <b v="0"/>
    <b v="0"/>
    <x v="0"/>
    <b v="1"/>
  </r>
  <r>
    <s v="S-bae2c4"/>
    <s v="A-bb1486"/>
    <d v="2024-12-25T00:00:00"/>
    <m/>
    <x v="1"/>
    <n v="67"/>
    <n v="3283"/>
    <n v="39396"/>
    <x v="0"/>
    <b v="0"/>
    <b v="0"/>
    <b v="0"/>
    <x v="1"/>
    <b v="1"/>
  </r>
  <r>
    <s v="S-8ca9f0"/>
    <s v="A-e693b6"/>
    <d v="2024-09-01T00:00:00"/>
    <d v="2024-09-06T00:00:00"/>
    <x v="2"/>
    <n v="55"/>
    <n v="1045"/>
    <n v="12540"/>
    <x v="0"/>
    <b v="0"/>
    <b v="0"/>
    <b v="1"/>
    <x v="1"/>
    <b v="1"/>
  </r>
  <r>
    <s v="S-33eb1d"/>
    <s v="A-02fac6"/>
    <d v="2024-09-20T00:00:00"/>
    <m/>
    <x v="0"/>
    <n v="22"/>
    <n v="4378"/>
    <n v="52536"/>
    <x v="0"/>
    <b v="0"/>
    <b v="0"/>
    <b v="0"/>
    <x v="1"/>
    <b v="0"/>
  </r>
  <r>
    <s v="S-45baac"/>
    <s v="A-1d5444"/>
    <d v="2024-05-31T00:00:00"/>
    <m/>
    <x v="0"/>
    <n v="24"/>
    <n v="4776"/>
    <n v="57312"/>
    <x v="0"/>
    <b v="0"/>
    <b v="0"/>
    <b v="0"/>
    <x v="0"/>
    <b v="0"/>
  </r>
  <r>
    <s v="S-e9dc6e"/>
    <s v="A-4437e4"/>
    <d v="2024-08-15T00:00:00"/>
    <m/>
    <x v="1"/>
    <n v="38"/>
    <n v="1862"/>
    <n v="22344"/>
    <x v="0"/>
    <b v="0"/>
    <b v="0"/>
    <b v="0"/>
    <x v="1"/>
    <b v="1"/>
  </r>
  <r>
    <s v="S-871e83"/>
    <s v="A-8adedc"/>
    <d v="2024-03-21T00:00:00"/>
    <m/>
    <x v="0"/>
    <n v="14"/>
    <n v="2786"/>
    <n v="33432"/>
    <x v="0"/>
    <b v="0"/>
    <b v="0"/>
    <b v="0"/>
    <x v="1"/>
    <b v="1"/>
  </r>
  <r>
    <s v="S-88a47f"/>
    <s v="A-4437e4"/>
    <d v="2024-12-23T00:00:00"/>
    <m/>
    <x v="2"/>
    <n v="9"/>
    <n v="171"/>
    <n v="2052"/>
    <x v="0"/>
    <b v="0"/>
    <b v="0"/>
    <b v="0"/>
    <x v="1"/>
    <b v="1"/>
  </r>
  <r>
    <s v="S-9714fa"/>
    <s v="A-158f4e"/>
    <d v="2024-02-19T00:00:00"/>
    <m/>
    <x v="1"/>
    <n v="61"/>
    <n v="2989"/>
    <n v="35868"/>
    <x v="0"/>
    <b v="0"/>
    <b v="0"/>
    <b v="0"/>
    <x v="1"/>
    <b v="1"/>
  </r>
  <r>
    <s v="S-c77c84"/>
    <s v="A-0be015"/>
    <d v="2024-12-31T00:00:00"/>
    <m/>
    <x v="2"/>
    <n v="19"/>
    <n v="0"/>
    <n v="0"/>
    <x v="1"/>
    <b v="0"/>
    <b v="0"/>
    <b v="0"/>
    <x v="0"/>
    <b v="0"/>
  </r>
  <r>
    <s v="S-86d360"/>
    <s v="A-b48f73"/>
    <d v="2024-11-23T00:00:00"/>
    <m/>
    <x v="2"/>
    <n v="80"/>
    <n v="1520"/>
    <n v="18240"/>
    <x v="0"/>
    <b v="0"/>
    <b v="0"/>
    <b v="0"/>
    <x v="0"/>
    <b v="1"/>
  </r>
  <r>
    <s v="S-c15fcc"/>
    <s v="A-fd9422"/>
    <d v="2024-08-25T00:00:00"/>
    <d v="2024-10-02T00:00:00"/>
    <x v="2"/>
    <n v="58"/>
    <n v="1102"/>
    <n v="13224"/>
    <x v="0"/>
    <b v="0"/>
    <b v="0"/>
    <b v="1"/>
    <x v="0"/>
    <b v="0"/>
  </r>
  <r>
    <s v="S-b0ed51"/>
    <s v="A-98a59a"/>
    <d v="2024-08-08T00:00:00"/>
    <m/>
    <x v="0"/>
    <n v="56"/>
    <n v="11144"/>
    <n v="133728"/>
    <x v="0"/>
    <b v="0"/>
    <b v="0"/>
    <b v="0"/>
    <x v="0"/>
    <b v="0"/>
  </r>
  <r>
    <s v="S-2e7756"/>
    <s v="A-b7b7b7"/>
    <d v="2024-08-27T00:00:00"/>
    <m/>
    <x v="1"/>
    <n v="67"/>
    <n v="3283"/>
    <n v="39396"/>
    <x v="0"/>
    <b v="0"/>
    <b v="0"/>
    <b v="0"/>
    <x v="1"/>
    <b v="1"/>
  </r>
  <r>
    <s v="S-2fe253"/>
    <s v="A-1f0636"/>
    <d v="2024-02-28T00:00:00"/>
    <d v="2024-10-30T00:00:00"/>
    <x v="1"/>
    <n v="105"/>
    <n v="0"/>
    <n v="0"/>
    <x v="1"/>
    <b v="0"/>
    <b v="0"/>
    <b v="1"/>
    <x v="1"/>
    <b v="1"/>
  </r>
  <r>
    <s v="S-a575f5"/>
    <s v="A-039727"/>
    <d v="2024-12-09T00:00:00"/>
    <m/>
    <x v="2"/>
    <n v="25"/>
    <n v="475"/>
    <n v="5700"/>
    <x v="0"/>
    <b v="0"/>
    <b v="0"/>
    <b v="0"/>
    <x v="1"/>
    <b v="1"/>
  </r>
  <r>
    <s v="S-39bb68"/>
    <s v="A-d40bf7"/>
    <d v="2024-11-23T00:00:00"/>
    <m/>
    <x v="2"/>
    <n v="59"/>
    <n v="1121"/>
    <n v="13452"/>
    <x v="0"/>
    <b v="0"/>
    <b v="0"/>
    <b v="0"/>
    <x v="0"/>
    <b v="1"/>
  </r>
  <r>
    <s v="S-7685a3"/>
    <s v="A-6da850"/>
    <d v="2024-08-05T00:00:00"/>
    <m/>
    <x v="2"/>
    <n v="18"/>
    <n v="0"/>
    <n v="0"/>
    <x v="1"/>
    <b v="1"/>
    <b v="0"/>
    <b v="0"/>
    <x v="0"/>
    <b v="1"/>
  </r>
  <r>
    <s v="S-712f3a"/>
    <s v="A-eb1312"/>
    <d v="2024-11-20T00:00:00"/>
    <d v="2024-12-26T00:00:00"/>
    <x v="2"/>
    <n v="25"/>
    <n v="475"/>
    <n v="5700"/>
    <x v="0"/>
    <b v="0"/>
    <b v="0"/>
    <b v="1"/>
    <x v="0"/>
    <b v="1"/>
  </r>
  <r>
    <s v="S-dfa4c8"/>
    <s v="A-eb7fac"/>
    <d v="2024-01-21T00:00:00"/>
    <d v="2024-04-22T00:00:00"/>
    <x v="1"/>
    <n v="7"/>
    <n v="343"/>
    <n v="4116"/>
    <x v="0"/>
    <b v="0"/>
    <b v="0"/>
    <b v="1"/>
    <x v="1"/>
    <b v="1"/>
  </r>
  <r>
    <s v="S-f3dd83"/>
    <s v="A-00bed1"/>
    <d v="2024-08-28T00:00:00"/>
    <m/>
    <x v="0"/>
    <n v="28"/>
    <n v="0"/>
    <n v="0"/>
    <x v="1"/>
    <b v="0"/>
    <b v="0"/>
    <b v="0"/>
    <x v="0"/>
    <b v="1"/>
  </r>
  <r>
    <s v="S-a900c2"/>
    <s v="A-4c56c9"/>
    <d v="2024-12-22T00:00:00"/>
    <m/>
    <x v="0"/>
    <n v="24"/>
    <n v="4776"/>
    <n v="57312"/>
    <x v="0"/>
    <b v="0"/>
    <b v="0"/>
    <b v="0"/>
    <x v="1"/>
    <b v="0"/>
  </r>
  <r>
    <s v="S-302856"/>
    <s v="A-e1b9cd"/>
    <d v="2023-05-24T00:00:00"/>
    <d v="2024-08-25T00:00:00"/>
    <x v="2"/>
    <n v="40"/>
    <n v="760"/>
    <n v="9120"/>
    <x v="0"/>
    <b v="0"/>
    <b v="0"/>
    <b v="1"/>
    <x v="1"/>
    <b v="1"/>
  </r>
  <r>
    <s v="S-51b668"/>
    <s v="A-82d8a6"/>
    <d v="2024-12-28T00:00:00"/>
    <m/>
    <x v="2"/>
    <n v="30"/>
    <n v="570"/>
    <n v="6840"/>
    <x v="0"/>
    <b v="0"/>
    <b v="0"/>
    <b v="0"/>
    <x v="0"/>
    <b v="1"/>
  </r>
  <r>
    <s v="S-310ae0"/>
    <s v="A-58b9ff"/>
    <d v="2024-09-13T00:00:00"/>
    <d v="2024-10-01T00:00:00"/>
    <x v="0"/>
    <n v="2"/>
    <n v="398"/>
    <n v="4776"/>
    <x v="0"/>
    <b v="0"/>
    <b v="0"/>
    <b v="1"/>
    <x v="0"/>
    <b v="1"/>
  </r>
  <r>
    <s v="S-21eeea"/>
    <s v="A-2b9d3e"/>
    <d v="2024-11-08T00:00:00"/>
    <m/>
    <x v="1"/>
    <n v="29"/>
    <n v="1421"/>
    <n v="17052"/>
    <x v="0"/>
    <b v="0"/>
    <b v="0"/>
    <b v="0"/>
    <x v="0"/>
    <b v="1"/>
  </r>
  <r>
    <s v="S-7b9b62"/>
    <s v="A-cb5333"/>
    <d v="2024-09-17T00:00:00"/>
    <m/>
    <x v="1"/>
    <n v="33"/>
    <n v="1617"/>
    <n v="19404"/>
    <x v="0"/>
    <b v="0"/>
    <b v="0"/>
    <b v="0"/>
    <x v="0"/>
    <b v="0"/>
  </r>
  <r>
    <s v="S-799da2"/>
    <s v="A-95b24a"/>
    <d v="2024-06-27T00:00:00"/>
    <m/>
    <x v="1"/>
    <n v="38"/>
    <n v="1862"/>
    <n v="22344"/>
    <x v="0"/>
    <b v="0"/>
    <b v="0"/>
    <b v="0"/>
    <x v="0"/>
    <b v="1"/>
  </r>
  <r>
    <s v="S-e82bdc"/>
    <s v="A-4c38bc"/>
    <d v="2024-03-17T00:00:00"/>
    <m/>
    <x v="2"/>
    <n v="36"/>
    <n v="684"/>
    <n v="8208"/>
    <x v="0"/>
    <b v="0"/>
    <b v="0"/>
    <b v="0"/>
    <x v="1"/>
    <b v="1"/>
  </r>
  <r>
    <s v="S-879b43"/>
    <s v="A-3cc791"/>
    <d v="2024-03-26T00:00:00"/>
    <m/>
    <x v="0"/>
    <n v="6"/>
    <n v="1194"/>
    <n v="14328"/>
    <x v="0"/>
    <b v="0"/>
    <b v="0"/>
    <b v="0"/>
    <x v="0"/>
    <b v="1"/>
  </r>
  <r>
    <s v="S-6fd24b"/>
    <s v="A-7988d1"/>
    <d v="2024-08-19T00:00:00"/>
    <m/>
    <x v="0"/>
    <n v="33"/>
    <n v="6567"/>
    <n v="78804"/>
    <x v="0"/>
    <b v="0"/>
    <b v="0"/>
    <b v="0"/>
    <x v="0"/>
    <b v="1"/>
  </r>
  <r>
    <s v="S-d2e00a"/>
    <s v="A-4c56c9"/>
    <d v="2024-09-17T00:00:00"/>
    <m/>
    <x v="0"/>
    <n v="9"/>
    <n v="1791"/>
    <n v="21492"/>
    <x v="0"/>
    <b v="0"/>
    <b v="0"/>
    <b v="0"/>
    <x v="0"/>
    <b v="1"/>
  </r>
  <r>
    <s v="S-a916cb"/>
    <s v="A-eb7c38"/>
    <d v="2024-10-28T00:00:00"/>
    <m/>
    <x v="0"/>
    <n v="35"/>
    <n v="6965"/>
    <n v="83580"/>
    <x v="0"/>
    <b v="0"/>
    <b v="0"/>
    <b v="0"/>
    <x v="0"/>
    <b v="1"/>
  </r>
  <r>
    <s v="S-3fe1c3"/>
    <s v="A-0158bb"/>
    <d v="2024-10-23T00:00:00"/>
    <m/>
    <x v="0"/>
    <n v="20"/>
    <n v="0"/>
    <n v="0"/>
    <x v="1"/>
    <b v="0"/>
    <b v="0"/>
    <b v="0"/>
    <x v="0"/>
    <b v="1"/>
  </r>
  <r>
    <s v="S-dccf50"/>
    <s v="A-a09355"/>
    <d v="2024-11-28T00:00:00"/>
    <m/>
    <x v="0"/>
    <n v="23"/>
    <n v="4577"/>
    <n v="54924"/>
    <x v="0"/>
    <b v="0"/>
    <b v="0"/>
    <b v="0"/>
    <x v="1"/>
    <b v="0"/>
  </r>
  <r>
    <s v="S-023f3c"/>
    <s v="A-b9eed8"/>
    <d v="2024-03-16T00:00:00"/>
    <m/>
    <x v="0"/>
    <n v="15"/>
    <n v="2985"/>
    <n v="35820"/>
    <x v="0"/>
    <b v="0"/>
    <b v="0"/>
    <b v="0"/>
    <x v="1"/>
    <b v="0"/>
  </r>
  <r>
    <s v="S-c35f78"/>
    <s v="A-95b24a"/>
    <d v="2024-10-11T00:00:00"/>
    <m/>
    <x v="1"/>
    <n v="38"/>
    <n v="0"/>
    <n v="0"/>
    <x v="1"/>
    <b v="1"/>
    <b v="0"/>
    <b v="0"/>
    <x v="1"/>
    <b v="1"/>
  </r>
  <r>
    <s v="S-eb15a1"/>
    <s v="A-2edab2"/>
    <d v="2024-11-30T00:00:00"/>
    <m/>
    <x v="0"/>
    <n v="17"/>
    <n v="3383"/>
    <n v="40596"/>
    <x v="0"/>
    <b v="0"/>
    <b v="0"/>
    <b v="0"/>
    <x v="0"/>
    <b v="1"/>
  </r>
  <r>
    <s v="S-079321"/>
    <s v="A-e1462e"/>
    <d v="2023-07-27T00:00:00"/>
    <m/>
    <x v="1"/>
    <n v="15"/>
    <n v="735"/>
    <n v="8820"/>
    <x v="0"/>
    <b v="0"/>
    <b v="0"/>
    <b v="0"/>
    <x v="1"/>
    <b v="0"/>
  </r>
  <r>
    <s v="S-c25263"/>
    <s v="A-c7ffc2"/>
    <d v="2023-09-22T00:00:00"/>
    <m/>
    <x v="2"/>
    <n v="30"/>
    <n v="570"/>
    <n v="6840"/>
    <x v="0"/>
    <b v="1"/>
    <b v="0"/>
    <b v="0"/>
    <x v="1"/>
    <b v="1"/>
  </r>
  <r>
    <s v="S-a86344"/>
    <s v="A-00bed1"/>
    <d v="2024-08-18T00:00:00"/>
    <m/>
    <x v="1"/>
    <n v="36"/>
    <n v="1764"/>
    <n v="21168"/>
    <x v="0"/>
    <b v="1"/>
    <b v="0"/>
    <b v="0"/>
    <x v="1"/>
    <b v="1"/>
  </r>
  <r>
    <s v="S-4cdee1"/>
    <s v="A-8b25f2"/>
    <d v="2024-02-19T00:00:00"/>
    <m/>
    <x v="0"/>
    <n v="20"/>
    <n v="0"/>
    <n v="0"/>
    <x v="1"/>
    <b v="0"/>
    <b v="0"/>
    <b v="0"/>
    <x v="0"/>
    <b v="1"/>
  </r>
  <r>
    <s v="S-381c99"/>
    <s v="A-e7a1e2"/>
    <d v="2024-11-03T00:00:00"/>
    <m/>
    <x v="2"/>
    <n v="3"/>
    <n v="57"/>
    <n v="684"/>
    <x v="0"/>
    <b v="0"/>
    <b v="0"/>
    <b v="0"/>
    <x v="0"/>
    <b v="1"/>
  </r>
  <r>
    <s v="S-8e719f"/>
    <s v="A-4437e4"/>
    <d v="2024-08-16T00:00:00"/>
    <m/>
    <x v="2"/>
    <n v="11"/>
    <n v="209"/>
    <n v="2508"/>
    <x v="0"/>
    <b v="0"/>
    <b v="0"/>
    <b v="0"/>
    <x v="1"/>
    <b v="1"/>
  </r>
  <r>
    <s v="S-d111f5"/>
    <s v="A-f03140"/>
    <d v="2024-05-25T00:00:00"/>
    <m/>
    <x v="2"/>
    <n v="27"/>
    <n v="513"/>
    <n v="6156"/>
    <x v="0"/>
    <b v="0"/>
    <b v="0"/>
    <b v="0"/>
    <x v="0"/>
    <b v="1"/>
  </r>
  <r>
    <s v="S-82484b"/>
    <s v="A-cab532"/>
    <d v="2024-11-22T00:00:00"/>
    <m/>
    <x v="1"/>
    <n v="21"/>
    <n v="1029"/>
    <n v="12348"/>
    <x v="0"/>
    <b v="0"/>
    <b v="0"/>
    <b v="0"/>
    <x v="1"/>
    <b v="1"/>
  </r>
  <r>
    <s v="S-891eb4"/>
    <s v="A-716841"/>
    <d v="2024-09-20T00:00:00"/>
    <m/>
    <x v="1"/>
    <n v="45"/>
    <n v="2205"/>
    <n v="26460"/>
    <x v="0"/>
    <b v="0"/>
    <b v="0"/>
    <b v="0"/>
    <x v="1"/>
    <b v="1"/>
  </r>
  <r>
    <s v="S-4e3e04"/>
    <s v="A-883b7d"/>
    <d v="2024-08-16T00:00:00"/>
    <m/>
    <x v="0"/>
    <n v="17"/>
    <n v="3383"/>
    <n v="40596"/>
    <x v="0"/>
    <b v="0"/>
    <b v="0"/>
    <b v="0"/>
    <x v="1"/>
    <b v="0"/>
  </r>
  <r>
    <s v="S-7679b6"/>
    <s v="A-7f29a7"/>
    <d v="2024-10-14T00:00:00"/>
    <m/>
    <x v="1"/>
    <n v="41"/>
    <n v="2009"/>
    <n v="24108"/>
    <x v="0"/>
    <b v="0"/>
    <b v="0"/>
    <b v="0"/>
    <x v="1"/>
    <b v="0"/>
  </r>
  <r>
    <s v="S-de9ce0"/>
    <s v="A-faa28c"/>
    <d v="2024-08-06T00:00:00"/>
    <d v="2024-12-26T00:00:00"/>
    <x v="0"/>
    <n v="48"/>
    <n v="9552"/>
    <n v="114624"/>
    <x v="0"/>
    <b v="0"/>
    <b v="0"/>
    <b v="1"/>
    <x v="1"/>
    <b v="1"/>
  </r>
  <r>
    <s v="S-37d13a"/>
    <s v="A-029f69"/>
    <d v="2024-08-11T00:00:00"/>
    <m/>
    <x v="0"/>
    <n v="15"/>
    <n v="0"/>
    <n v="0"/>
    <x v="1"/>
    <b v="0"/>
    <b v="0"/>
    <b v="0"/>
    <x v="1"/>
    <b v="1"/>
  </r>
  <r>
    <s v="S-7d0dea"/>
    <s v="A-69b156"/>
    <d v="2024-11-16T00:00:00"/>
    <m/>
    <x v="1"/>
    <n v="7"/>
    <n v="0"/>
    <n v="0"/>
    <x v="1"/>
    <b v="0"/>
    <b v="1"/>
    <b v="0"/>
    <x v="0"/>
    <b v="1"/>
  </r>
  <r>
    <s v="S-83c56d"/>
    <s v="A-716841"/>
    <d v="2024-12-13T00:00:00"/>
    <m/>
    <x v="0"/>
    <n v="45"/>
    <n v="8955"/>
    <n v="107460"/>
    <x v="0"/>
    <b v="0"/>
    <b v="0"/>
    <b v="0"/>
    <x v="0"/>
    <b v="1"/>
  </r>
  <r>
    <s v="S-5ee117"/>
    <s v="A-f5641b"/>
    <d v="2024-07-25T00:00:00"/>
    <m/>
    <x v="1"/>
    <n v="31"/>
    <n v="1519"/>
    <n v="18228"/>
    <x v="0"/>
    <b v="0"/>
    <b v="0"/>
    <b v="0"/>
    <x v="0"/>
    <b v="1"/>
  </r>
  <r>
    <s v="S-5e572d"/>
    <s v="A-94f8c9"/>
    <d v="2024-07-16T00:00:00"/>
    <m/>
    <x v="0"/>
    <n v="13"/>
    <n v="2587"/>
    <n v="31044"/>
    <x v="0"/>
    <b v="0"/>
    <b v="0"/>
    <b v="0"/>
    <x v="1"/>
    <b v="0"/>
  </r>
  <r>
    <s v="S-7b29d1"/>
    <s v="A-80eeb6"/>
    <d v="2024-04-19T00:00:00"/>
    <m/>
    <x v="0"/>
    <n v="65"/>
    <n v="12935"/>
    <n v="155220"/>
    <x v="0"/>
    <b v="0"/>
    <b v="0"/>
    <b v="0"/>
    <x v="0"/>
    <b v="1"/>
  </r>
  <r>
    <s v="S-ff79f7"/>
    <s v="A-726cfa"/>
    <d v="2024-08-02T00:00:00"/>
    <m/>
    <x v="0"/>
    <n v="19"/>
    <n v="3781"/>
    <n v="45372"/>
    <x v="0"/>
    <b v="0"/>
    <b v="0"/>
    <b v="0"/>
    <x v="0"/>
    <b v="1"/>
  </r>
  <r>
    <s v="S-bb82ac"/>
    <s v="A-e19ff6"/>
    <d v="2023-10-29T00:00:00"/>
    <m/>
    <x v="2"/>
    <n v="38"/>
    <n v="722"/>
    <n v="8664"/>
    <x v="0"/>
    <b v="0"/>
    <b v="0"/>
    <b v="0"/>
    <x v="1"/>
    <b v="1"/>
  </r>
  <r>
    <s v="S-b21a0b"/>
    <s v="A-b7ef83"/>
    <d v="2024-10-29T00:00:00"/>
    <m/>
    <x v="1"/>
    <n v="17"/>
    <n v="833"/>
    <n v="9996"/>
    <x v="0"/>
    <b v="0"/>
    <b v="0"/>
    <b v="0"/>
    <x v="0"/>
    <b v="1"/>
  </r>
  <r>
    <s v="S-711820"/>
    <s v="A-08e34e"/>
    <d v="2024-09-02T00:00:00"/>
    <m/>
    <x v="2"/>
    <n v="49"/>
    <n v="931"/>
    <n v="11172"/>
    <x v="0"/>
    <b v="0"/>
    <b v="0"/>
    <b v="0"/>
    <x v="1"/>
    <b v="0"/>
  </r>
  <r>
    <s v="S-22365f"/>
    <s v="A-05f0e5"/>
    <d v="2023-06-11T00:00:00"/>
    <m/>
    <x v="0"/>
    <n v="32"/>
    <n v="6368"/>
    <n v="76416"/>
    <x v="0"/>
    <b v="0"/>
    <b v="0"/>
    <b v="0"/>
    <x v="1"/>
    <b v="1"/>
  </r>
  <r>
    <s v="S-f0d2fd"/>
    <s v="A-19b2c8"/>
    <d v="2024-07-20T00:00:00"/>
    <m/>
    <x v="0"/>
    <n v="28"/>
    <n v="5572"/>
    <n v="66864"/>
    <x v="0"/>
    <b v="0"/>
    <b v="0"/>
    <b v="0"/>
    <x v="1"/>
    <b v="1"/>
  </r>
  <r>
    <s v="S-f225d0"/>
    <s v="A-d4ac0e"/>
    <d v="2024-05-19T00:00:00"/>
    <m/>
    <x v="2"/>
    <n v="18"/>
    <n v="342"/>
    <n v="4104"/>
    <x v="0"/>
    <b v="0"/>
    <b v="0"/>
    <b v="0"/>
    <x v="1"/>
    <b v="1"/>
  </r>
  <r>
    <s v="S-a10eb2"/>
    <s v="A-3c1a3f"/>
    <d v="2023-08-31T00:00:00"/>
    <m/>
    <x v="2"/>
    <n v="45"/>
    <n v="0"/>
    <n v="0"/>
    <x v="1"/>
    <b v="0"/>
    <b v="0"/>
    <b v="0"/>
    <x v="1"/>
    <b v="0"/>
  </r>
  <r>
    <s v="S-78ffdd"/>
    <s v="A-503d5a"/>
    <d v="2023-11-07T00:00:00"/>
    <m/>
    <x v="0"/>
    <n v="12"/>
    <n v="2388"/>
    <n v="28656"/>
    <x v="0"/>
    <b v="0"/>
    <b v="0"/>
    <b v="0"/>
    <x v="0"/>
    <b v="1"/>
  </r>
  <r>
    <s v="S-97a010"/>
    <s v="A-dcc3f1"/>
    <d v="2024-03-22T00:00:00"/>
    <m/>
    <x v="0"/>
    <n v="21"/>
    <n v="0"/>
    <n v="0"/>
    <x v="1"/>
    <b v="0"/>
    <b v="0"/>
    <b v="0"/>
    <x v="0"/>
    <b v="1"/>
  </r>
  <r>
    <s v="S-7785af"/>
    <s v="A-a1b80b"/>
    <d v="2024-03-28T00:00:00"/>
    <m/>
    <x v="0"/>
    <n v="16"/>
    <n v="3184"/>
    <n v="38208"/>
    <x v="0"/>
    <b v="1"/>
    <b v="0"/>
    <b v="0"/>
    <x v="0"/>
    <b v="0"/>
  </r>
  <r>
    <s v="S-120ae3"/>
    <s v="A-781cc0"/>
    <d v="2024-09-24T00:00:00"/>
    <m/>
    <x v="2"/>
    <n v="34"/>
    <n v="646"/>
    <n v="7752"/>
    <x v="0"/>
    <b v="0"/>
    <b v="0"/>
    <b v="0"/>
    <x v="1"/>
    <b v="1"/>
  </r>
  <r>
    <s v="S-37b59a"/>
    <s v="A-2d1036"/>
    <d v="2024-09-24T00:00:00"/>
    <d v="2024-12-18T00:00:00"/>
    <x v="1"/>
    <n v="69"/>
    <n v="3381"/>
    <n v="40572"/>
    <x v="0"/>
    <b v="0"/>
    <b v="0"/>
    <b v="1"/>
    <x v="1"/>
    <b v="1"/>
  </r>
  <r>
    <s v="S-f36371"/>
    <s v="A-34d880"/>
    <d v="2024-07-22T00:00:00"/>
    <m/>
    <x v="0"/>
    <n v="35"/>
    <n v="6965"/>
    <n v="83580"/>
    <x v="0"/>
    <b v="0"/>
    <b v="0"/>
    <b v="0"/>
    <x v="0"/>
    <b v="0"/>
  </r>
  <r>
    <s v="S-329a60"/>
    <s v="A-c16cf7"/>
    <d v="2024-10-24T00:00:00"/>
    <m/>
    <x v="2"/>
    <n v="84"/>
    <n v="1596"/>
    <n v="19152"/>
    <x v="0"/>
    <b v="0"/>
    <b v="0"/>
    <b v="0"/>
    <x v="1"/>
    <b v="1"/>
  </r>
  <r>
    <s v="S-5ca11a"/>
    <s v="A-309e54"/>
    <d v="2024-12-26T00:00:00"/>
    <m/>
    <x v="0"/>
    <n v="48"/>
    <n v="9552"/>
    <n v="114624"/>
    <x v="0"/>
    <b v="0"/>
    <b v="0"/>
    <b v="0"/>
    <x v="1"/>
    <b v="1"/>
  </r>
  <r>
    <s v="S-c8fa77"/>
    <s v="A-56962b"/>
    <d v="2024-08-28T00:00:00"/>
    <m/>
    <x v="2"/>
    <n v="163"/>
    <n v="3097"/>
    <n v="37164"/>
    <x v="0"/>
    <b v="0"/>
    <b v="0"/>
    <b v="0"/>
    <x v="0"/>
    <b v="1"/>
  </r>
  <r>
    <s v="S-016b5f"/>
    <s v="A-977ca0"/>
    <d v="2024-04-08T00:00:00"/>
    <m/>
    <x v="0"/>
    <n v="6"/>
    <n v="0"/>
    <n v="0"/>
    <x v="1"/>
    <b v="0"/>
    <b v="0"/>
    <b v="0"/>
    <x v="0"/>
    <b v="1"/>
  </r>
  <r>
    <s v="S-cf2b4a"/>
    <s v="A-9f9299"/>
    <d v="2023-11-30T00:00:00"/>
    <d v="2024-08-15T00:00:00"/>
    <x v="1"/>
    <n v="28"/>
    <n v="1372"/>
    <n v="16464"/>
    <x v="0"/>
    <b v="0"/>
    <b v="0"/>
    <b v="1"/>
    <x v="0"/>
    <b v="1"/>
  </r>
  <r>
    <s v="S-6f1051"/>
    <s v="A-e98302"/>
    <d v="2024-02-01T00:00:00"/>
    <m/>
    <x v="0"/>
    <n v="34"/>
    <n v="6766"/>
    <n v="81192"/>
    <x v="0"/>
    <b v="0"/>
    <b v="0"/>
    <b v="0"/>
    <x v="1"/>
    <b v="1"/>
  </r>
  <r>
    <s v="S-33db08"/>
    <s v="A-fa3095"/>
    <d v="2024-12-30T00:00:00"/>
    <m/>
    <x v="2"/>
    <n v="70"/>
    <n v="1330"/>
    <n v="15960"/>
    <x v="0"/>
    <b v="0"/>
    <b v="0"/>
    <b v="0"/>
    <x v="1"/>
    <b v="1"/>
  </r>
  <r>
    <s v="S-4daf2d"/>
    <s v="A-297a2d"/>
    <d v="2024-11-05T00:00:00"/>
    <m/>
    <x v="0"/>
    <n v="27"/>
    <n v="5373"/>
    <n v="64476"/>
    <x v="0"/>
    <b v="0"/>
    <b v="0"/>
    <b v="0"/>
    <x v="1"/>
    <b v="1"/>
  </r>
  <r>
    <s v="S-4ed997"/>
    <s v="A-d82ef9"/>
    <d v="2024-10-23T00:00:00"/>
    <m/>
    <x v="1"/>
    <n v="26"/>
    <n v="1274"/>
    <n v="15288"/>
    <x v="0"/>
    <b v="0"/>
    <b v="0"/>
    <b v="0"/>
    <x v="1"/>
    <b v="1"/>
  </r>
  <r>
    <s v="S-8ae507"/>
    <s v="A-72799b"/>
    <d v="2024-03-16T00:00:00"/>
    <m/>
    <x v="1"/>
    <n v="20"/>
    <n v="980"/>
    <n v="11760"/>
    <x v="0"/>
    <b v="1"/>
    <b v="0"/>
    <b v="0"/>
    <x v="1"/>
    <b v="0"/>
  </r>
  <r>
    <s v="S-3eb206"/>
    <s v="A-b179bf"/>
    <d v="2024-12-24T00:00:00"/>
    <m/>
    <x v="0"/>
    <n v="43"/>
    <n v="8557"/>
    <n v="102684"/>
    <x v="0"/>
    <b v="0"/>
    <b v="0"/>
    <b v="0"/>
    <x v="0"/>
    <b v="1"/>
  </r>
  <r>
    <s v="S-6643a2"/>
    <s v="A-331424"/>
    <d v="2024-01-04T00:00:00"/>
    <m/>
    <x v="1"/>
    <n v="11"/>
    <n v="0"/>
    <n v="0"/>
    <x v="1"/>
    <b v="0"/>
    <b v="0"/>
    <b v="0"/>
    <x v="0"/>
    <b v="1"/>
  </r>
  <r>
    <s v="S-41ca59"/>
    <s v="A-692f18"/>
    <d v="2024-07-18T00:00:00"/>
    <m/>
    <x v="0"/>
    <n v="37"/>
    <n v="7363"/>
    <n v="88356"/>
    <x v="0"/>
    <b v="0"/>
    <b v="0"/>
    <b v="0"/>
    <x v="0"/>
    <b v="1"/>
  </r>
  <r>
    <s v="S-720c17"/>
    <s v="A-4e0e85"/>
    <d v="2024-02-16T00:00:00"/>
    <m/>
    <x v="1"/>
    <n v="20"/>
    <n v="0"/>
    <n v="0"/>
    <x v="1"/>
    <b v="0"/>
    <b v="0"/>
    <b v="0"/>
    <x v="1"/>
    <b v="1"/>
  </r>
  <r>
    <s v="S-afc545"/>
    <s v="A-0baac2"/>
    <d v="2024-10-14T00:00:00"/>
    <m/>
    <x v="2"/>
    <n v="33"/>
    <n v="627"/>
    <n v="7524"/>
    <x v="0"/>
    <b v="0"/>
    <b v="0"/>
    <b v="0"/>
    <x v="1"/>
    <b v="1"/>
  </r>
  <r>
    <s v="S-5e6fc2"/>
    <s v="A-52dd88"/>
    <d v="2023-12-12T00:00:00"/>
    <m/>
    <x v="2"/>
    <n v="23"/>
    <n v="437"/>
    <n v="5244"/>
    <x v="0"/>
    <b v="0"/>
    <b v="0"/>
    <b v="0"/>
    <x v="1"/>
    <b v="1"/>
  </r>
  <r>
    <s v="S-9dcef8"/>
    <s v="A-b30291"/>
    <d v="2024-09-27T00:00:00"/>
    <m/>
    <x v="2"/>
    <n v="41"/>
    <n v="779"/>
    <n v="9348"/>
    <x v="0"/>
    <b v="0"/>
    <b v="0"/>
    <b v="0"/>
    <x v="0"/>
    <b v="1"/>
  </r>
  <r>
    <s v="S-389426"/>
    <s v="A-922109"/>
    <d v="2024-07-04T00:00:00"/>
    <m/>
    <x v="1"/>
    <n v="3"/>
    <n v="147"/>
    <n v="1764"/>
    <x v="0"/>
    <b v="0"/>
    <b v="0"/>
    <b v="0"/>
    <x v="0"/>
    <b v="1"/>
  </r>
  <r>
    <s v="S-1131ff"/>
    <s v="A-0f7d77"/>
    <d v="2024-12-01T00:00:00"/>
    <d v="2024-12-31T00:00:00"/>
    <x v="2"/>
    <n v="3"/>
    <n v="0"/>
    <n v="0"/>
    <x v="1"/>
    <b v="0"/>
    <b v="0"/>
    <b v="1"/>
    <x v="0"/>
    <b v="1"/>
  </r>
  <r>
    <s v="S-c9da7a"/>
    <s v="A-0651a4"/>
    <d v="2024-11-10T00:00:00"/>
    <m/>
    <x v="2"/>
    <n v="16"/>
    <n v="304"/>
    <n v="3648"/>
    <x v="0"/>
    <b v="0"/>
    <b v="0"/>
    <b v="0"/>
    <x v="0"/>
    <b v="1"/>
  </r>
  <r>
    <s v="S-eabe72"/>
    <s v="A-5790f4"/>
    <d v="2024-12-26T00:00:00"/>
    <m/>
    <x v="2"/>
    <n v="33"/>
    <n v="627"/>
    <n v="7524"/>
    <x v="0"/>
    <b v="0"/>
    <b v="0"/>
    <b v="0"/>
    <x v="0"/>
    <b v="0"/>
  </r>
  <r>
    <s v="S-fffeb8"/>
    <s v="A-69fad4"/>
    <d v="2023-12-17T00:00:00"/>
    <m/>
    <x v="0"/>
    <n v="10"/>
    <n v="1990"/>
    <n v="23880"/>
    <x v="0"/>
    <b v="0"/>
    <b v="0"/>
    <b v="0"/>
    <x v="1"/>
    <b v="1"/>
  </r>
  <r>
    <s v="S-92dede"/>
    <s v="A-9208f0"/>
    <d v="2023-08-28T00:00:00"/>
    <m/>
    <x v="2"/>
    <n v="4"/>
    <n v="76"/>
    <n v="912"/>
    <x v="0"/>
    <b v="0"/>
    <b v="0"/>
    <b v="0"/>
    <x v="0"/>
    <b v="1"/>
  </r>
  <r>
    <s v="S-8d122e"/>
    <s v="A-e6afc1"/>
    <d v="2024-07-12T00:00:00"/>
    <m/>
    <x v="0"/>
    <n v="16"/>
    <n v="3184"/>
    <n v="38208"/>
    <x v="0"/>
    <b v="0"/>
    <b v="0"/>
    <b v="0"/>
    <x v="0"/>
    <b v="1"/>
  </r>
  <r>
    <s v="S-285534"/>
    <s v="A-49b828"/>
    <d v="2024-11-09T00:00:00"/>
    <m/>
    <x v="2"/>
    <n v="13"/>
    <n v="247"/>
    <n v="2964"/>
    <x v="0"/>
    <b v="0"/>
    <b v="0"/>
    <b v="0"/>
    <x v="1"/>
    <b v="1"/>
  </r>
  <r>
    <s v="S-1cebf9"/>
    <s v="A-dfbd31"/>
    <d v="2024-10-16T00:00:00"/>
    <m/>
    <x v="1"/>
    <n v="60"/>
    <n v="2940"/>
    <n v="35280"/>
    <x v="0"/>
    <b v="0"/>
    <b v="0"/>
    <b v="0"/>
    <x v="1"/>
    <b v="1"/>
  </r>
  <r>
    <s v="S-36ad61"/>
    <s v="A-a09355"/>
    <d v="2024-10-19T00:00:00"/>
    <m/>
    <x v="1"/>
    <n v="14"/>
    <n v="686"/>
    <n v="8232"/>
    <x v="0"/>
    <b v="0"/>
    <b v="0"/>
    <b v="0"/>
    <x v="0"/>
    <b v="1"/>
  </r>
  <r>
    <s v="S-9fbee8"/>
    <s v="A-49b828"/>
    <d v="2024-10-09T00:00:00"/>
    <m/>
    <x v="1"/>
    <n v="10"/>
    <n v="490"/>
    <n v="5880"/>
    <x v="0"/>
    <b v="0"/>
    <b v="0"/>
    <b v="0"/>
    <x v="1"/>
    <b v="1"/>
  </r>
  <r>
    <s v="S-d5d8ef"/>
    <s v="A-e51ec7"/>
    <d v="2024-10-11T00:00:00"/>
    <m/>
    <x v="0"/>
    <n v="83"/>
    <n v="16517"/>
    <n v="198204"/>
    <x v="0"/>
    <b v="0"/>
    <b v="0"/>
    <b v="0"/>
    <x v="0"/>
    <b v="0"/>
  </r>
  <r>
    <s v="S-418b7c"/>
    <s v="A-35083d"/>
    <d v="2024-10-17T00:00:00"/>
    <m/>
    <x v="1"/>
    <n v="19"/>
    <n v="931"/>
    <n v="11172"/>
    <x v="0"/>
    <b v="0"/>
    <b v="0"/>
    <b v="0"/>
    <x v="1"/>
    <b v="1"/>
  </r>
  <r>
    <s v="S-506cbd"/>
    <s v="A-9c18c4"/>
    <d v="2023-08-29T00:00:00"/>
    <d v="2024-02-22T00:00:00"/>
    <x v="0"/>
    <n v="19"/>
    <n v="3781"/>
    <n v="45372"/>
    <x v="0"/>
    <b v="0"/>
    <b v="0"/>
    <b v="1"/>
    <x v="1"/>
    <b v="0"/>
  </r>
  <r>
    <s v="S-ee5448"/>
    <s v="A-cc1d8d"/>
    <d v="2024-12-29T00:00:00"/>
    <m/>
    <x v="2"/>
    <n v="9"/>
    <n v="171"/>
    <n v="2052"/>
    <x v="0"/>
    <b v="0"/>
    <b v="0"/>
    <b v="0"/>
    <x v="1"/>
    <b v="1"/>
  </r>
  <r>
    <s v="S-d32441"/>
    <s v="A-781cc0"/>
    <d v="2024-09-19T00:00:00"/>
    <d v="2024-11-24T00:00:00"/>
    <x v="0"/>
    <n v="12"/>
    <n v="2388"/>
    <n v="28656"/>
    <x v="0"/>
    <b v="0"/>
    <b v="0"/>
    <b v="1"/>
    <x v="1"/>
    <b v="1"/>
  </r>
  <r>
    <s v="S-7f5316"/>
    <s v="A-856b1e"/>
    <d v="2024-10-17T00:00:00"/>
    <m/>
    <x v="2"/>
    <n v="19"/>
    <n v="0"/>
    <n v="0"/>
    <x v="1"/>
    <b v="0"/>
    <b v="0"/>
    <b v="0"/>
    <x v="0"/>
    <b v="1"/>
  </r>
  <r>
    <s v="S-bdf8bf"/>
    <s v="A-cdf020"/>
    <d v="2023-12-01T00:00:00"/>
    <d v="2024-09-23T00:00:00"/>
    <x v="1"/>
    <n v="31"/>
    <n v="1519"/>
    <n v="18228"/>
    <x v="0"/>
    <b v="0"/>
    <b v="0"/>
    <b v="1"/>
    <x v="0"/>
    <b v="1"/>
  </r>
  <r>
    <s v="S-795878"/>
    <s v="A-5b1bcd"/>
    <d v="2024-03-19T00:00:00"/>
    <m/>
    <x v="0"/>
    <n v="73"/>
    <n v="14527"/>
    <n v="174324"/>
    <x v="0"/>
    <b v="0"/>
    <b v="0"/>
    <b v="0"/>
    <x v="1"/>
    <b v="1"/>
  </r>
  <r>
    <s v="S-2fc8fa"/>
    <s v="A-65a46c"/>
    <d v="2024-08-10T00:00:00"/>
    <m/>
    <x v="1"/>
    <n v="13"/>
    <n v="637"/>
    <n v="7644"/>
    <x v="0"/>
    <b v="1"/>
    <b v="0"/>
    <b v="0"/>
    <x v="0"/>
    <b v="0"/>
  </r>
  <r>
    <s v="S-c508b3"/>
    <s v="A-671f31"/>
    <d v="2024-12-24T00:00:00"/>
    <m/>
    <x v="0"/>
    <n v="59"/>
    <n v="11741"/>
    <n v="140892"/>
    <x v="0"/>
    <b v="0"/>
    <b v="0"/>
    <b v="0"/>
    <x v="1"/>
    <b v="0"/>
  </r>
  <r>
    <s v="S-42d724"/>
    <s v="A-7a0d69"/>
    <d v="2024-08-01T00:00:00"/>
    <m/>
    <x v="1"/>
    <n v="4"/>
    <n v="0"/>
    <n v="0"/>
    <x v="1"/>
    <b v="0"/>
    <b v="0"/>
    <b v="0"/>
    <x v="1"/>
    <b v="1"/>
  </r>
  <r>
    <s v="S-bd9394"/>
    <s v="A-039727"/>
    <d v="2024-11-28T00:00:00"/>
    <m/>
    <x v="0"/>
    <n v="64"/>
    <n v="0"/>
    <n v="0"/>
    <x v="1"/>
    <b v="1"/>
    <b v="0"/>
    <b v="0"/>
    <x v="1"/>
    <b v="0"/>
  </r>
  <r>
    <s v="S-9b12da"/>
    <s v="A-702032"/>
    <d v="2024-12-13T00:00:00"/>
    <d v="2024-12-21T00:00:00"/>
    <x v="1"/>
    <n v="28"/>
    <n v="1372"/>
    <n v="16464"/>
    <x v="0"/>
    <b v="0"/>
    <b v="0"/>
    <b v="1"/>
    <x v="1"/>
    <b v="1"/>
  </r>
  <r>
    <s v="S-3632aa"/>
    <s v="A-f25509"/>
    <d v="2024-05-28T00:00:00"/>
    <m/>
    <x v="0"/>
    <n v="32"/>
    <n v="6368"/>
    <n v="76416"/>
    <x v="0"/>
    <b v="0"/>
    <b v="0"/>
    <b v="0"/>
    <x v="0"/>
    <b v="1"/>
  </r>
  <r>
    <s v="S-9488ec"/>
    <s v="A-1e1b80"/>
    <d v="2023-11-02T00:00:00"/>
    <m/>
    <x v="0"/>
    <n v="50"/>
    <n v="9950"/>
    <n v="119400"/>
    <x v="0"/>
    <b v="0"/>
    <b v="0"/>
    <b v="0"/>
    <x v="1"/>
    <b v="0"/>
  </r>
  <r>
    <s v="S-f40318"/>
    <s v="A-e19ff6"/>
    <d v="2024-03-25T00:00:00"/>
    <m/>
    <x v="0"/>
    <n v="14"/>
    <n v="0"/>
    <n v="0"/>
    <x v="1"/>
    <b v="0"/>
    <b v="0"/>
    <b v="0"/>
    <x v="1"/>
    <b v="0"/>
  </r>
  <r>
    <s v="S-214edb"/>
    <s v="A-558c72"/>
    <d v="2024-06-25T00:00:00"/>
    <m/>
    <x v="2"/>
    <n v="77"/>
    <n v="1463"/>
    <n v="17556"/>
    <x v="0"/>
    <b v="0"/>
    <b v="0"/>
    <b v="0"/>
    <x v="0"/>
    <b v="1"/>
  </r>
  <r>
    <s v="S-d43a40"/>
    <s v="A-4e0e85"/>
    <d v="2024-09-20T00:00:00"/>
    <m/>
    <x v="2"/>
    <n v="15"/>
    <n v="0"/>
    <n v="0"/>
    <x v="1"/>
    <b v="0"/>
    <b v="0"/>
    <b v="0"/>
    <x v="1"/>
    <b v="1"/>
  </r>
  <r>
    <s v="S-565c4b"/>
    <s v="A-7920cc"/>
    <d v="2023-11-27T00:00:00"/>
    <m/>
    <x v="2"/>
    <n v="39"/>
    <n v="741"/>
    <n v="8892"/>
    <x v="0"/>
    <b v="0"/>
    <b v="0"/>
    <b v="0"/>
    <x v="1"/>
    <b v="1"/>
  </r>
  <r>
    <s v="S-1ebe39"/>
    <s v="A-0651a4"/>
    <d v="2024-11-02T00:00:00"/>
    <m/>
    <x v="0"/>
    <n v="19"/>
    <n v="3781"/>
    <n v="45372"/>
    <x v="0"/>
    <b v="0"/>
    <b v="0"/>
    <b v="0"/>
    <x v="1"/>
    <b v="1"/>
  </r>
  <r>
    <s v="S-dc3bbc"/>
    <s v="A-80eeb6"/>
    <d v="2024-09-18T00:00:00"/>
    <m/>
    <x v="1"/>
    <n v="25"/>
    <n v="1225"/>
    <n v="14700"/>
    <x v="0"/>
    <b v="0"/>
    <b v="0"/>
    <b v="0"/>
    <x v="1"/>
    <b v="1"/>
  </r>
  <r>
    <s v="S-937207"/>
    <s v="A-8bde0c"/>
    <d v="2024-12-28T00:00:00"/>
    <m/>
    <x v="0"/>
    <n v="12"/>
    <n v="2388"/>
    <n v="28656"/>
    <x v="0"/>
    <b v="0"/>
    <b v="0"/>
    <b v="0"/>
    <x v="0"/>
    <b v="1"/>
  </r>
  <r>
    <s v="S-14c8b9"/>
    <s v="A-aa9511"/>
    <d v="2023-11-29T00:00:00"/>
    <m/>
    <x v="0"/>
    <n v="33"/>
    <n v="6567"/>
    <n v="78804"/>
    <x v="0"/>
    <b v="0"/>
    <b v="0"/>
    <b v="0"/>
    <x v="0"/>
    <b v="1"/>
  </r>
  <r>
    <s v="S-fd648e"/>
    <s v="A-396e5f"/>
    <d v="2024-10-29T00:00:00"/>
    <m/>
    <x v="1"/>
    <n v="37"/>
    <n v="1813"/>
    <n v="21756"/>
    <x v="0"/>
    <b v="0"/>
    <b v="0"/>
    <b v="0"/>
    <x v="1"/>
    <b v="0"/>
  </r>
  <r>
    <s v="S-3b3fac"/>
    <s v="A-7641d3"/>
    <d v="2024-11-21T00:00:00"/>
    <m/>
    <x v="2"/>
    <n v="10"/>
    <n v="190"/>
    <n v="2280"/>
    <x v="0"/>
    <b v="0"/>
    <b v="0"/>
    <b v="0"/>
    <x v="1"/>
    <b v="1"/>
  </r>
  <r>
    <s v="S-561850"/>
    <s v="A-0a62f5"/>
    <d v="2024-10-23T00:00:00"/>
    <m/>
    <x v="1"/>
    <n v="16"/>
    <n v="784"/>
    <n v="9408"/>
    <x v="0"/>
    <b v="0"/>
    <b v="0"/>
    <b v="0"/>
    <x v="1"/>
    <b v="1"/>
  </r>
  <r>
    <s v="S-2ded36"/>
    <s v="A-a1b80b"/>
    <d v="2024-09-08T00:00:00"/>
    <m/>
    <x v="0"/>
    <n v="16"/>
    <n v="3184"/>
    <n v="38208"/>
    <x v="0"/>
    <b v="1"/>
    <b v="0"/>
    <b v="0"/>
    <x v="1"/>
    <b v="1"/>
  </r>
  <r>
    <s v="S-6904e6"/>
    <s v="A-39b19f"/>
    <d v="2023-02-23T00:00:00"/>
    <m/>
    <x v="1"/>
    <n v="16"/>
    <n v="784"/>
    <n v="9408"/>
    <x v="0"/>
    <b v="0"/>
    <b v="0"/>
    <b v="0"/>
    <x v="0"/>
    <b v="1"/>
  </r>
  <r>
    <s v="S-07f282"/>
    <s v="A-88c6ca"/>
    <d v="2024-11-19T00:00:00"/>
    <m/>
    <x v="0"/>
    <n v="5"/>
    <n v="995"/>
    <n v="11940"/>
    <x v="0"/>
    <b v="0"/>
    <b v="0"/>
    <b v="0"/>
    <x v="0"/>
    <b v="1"/>
  </r>
  <r>
    <s v="S-343743"/>
    <s v="A-2d1036"/>
    <d v="2024-08-25T00:00:00"/>
    <m/>
    <x v="1"/>
    <n v="69"/>
    <n v="3381"/>
    <n v="40572"/>
    <x v="0"/>
    <b v="0"/>
    <b v="0"/>
    <b v="0"/>
    <x v="1"/>
    <b v="1"/>
  </r>
  <r>
    <s v="S-d92159"/>
    <s v="A-b30291"/>
    <d v="2024-12-22T00:00:00"/>
    <m/>
    <x v="1"/>
    <n v="5"/>
    <n v="245"/>
    <n v="2940"/>
    <x v="0"/>
    <b v="0"/>
    <b v="0"/>
    <b v="0"/>
    <x v="1"/>
    <b v="1"/>
  </r>
  <r>
    <s v="S-a9916f"/>
    <s v="A-054577"/>
    <d v="2024-05-18T00:00:00"/>
    <m/>
    <x v="1"/>
    <n v="7"/>
    <n v="343"/>
    <n v="4116"/>
    <x v="0"/>
    <b v="0"/>
    <b v="0"/>
    <b v="0"/>
    <x v="1"/>
    <b v="1"/>
  </r>
  <r>
    <s v="S-ec690c"/>
    <s v="A-328bd0"/>
    <d v="2023-10-11T00:00:00"/>
    <m/>
    <x v="2"/>
    <n v="18"/>
    <n v="342"/>
    <n v="4104"/>
    <x v="0"/>
    <b v="0"/>
    <b v="0"/>
    <b v="0"/>
    <x v="1"/>
    <b v="1"/>
  </r>
  <r>
    <s v="S-ee2669"/>
    <s v="A-e43bf7"/>
    <d v="2024-12-29T00:00:00"/>
    <m/>
    <x v="0"/>
    <n v="44"/>
    <n v="8756"/>
    <n v="105072"/>
    <x v="0"/>
    <b v="0"/>
    <b v="0"/>
    <b v="0"/>
    <x v="1"/>
    <b v="1"/>
  </r>
  <r>
    <s v="S-e6cfc1"/>
    <s v="A-1e6fc3"/>
    <d v="2024-01-11T00:00:00"/>
    <d v="2024-04-02T00:00:00"/>
    <x v="2"/>
    <n v="1"/>
    <n v="0"/>
    <n v="0"/>
    <x v="1"/>
    <b v="0"/>
    <b v="0"/>
    <b v="1"/>
    <x v="1"/>
    <b v="1"/>
  </r>
  <r>
    <s v="S-195f9b"/>
    <s v="A-92a333"/>
    <d v="2024-02-08T00:00:00"/>
    <m/>
    <x v="1"/>
    <n v="14"/>
    <n v="686"/>
    <n v="8232"/>
    <x v="0"/>
    <b v="0"/>
    <b v="0"/>
    <b v="0"/>
    <x v="1"/>
    <b v="1"/>
  </r>
  <r>
    <s v="S-704b48"/>
    <s v="A-a7bd4b"/>
    <d v="2023-11-15T00:00:00"/>
    <d v="2024-10-10T00:00:00"/>
    <x v="0"/>
    <n v="15"/>
    <n v="0"/>
    <n v="0"/>
    <x v="1"/>
    <b v="0"/>
    <b v="0"/>
    <b v="1"/>
    <x v="1"/>
    <b v="0"/>
  </r>
  <r>
    <s v="S-a1d67e"/>
    <s v="A-bbc346"/>
    <d v="2024-12-20T00:00:00"/>
    <m/>
    <x v="1"/>
    <n v="20"/>
    <n v="980"/>
    <n v="11760"/>
    <x v="0"/>
    <b v="0"/>
    <b v="0"/>
    <b v="0"/>
    <x v="1"/>
    <b v="0"/>
  </r>
  <r>
    <s v="S-55a3e4"/>
    <s v="A-f5641b"/>
    <d v="2024-12-21T00:00:00"/>
    <m/>
    <x v="1"/>
    <n v="31"/>
    <n v="1519"/>
    <n v="18228"/>
    <x v="0"/>
    <b v="0"/>
    <b v="0"/>
    <b v="0"/>
    <x v="1"/>
    <b v="0"/>
  </r>
  <r>
    <s v="S-ffd591"/>
    <s v="A-157070"/>
    <d v="2024-02-11T00:00:00"/>
    <d v="2024-04-15T00:00:00"/>
    <x v="2"/>
    <n v="17"/>
    <n v="323"/>
    <n v="3876"/>
    <x v="0"/>
    <b v="1"/>
    <b v="0"/>
    <b v="1"/>
    <x v="0"/>
    <b v="1"/>
  </r>
  <r>
    <s v="S-f0972b"/>
    <s v="A-b7b7b7"/>
    <d v="2024-09-02T00:00:00"/>
    <m/>
    <x v="0"/>
    <n v="27"/>
    <n v="5373"/>
    <n v="64476"/>
    <x v="0"/>
    <b v="0"/>
    <b v="0"/>
    <b v="0"/>
    <x v="0"/>
    <b v="1"/>
  </r>
  <r>
    <s v="S-65491f"/>
    <s v="A-039727"/>
    <d v="2024-11-12T00:00:00"/>
    <m/>
    <x v="1"/>
    <n v="25"/>
    <n v="1225"/>
    <n v="14700"/>
    <x v="0"/>
    <b v="0"/>
    <b v="0"/>
    <b v="0"/>
    <x v="0"/>
    <b v="0"/>
  </r>
  <r>
    <s v="S-ad26e3"/>
    <s v="A-c37601"/>
    <d v="2024-11-04T00:00:00"/>
    <d v="2024-12-09T00:00:00"/>
    <x v="1"/>
    <n v="6"/>
    <n v="0"/>
    <n v="0"/>
    <x v="1"/>
    <b v="0"/>
    <b v="0"/>
    <b v="1"/>
    <x v="0"/>
    <b v="0"/>
  </r>
  <r>
    <s v="S-53fa80"/>
    <s v="A-462d45"/>
    <d v="2024-08-05T00:00:00"/>
    <m/>
    <x v="0"/>
    <n v="14"/>
    <n v="2786"/>
    <n v="33432"/>
    <x v="0"/>
    <b v="0"/>
    <b v="0"/>
    <b v="0"/>
    <x v="0"/>
    <b v="1"/>
  </r>
  <r>
    <s v="S-592443"/>
    <s v="A-c1dfe1"/>
    <d v="2024-05-01T00:00:00"/>
    <m/>
    <x v="0"/>
    <n v="26"/>
    <n v="5174"/>
    <n v="62088"/>
    <x v="0"/>
    <b v="0"/>
    <b v="1"/>
    <b v="0"/>
    <x v="0"/>
    <b v="0"/>
  </r>
  <r>
    <s v="S-6c6e91"/>
    <s v="A-2bc93d"/>
    <d v="2024-04-16T00:00:00"/>
    <m/>
    <x v="1"/>
    <n v="31"/>
    <n v="1519"/>
    <n v="18228"/>
    <x v="0"/>
    <b v="0"/>
    <b v="0"/>
    <b v="0"/>
    <x v="0"/>
    <b v="1"/>
  </r>
  <r>
    <s v="S-c17a35"/>
    <s v="A-1ac5e0"/>
    <d v="2024-11-25T00:00:00"/>
    <m/>
    <x v="1"/>
    <n v="33"/>
    <n v="1617"/>
    <n v="19404"/>
    <x v="0"/>
    <b v="0"/>
    <b v="0"/>
    <b v="0"/>
    <x v="0"/>
    <b v="0"/>
  </r>
  <r>
    <s v="S-3a79ac"/>
    <s v="A-f92792"/>
    <d v="2024-11-15T00:00:00"/>
    <m/>
    <x v="2"/>
    <n v="4"/>
    <n v="0"/>
    <n v="0"/>
    <x v="1"/>
    <b v="0"/>
    <b v="0"/>
    <b v="0"/>
    <x v="0"/>
    <b v="1"/>
  </r>
  <r>
    <s v="S-2f138c"/>
    <s v="A-ce66f8"/>
    <d v="2024-07-27T00:00:00"/>
    <m/>
    <x v="1"/>
    <n v="29"/>
    <n v="1421"/>
    <n v="17052"/>
    <x v="0"/>
    <b v="0"/>
    <b v="0"/>
    <b v="0"/>
    <x v="1"/>
    <b v="1"/>
  </r>
  <r>
    <s v="S-d2b5db"/>
    <s v="A-db5e9e"/>
    <d v="2024-12-09T00:00:00"/>
    <m/>
    <x v="1"/>
    <n v="13"/>
    <n v="0"/>
    <n v="0"/>
    <x v="1"/>
    <b v="0"/>
    <b v="0"/>
    <b v="0"/>
    <x v="1"/>
    <b v="0"/>
  </r>
  <r>
    <s v="S-b6c0a0"/>
    <s v="A-443b7c"/>
    <d v="2024-11-01T00:00:00"/>
    <m/>
    <x v="2"/>
    <n v="3"/>
    <n v="57"/>
    <n v="684"/>
    <x v="0"/>
    <b v="0"/>
    <b v="0"/>
    <b v="0"/>
    <x v="0"/>
    <b v="1"/>
  </r>
  <r>
    <s v="S-770018"/>
    <s v="A-149a69"/>
    <d v="2024-12-14T00:00:00"/>
    <m/>
    <x v="0"/>
    <n v="34"/>
    <n v="6766"/>
    <n v="81192"/>
    <x v="0"/>
    <b v="0"/>
    <b v="0"/>
    <b v="0"/>
    <x v="1"/>
    <b v="0"/>
  </r>
  <r>
    <s v="S-18f7e5"/>
    <s v="A-2789e3"/>
    <d v="2024-12-04T00:00:00"/>
    <m/>
    <x v="0"/>
    <n v="30"/>
    <n v="5970"/>
    <n v="71640"/>
    <x v="0"/>
    <b v="0"/>
    <b v="0"/>
    <b v="0"/>
    <x v="1"/>
    <b v="1"/>
  </r>
  <r>
    <s v="S-80632f"/>
    <s v="A-068fc6"/>
    <d v="2024-07-06T00:00:00"/>
    <m/>
    <x v="1"/>
    <n v="35"/>
    <n v="1715"/>
    <n v="20580"/>
    <x v="0"/>
    <b v="0"/>
    <b v="0"/>
    <b v="0"/>
    <x v="0"/>
    <b v="0"/>
  </r>
  <r>
    <s v="S-c0e639"/>
    <s v="A-7920cc"/>
    <d v="2024-01-07T00:00:00"/>
    <m/>
    <x v="1"/>
    <n v="50"/>
    <n v="0"/>
    <n v="0"/>
    <x v="1"/>
    <b v="0"/>
    <b v="0"/>
    <b v="0"/>
    <x v="1"/>
    <b v="1"/>
  </r>
  <r>
    <s v="S-63606e"/>
    <s v="A-7a0d69"/>
    <d v="2024-09-28T00:00:00"/>
    <m/>
    <x v="1"/>
    <n v="4"/>
    <n v="196"/>
    <n v="2352"/>
    <x v="0"/>
    <b v="1"/>
    <b v="0"/>
    <b v="0"/>
    <x v="0"/>
    <b v="1"/>
  </r>
  <r>
    <s v="S-038c7d"/>
    <s v="A-712426"/>
    <d v="2024-11-10T00:00:00"/>
    <m/>
    <x v="2"/>
    <n v="9"/>
    <n v="0"/>
    <n v="0"/>
    <x v="1"/>
    <b v="0"/>
    <b v="0"/>
    <b v="0"/>
    <x v="0"/>
    <b v="1"/>
  </r>
  <r>
    <s v="S-0c03b0"/>
    <s v="A-39b19f"/>
    <d v="2023-11-23T00:00:00"/>
    <m/>
    <x v="1"/>
    <n v="36"/>
    <n v="1764"/>
    <n v="21168"/>
    <x v="0"/>
    <b v="0"/>
    <b v="0"/>
    <b v="0"/>
    <x v="0"/>
    <b v="0"/>
  </r>
  <r>
    <s v="S-18f829"/>
    <s v="A-a33200"/>
    <d v="2024-11-16T00:00:00"/>
    <m/>
    <x v="1"/>
    <n v="36"/>
    <n v="1764"/>
    <n v="21168"/>
    <x v="0"/>
    <b v="1"/>
    <b v="0"/>
    <b v="0"/>
    <x v="1"/>
    <b v="1"/>
  </r>
  <r>
    <s v="S-4bfa1d"/>
    <s v="A-ce550d"/>
    <d v="2024-12-21T00:00:00"/>
    <d v="2024-12-30T00:00:00"/>
    <x v="1"/>
    <n v="35"/>
    <n v="1715"/>
    <n v="20580"/>
    <x v="0"/>
    <b v="0"/>
    <b v="0"/>
    <b v="1"/>
    <x v="0"/>
    <b v="1"/>
  </r>
  <r>
    <s v="S-c657b6"/>
    <s v="A-7c5768"/>
    <d v="2024-03-05T00:00:00"/>
    <m/>
    <x v="0"/>
    <n v="5"/>
    <n v="995"/>
    <n v="11940"/>
    <x v="0"/>
    <b v="0"/>
    <b v="0"/>
    <b v="0"/>
    <x v="1"/>
    <b v="1"/>
  </r>
  <r>
    <s v="S-8b721c"/>
    <s v="A-8b25f2"/>
    <d v="2024-09-14T00:00:00"/>
    <m/>
    <x v="0"/>
    <n v="28"/>
    <n v="5572"/>
    <n v="66864"/>
    <x v="0"/>
    <b v="0"/>
    <b v="0"/>
    <b v="0"/>
    <x v="1"/>
    <b v="1"/>
  </r>
  <r>
    <s v="S-290ee5"/>
    <s v="A-68f37c"/>
    <d v="2024-03-26T00:00:00"/>
    <m/>
    <x v="2"/>
    <n v="67"/>
    <n v="1273"/>
    <n v="15276"/>
    <x v="0"/>
    <b v="0"/>
    <b v="0"/>
    <b v="0"/>
    <x v="1"/>
    <b v="1"/>
  </r>
  <r>
    <s v="S-f6f1e1"/>
    <s v="A-337bc1"/>
    <d v="2024-08-09T00:00:00"/>
    <m/>
    <x v="2"/>
    <n v="40"/>
    <n v="760"/>
    <n v="9120"/>
    <x v="0"/>
    <b v="1"/>
    <b v="0"/>
    <b v="0"/>
    <x v="1"/>
    <b v="1"/>
  </r>
  <r>
    <s v="S-597873"/>
    <s v="A-05f0e5"/>
    <d v="2024-07-09T00:00:00"/>
    <m/>
    <x v="0"/>
    <n v="32"/>
    <n v="6368"/>
    <n v="76416"/>
    <x v="0"/>
    <b v="0"/>
    <b v="0"/>
    <b v="0"/>
    <x v="0"/>
    <b v="1"/>
  </r>
  <r>
    <s v="S-e50d84"/>
    <s v="A-0baac2"/>
    <d v="2024-12-11T00:00:00"/>
    <m/>
    <x v="0"/>
    <n v="14"/>
    <n v="2786"/>
    <n v="33432"/>
    <x v="0"/>
    <b v="0"/>
    <b v="0"/>
    <b v="0"/>
    <x v="1"/>
    <b v="1"/>
  </r>
  <r>
    <s v="S-9ed535"/>
    <s v="A-4f18f0"/>
    <d v="2024-10-04T00:00:00"/>
    <m/>
    <x v="0"/>
    <n v="24"/>
    <n v="4776"/>
    <n v="57312"/>
    <x v="0"/>
    <b v="0"/>
    <b v="0"/>
    <b v="0"/>
    <x v="1"/>
    <b v="1"/>
  </r>
  <r>
    <s v="S-e66f1a"/>
    <s v="A-fa2041"/>
    <d v="2024-07-16T00:00:00"/>
    <m/>
    <x v="2"/>
    <n v="20"/>
    <n v="0"/>
    <n v="0"/>
    <x v="1"/>
    <b v="0"/>
    <b v="0"/>
    <b v="0"/>
    <x v="0"/>
    <b v="1"/>
  </r>
  <r>
    <s v="S-c8ba3e"/>
    <s v="A-5b4ebb"/>
    <d v="2024-09-22T00:00:00"/>
    <m/>
    <x v="2"/>
    <n v="21"/>
    <n v="399"/>
    <n v="4788"/>
    <x v="0"/>
    <b v="0"/>
    <b v="0"/>
    <b v="0"/>
    <x v="1"/>
    <b v="1"/>
  </r>
  <r>
    <s v="S-755e1b"/>
    <s v="A-e4144b"/>
    <d v="2024-12-18T00:00:00"/>
    <m/>
    <x v="1"/>
    <n v="41"/>
    <n v="2009"/>
    <n v="24108"/>
    <x v="0"/>
    <b v="0"/>
    <b v="0"/>
    <b v="0"/>
    <x v="1"/>
    <b v="1"/>
  </r>
  <r>
    <s v="S-5cba26"/>
    <s v="A-8b25f2"/>
    <d v="2024-07-30T00:00:00"/>
    <m/>
    <x v="2"/>
    <n v="6"/>
    <n v="114"/>
    <n v="1368"/>
    <x v="0"/>
    <b v="0"/>
    <b v="0"/>
    <b v="0"/>
    <x v="0"/>
    <b v="1"/>
  </r>
  <r>
    <s v="S-579a24"/>
    <s v="A-32fb14"/>
    <d v="2024-09-04T00:00:00"/>
    <m/>
    <x v="2"/>
    <n v="26"/>
    <n v="494"/>
    <n v="5928"/>
    <x v="0"/>
    <b v="1"/>
    <b v="0"/>
    <b v="0"/>
    <x v="0"/>
    <b v="0"/>
  </r>
  <r>
    <s v="S-e561b9"/>
    <s v="A-d26ab4"/>
    <d v="2024-11-13T00:00:00"/>
    <d v="2024-11-30T00:00:00"/>
    <x v="1"/>
    <n v="18"/>
    <n v="882"/>
    <n v="10584"/>
    <x v="0"/>
    <b v="0"/>
    <b v="1"/>
    <b v="1"/>
    <x v="0"/>
    <b v="1"/>
  </r>
  <r>
    <s v="S-8ae804"/>
    <s v="A-0dbdc6"/>
    <d v="2024-05-05T00:00:00"/>
    <m/>
    <x v="0"/>
    <n v="50"/>
    <n v="9950"/>
    <n v="119400"/>
    <x v="0"/>
    <b v="0"/>
    <b v="0"/>
    <b v="0"/>
    <x v="0"/>
    <b v="1"/>
  </r>
  <r>
    <s v="S-d97ff1"/>
    <s v="A-7d514c"/>
    <d v="2024-03-20T00:00:00"/>
    <m/>
    <x v="2"/>
    <n v="17"/>
    <n v="323"/>
    <n v="3876"/>
    <x v="0"/>
    <b v="0"/>
    <b v="0"/>
    <b v="0"/>
    <x v="0"/>
    <b v="1"/>
  </r>
  <r>
    <s v="S-bb8429"/>
    <s v="A-dbc825"/>
    <d v="2024-04-27T00:00:00"/>
    <m/>
    <x v="1"/>
    <n v="19"/>
    <n v="931"/>
    <n v="11172"/>
    <x v="0"/>
    <b v="0"/>
    <b v="0"/>
    <b v="0"/>
    <x v="1"/>
    <b v="1"/>
  </r>
  <r>
    <s v="S-78ba09"/>
    <s v="A-f97b9a"/>
    <d v="2024-11-30T00:00:00"/>
    <m/>
    <x v="1"/>
    <n v="54"/>
    <n v="2646"/>
    <n v="31752"/>
    <x v="0"/>
    <b v="1"/>
    <b v="0"/>
    <b v="0"/>
    <x v="1"/>
    <b v="0"/>
  </r>
  <r>
    <s v="S-979365"/>
    <s v="A-bb2f49"/>
    <d v="2023-06-29T00:00:00"/>
    <m/>
    <x v="1"/>
    <n v="68"/>
    <n v="3332"/>
    <n v="39984"/>
    <x v="0"/>
    <b v="0"/>
    <b v="1"/>
    <b v="0"/>
    <x v="0"/>
    <b v="1"/>
  </r>
  <r>
    <s v="S-b96ee3"/>
    <s v="A-c16b88"/>
    <d v="2024-12-20T00:00:00"/>
    <m/>
    <x v="2"/>
    <n v="23"/>
    <n v="437"/>
    <n v="5244"/>
    <x v="0"/>
    <b v="0"/>
    <b v="0"/>
    <b v="0"/>
    <x v="0"/>
    <b v="1"/>
  </r>
  <r>
    <s v="S-70cc83"/>
    <s v="A-313be3"/>
    <d v="2024-12-16T00:00:00"/>
    <m/>
    <x v="1"/>
    <n v="47"/>
    <n v="2303"/>
    <n v="27636"/>
    <x v="0"/>
    <b v="0"/>
    <b v="0"/>
    <b v="0"/>
    <x v="0"/>
    <b v="1"/>
  </r>
  <r>
    <s v="S-3b29ea"/>
    <s v="A-c37cab"/>
    <d v="2024-11-26T00:00:00"/>
    <m/>
    <x v="2"/>
    <n v="13"/>
    <n v="247"/>
    <n v="2964"/>
    <x v="0"/>
    <b v="0"/>
    <b v="0"/>
    <b v="0"/>
    <x v="0"/>
    <b v="0"/>
  </r>
  <r>
    <s v="S-8ff318"/>
    <s v="A-e7beab"/>
    <d v="2024-12-23T00:00:00"/>
    <d v="2024-12-29T00:00:00"/>
    <x v="1"/>
    <n v="5"/>
    <n v="245"/>
    <n v="2940"/>
    <x v="0"/>
    <b v="0"/>
    <b v="0"/>
    <b v="1"/>
    <x v="0"/>
    <b v="1"/>
  </r>
  <r>
    <s v="S-0509b8"/>
    <s v="A-e351e1"/>
    <d v="2024-12-26T00:00:00"/>
    <d v="2024-12-29T00:00:00"/>
    <x v="2"/>
    <n v="33"/>
    <n v="627"/>
    <n v="7524"/>
    <x v="0"/>
    <b v="0"/>
    <b v="0"/>
    <b v="1"/>
    <x v="1"/>
    <b v="1"/>
  </r>
  <r>
    <s v="S-95cf94"/>
    <s v="A-1ac5e0"/>
    <d v="2024-10-24T00:00:00"/>
    <m/>
    <x v="2"/>
    <n v="33"/>
    <n v="627"/>
    <n v="7524"/>
    <x v="0"/>
    <b v="0"/>
    <b v="0"/>
    <b v="0"/>
    <x v="1"/>
    <b v="1"/>
  </r>
  <r>
    <s v="S-7da02b"/>
    <s v="A-f44180"/>
    <d v="2023-05-20T00:00:00"/>
    <d v="2023-12-19T00:00:00"/>
    <x v="0"/>
    <n v="89"/>
    <n v="17711"/>
    <n v="212532"/>
    <x v="0"/>
    <b v="0"/>
    <b v="0"/>
    <b v="1"/>
    <x v="1"/>
    <b v="1"/>
  </r>
  <r>
    <s v="S-07ff57"/>
    <s v="A-c608c8"/>
    <d v="2024-03-11T00:00:00"/>
    <m/>
    <x v="1"/>
    <n v="58"/>
    <n v="2842"/>
    <n v="34104"/>
    <x v="0"/>
    <b v="0"/>
    <b v="0"/>
    <b v="0"/>
    <x v="0"/>
    <b v="0"/>
  </r>
  <r>
    <s v="S-a0ba0c"/>
    <s v="A-eb1312"/>
    <d v="2024-12-18T00:00:00"/>
    <m/>
    <x v="2"/>
    <n v="42"/>
    <n v="798"/>
    <n v="9576"/>
    <x v="0"/>
    <b v="0"/>
    <b v="0"/>
    <b v="0"/>
    <x v="0"/>
    <b v="1"/>
  </r>
  <r>
    <s v="S-b250cc"/>
    <s v="A-029f69"/>
    <d v="2024-11-08T00:00:00"/>
    <m/>
    <x v="0"/>
    <n v="3"/>
    <n v="597"/>
    <n v="7164"/>
    <x v="0"/>
    <b v="1"/>
    <b v="0"/>
    <b v="0"/>
    <x v="1"/>
    <b v="1"/>
  </r>
  <r>
    <s v="S-d11e9f"/>
    <s v="A-186a44"/>
    <d v="2024-08-10T00:00:00"/>
    <m/>
    <x v="2"/>
    <n v="20"/>
    <n v="380"/>
    <n v="4560"/>
    <x v="0"/>
    <b v="0"/>
    <b v="0"/>
    <b v="0"/>
    <x v="0"/>
    <b v="1"/>
  </r>
  <r>
    <s v="S-24a63d"/>
    <s v="A-712533"/>
    <d v="2023-11-23T00:00:00"/>
    <m/>
    <x v="2"/>
    <n v="36"/>
    <n v="684"/>
    <n v="8208"/>
    <x v="0"/>
    <b v="0"/>
    <b v="0"/>
    <b v="0"/>
    <x v="1"/>
    <b v="1"/>
  </r>
  <r>
    <s v="S-aba835"/>
    <s v="A-5b1bcd"/>
    <d v="2023-09-23T00:00:00"/>
    <d v="2024-11-02T00:00:00"/>
    <x v="2"/>
    <n v="73"/>
    <n v="1387"/>
    <n v="16644"/>
    <x v="0"/>
    <b v="0"/>
    <b v="0"/>
    <b v="1"/>
    <x v="1"/>
    <b v="1"/>
  </r>
  <r>
    <s v="S-a0c517"/>
    <s v="A-7f6b86"/>
    <d v="2023-10-24T00:00:00"/>
    <m/>
    <x v="1"/>
    <n v="59"/>
    <n v="2891"/>
    <n v="34692"/>
    <x v="0"/>
    <b v="1"/>
    <b v="0"/>
    <b v="0"/>
    <x v="0"/>
    <b v="1"/>
  </r>
  <r>
    <s v="S-c3cb12"/>
    <s v="A-ce550d"/>
    <d v="2024-11-01T00:00:00"/>
    <m/>
    <x v="0"/>
    <n v="54"/>
    <n v="10746"/>
    <n v="128952"/>
    <x v="0"/>
    <b v="0"/>
    <b v="0"/>
    <b v="0"/>
    <x v="1"/>
    <b v="0"/>
  </r>
  <r>
    <s v="S-a88726"/>
    <s v="A-a33200"/>
    <d v="2024-11-30T00:00:00"/>
    <m/>
    <x v="2"/>
    <n v="29"/>
    <n v="551"/>
    <n v="6612"/>
    <x v="0"/>
    <b v="0"/>
    <b v="0"/>
    <b v="0"/>
    <x v="1"/>
    <b v="1"/>
  </r>
  <r>
    <s v="S-d7ae8c"/>
    <s v="A-72799b"/>
    <d v="2023-12-28T00:00:00"/>
    <m/>
    <x v="2"/>
    <n v="20"/>
    <n v="380"/>
    <n v="4560"/>
    <x v="0"/>
    <b v="1"/>
    <b v="0"/>
    <b v="0"/>
    <x v="0"/>
    <b v="1"/>
  </r>
  <r>
    <s v="S-86fd71"/>
    <s v="A-0651a4"/>
    <d v="2024-10-27T00:00:00"/>
    <m/>
    <x v="0"/>
    <n v="60"/>
    <n v="11940"/>
    <n v="143280"/>
    <x v="0"/>
    <b v="0"/>
    <b v="0"/>
    <b v="0"/>
    <x v="1"/>
    <b v="1"/>
  </r>
  <r>
    <s v="S-cac22d"/>
    <s v="A-19b2c8"/>
    <d v="2023-08-06T00:00:00"/>
    <m/>
    <x v="2"/>
    <n v="20"/>
    <n v="380"/>
    <n v="4560"/>
    <x v="0"/>
    <b v="0"/>
    <b v="0"/>
    <b v="0"/>
    <x v="1"/>
    <b v="1"/>
  </r>
  <r>
    <s v="S-f463d3"/>
    <s v="A-acb7f7"/>
    <d v="2024-03-24T00:00:00"/>
    <m/>
    <x v="0"/>
    <n v="32"/>
    <n v="6368"/>
    <n v="76416"/>
    <x v="0"/>
    <b v="1"/>
    <b v="0"/>
    <b v="0"/>
    <x v="0"/>
    <b v="1"/>
  </r>
  <r>
    <s v="S-6ceec5"/>
    <s v="A-7e0a10"/>
    <d v="2024-07-24T00:00:00"/>
    <m/>
    <x v="2"/>
    <n v="46"/>
    <n v="874"/>
    <n v="10488"/>
    <x v="0"/>
    <b v="0"/>
    <b v="0"/>
    <b v="0"/>
    <x v="1"/>
    <b v="1"/>
  </r>
  <r>
    <s v="S-9220c9"/>
    <s v="A-417d2f"/>
    <d v="2024-06-23T00:00:00"/>
    <m/>
    <x v="1"/>
    <n v="4"/>
    <n v="196"/>
    <n v="2352"/>
    <x v="0"/>
    <b v="0"/>
    <b v="0"/>
    <b v="0"/>
    <x v="0"/>
    <b v="1"/>
  </r>
  <r>
    <s v="S-d97185"/>
    <s v="A-592832"/>
    <d v="2024-12-22T00:00:00"/>
    <m/>
    <x v="1"/>
    <n v="37"/>
    <n v="1813"/>
    <n v="21756"/>
    <x v="0"/>
    <b v="0"/>
    <b v="0"/>
    <b v="0"/>
    <x v="1"/>
    <b v="1"/>
  </r>
  <r>
    <s v="S-0e3b42"/>
    <s v="A-cb5333"/>
    <d v="2024-06-02T00:00:00"/>
    <d v="2024-06-12T00:00:00"/>
    <x v="1"/>
    <n v="33"/>
    <n v="1617"/>
    <n v="19404"/>
    <x v="0"/>
    <b v="0"/>
    <b v="1"/>
    <b v="1"/>
    <x v="1"/>
    <b v="0"/>
  </r>
  <r>
    <s v="S-1ad0ca"/>
    <s v="A-ed510f"/>
    <d v="2024-04-09T00:00:00"/>
    <m/>
    <x v="0"/>
    <n v="42"/>
    <n v="8358"/>
    <n v="100296"/>
    <x v="0"/>
    <b v="0"/>
    <b v="0"/>
    <b v="0"/>
    <x v="1"/>
    <b v="1"/>
  </r>
  <r>
    <s v="S-21e372"/>
    <s v="A-4e960a"/>
    <d v="2024-09-23T00:00:00"/>
    <m/>
    <x v="2"/>
    <n v="12"/>
    <n v="228"/>
    <n v="2736"/>
    <x v="0"/>
    <b v="0"/>
    <b v="0"/>
    <b v="0"/>
    <x v="0"/>
    <b v="1"/>
  </r>
  <r>
    <s v="S-05624a"/>
    <s v="A-c37cab"/>
    <d v="2024-10-26T00:00:00"/>
    <m/>
    <x v="1"/>
    <n v="13"/>
    <n v="637"/>
    <n v="7644"/>
    <x v="0"/>
    <b v="0"/>
    <b v="0"/>
    <b v="0"/>
    <x v="1"/>
    <b v="1"/>
  </r>
  <r>
    <s v="S-44a7c3"/>
    <s v="A-50f3f7"/>
    <d v="2024-10-23T00:00:00"/>
    <m/>
    <x v="0"/>
    <n v="31"/>
    <n v="6169"/>
    <n v="74028"/>
    <x v="0"/>
    <b v="0"/>
    <b v="0"/>
    <b v="0"/>
    <x v="0"/>
    <b v="1"/>
  </r>
  <r>
    <s v="S-a9e864"/>
    <s v="A-44dc83"/>
    <d v="2024-09-24T00:00:00"/>
    <m/>
    <x v="2"/>
    <n v="17"/>
    <n v="0"/>
    <n v="0"/>
    <x v="1"/>
    <b v="0"/>
    <b v="0"/>
    <b v="0"/>
    <x v="1"/>
    <b v="1"/>
  </r>
  <r>
    <s v="S-5e558a"/>
    <s v="A-10b8f2"/>
    <d v="2023-10-07T00:00:00"/>
    <m/>
    <x v="0"/>
    <n v="47"/>
    <n v="9353"/>
    <n v="112236"/>
    <x v="0"/>
    <b v="0"/>
    <b v="0"/>
    <b v="0"/>
    <x v="1"/>
    <b v="1"/>
  </r>
  <r>
    <s v="S-ea5984"/>
    <s v="A-977ca0"/>
    <d v="2023-02-20T00:00:00"/>
    <m/>
    <x v="0"/>
    <n v="6"/>
    <n v="1194"/>
    <n v="14328"/>
    <x v="0"/>
    <b v="0"/>
    <b v="0"/>
    <b v="0"/>
    <x v="1"/>
    <b v="1"/>
  </r>
  <r>
    <s v="S-d6d433"/>
    <s v="A-5247b3"/>
    <d v="2024-06-14T00:00:00"/>
    <d v="2024-11-19T00:00:00"/>
    <x v="2"/>
    <n v="16"/>
    <n v="0"/>
    <n v="0"/>
    <x v="1"/>
    <b v="0"/>
    <b v="0"/>
    <b v="1"/>
    <x v="1"/>
    <b v="1"/>
  </r>
  <r>
    <s v="S-d93967"/>
    <s v="A-075038"/>
    <d v="2024-01-11T00:00:00"/>
    <m/>
    <x v="1"/>
    <n v="50"/>
    <n v="2450"/>
    <n v="29400"/>
    <x v="0"/>
    <b v="0"/>
    <b v="0"/>
    <b v="0"/>
    <x v="0"/>
    <b v="0"/>
  </r>
  <r>
    <s v="S-0e8ae2"/>
    <s v="A-4814a3"/>
    <d v="2024-11-24T00:00:00"/>
    <m/>
    <x v="1"/>
    <n v="87"/>
    <n v="0"/>
    <n v="0"/>
    <x v="1"/>
    <b v="0"/>
    <b v="0"/>
    <b v="0"/>
    <x v="0"/>
    <b v="1"/>
  </r>
  <r>
    <s v="S-5eb846"/>
    <s v="A-2789e3"/>
    <d v="2024-12-10T00:00:00"/>
    <m/>
    <x v="1"/>
    <n v="11"/>
    <n v="539"/>
    <n v="6468"/>
    <x v="0"/>
    <b v="0"/>
    <b v="0"/>
    <b v="0"/>
    <x v="0"/>
    <b v="0"/>
  </r>
  <r>
    <s v="S-472fda"/>
    <s v="A-883b7d"/>
    <d v="2024-08-19T00:00:00"/>
    <m/>
    <x v="1"/>
    <n v="27"/>
    <n v="1323"/>
    <n v="15876"/>
    <x v="0"/>
    <b v="0"/>
    <b v="0"/>
    <b v="0"/>
    <x v="1"/>
    <b v="1"/>
  </r>
  <r>
    <s v="S-afc4cb"/>
    <s v="A-86fc1d"/>
    <d v="2024-10-16T00:00:00"/>
    <m/>
    <x v="2"/>
    <n v="26"/>
    <n v="494"/>
    <n v="5928"/>
    <x v="0"/>
    <b v="0"/>
    <b v="0"/>
    <b v="0"/>
    <x v="0"/>
    <b v="1"/>
  </r>
  <r>
    <s v="S-a69aed"/>
    <s v="A-0b0d6d"/>
    <d v="2024-12-30T00:00:00"/>
    <m/>
    <x v="2"/>
    <n v="3"/>
    <n v="57"/>
    <n v="684"/>
    <x v="0"/>
    <b v="0"/>
    <b v="0"/>
    <b v="0"/>
    <x v="0"/>
    <b v="1"/>
  </r>
  <r>
    <s v="S-41f762"/>
    <s v="A-faa28c"/>
    <d v="2024-02-15T00:00:00"/>
    <m/>
    <x v="2"/>
    <n v="48"/>
    <n v="0"/>
    <n v="0"/>
    <x v="1"/>
    <b v="0"/>
    <b v="0"/>
    <b v="0"/>
    <x v="0"/>
    <b v="1"/>
  </r>
  <r>
    <s v="S-853f5d"/>
    <s v="A-bcf664"/>
    <d v="2023-12-01T00:00:00"/>
    <m/>
    <x v="2"/>
    <n v="13"/>
    <n v="247"/>
    <n v="2964"/>
    <x v="0"/>
    <b v="0"/>
    <b v="0"/>
    <b v="0"/>
    <x v="0"/>
    <b v="1"/>
  </r>
  <r>
    <s v="S-35a22f"/>
    <s v="A-b07b56"/>
    <d v="2024-12-19T00:00:00"/>
    <m/>
    <x v="1"/>
    <n v="34"/>
    <n v="1666"/>
    <n v="19992"/>
    <x v="0"/>
    <b v="0"/>
    <b v="0"/>
    <b v="0"/>
    <x v="1"/>
    <b v="1"/>
  </r>
  <r>
    <s v="S-fd04d6"/>
    <s v="A-b07346"/>
    <d v="2024-12-28T00:00:00"/>
    <m/>
    <x v="0"/>
    <n v="51"/>
    <n v="0"/>
    <n v="0"/>
    <x v="1"/>
    <b v="0"/>
    <b v="0"/>
    <b v="0"/>
    <x v="1"/>
    <b v="1"/>
  </r>
  <r>
    <s v="S-5ed35a"/>
    <s v="A-32fb14"/>
    <d v="2024-03-16T00:00:00"/>
    <d v="2024-04-21T00:00:00"/>
    <x v="2"/>
    <n v="47"/>
    <n v="893"/>
    <n v="10716"/>
    <x v="0"/>
    <b v="0"/>
    <b v="0"/>
    <b v="1"/>
    <x v="0"/>
    <b v="1"/>
  </r>
  <r>
    <s v="S-2ddf94"/>
    <s v="A-19b2c8"/>
    <d v="2024-01-05T00:00:00"/>
    <m/>
    <x v="0"/>
    <n v="20"/>
    <n v="3980"/>
    <n v="47760"/>
    <x v="0"/>
    <b v="0"/>
    <b v="0"/>
    <b v="0"/>
    <x v="1"/>
    <b v="0"/>
  </r>
  <r>
    <s v="S-02be35"/>
    <s v="A-e08cd3"/>
    <d v="2024-10-01T00:00:00"/>
    <d v="2024-12-21T00:00:00"/>
    <x v="1"/>
    <n v="67"/>
    <n v="3283"/>
    <n v="39396"/>
    <x v="0"/>
    <b v="0"/>
    <b v="0"/>
    <b v="1"/>
    <x v="0"/>
    <b v="1"/>
  </r>
  <r>
    <s v="S-6e0edc"/>
    <s v="A-a1b80b"/>
    <d v="2024-09-07T00:00:00"/>
    <m/>
    <x v="0"/>
    <n v="16"/>
    <n v="3184"/>
    <n v="38208"/>
    <x v="0"/>
    <b v="0"/>
    <b v="0"/>
    <b v="0"/>
    <x v="1"/>
    <b v="1"/>
  </r>
  <r>
    <s v="S-01990c"/>
    <s v="A-d62e02"/>
    <d v="2024-11-22T00:00:00"/>
    <m/>
    <x v="0"/>
    <n v="16"/>
    <n v="3184"/>
    <n v="38208"/>
    <x v="0"/>
    <b v="0"/>
    <b v="0"/>
    <b v="0"/>
    <x v="0"/>
    <b v="1"/>
  </r>
  <r>
    <s v="S-28eb12"/>
    <s v="A-d535f6"/>
    <d v="2024-11-20T00:00:00"/>
    <m/>
    <x v="1"/>
    <n v="12"/>
    <n v="588"/>
    <n v="7056"/>
    <x v="0"/>
    <b v="0"/>
    <b v="0"/>
    <b v="0"/>
    <x v="0"/>
    <b v="0"/>
  </r>
  <r>
    <s v="S-5e06b2"/>
    <s v="A-5247b3"/>
    <d v="2024-04-17T00:00:00"/>
    <m/>
    <x v="1"/>
    <n v="16"/>
    <n v="0"/>
    <n v="0"/>
    <x v="1"/>
    <b v="0"/>
    <b v="0"/>
    <b v="0"/>
    <x v="0"/>
    <b v="1"/>
  </r>
  <r>
    <s v="S-a01aad"/>
    <s v="A-5f7781"/>
    <d v="2024-10-14T00:00:00"/>
    <m/>
    <x v="0"/>
    <n v="22"/>
    <n v="4378"/>
    <n v="52536"/>
    <x v="0"/>
    <b v="0"/>
    <b v="0"/>
    <b v="0"/>
    <x v="0"/>
    <b v="1"/>
  </r>
  <r>
    <s v="S-e42331"/>
    <s v="A-94f8c9"/>
    <d v="2024-07-25T00:00:00"/>
    <m/>
    <x v="0"/>
    <n v="23"/>
    <n v="0"/>
    <n v="0"/>
    <x v="1"/>
    <b v="0"/>
    <b v="0"/>
    <b v="0"/>
    <x v="1"/>
    <b v="1"/>
  </r>
  <r>
    <s v="S-36ee88"/>
    <s v="A-fabe19"/>
    <d v="2024-11-23T00:00:00"/>
    <m/>
    <x v="0"/>
    <n v="31"/>
    <n v="6169"/>
    <n v="74028"/>
    <x v="0"/>
    <b v="0"/>
    <b v="0"/>
    <b v="0"/>
    <x v="0"/>
    <b v="1"/>
  </r>
  <r>
    <s v="S-b147b9"/>
    <s v="A-fce879"/>
    <d v="2024-12-13T00:00:00"/>
    <m/>
    <x v="2"/>
    <n v="21"/>
    <n v="399"/>
    <n v="4788"/>
    <x v="0"/>
    <b v="0"/>
    <b v="0"/>
    <b v="0"/>
    <x v="1"/>
    <b v="1"/>
  </r>
  <r>
    <s v="S-fc44ed"/>
    <s v="A-f5641b"/>
    <d v="2024-05-23T00:00:00"/>
    <m/>
    <x v="0"/>
    <n v="31"/>
    <n v="6169"/>
    <n v="74028"/>
    <x v="0"/>
    <b v="0"/>
    <b v="0"/>
    <b v="0"/>
    <x v="1"/>
    <b v="1"/>
  </r>
  <r>
    <s v="S-3ee7c3"/>
    <s v="A-cdf020"/>
    <d v="2024-04-06T00:00:00"/>
    <d v="2024-11-10T00:00:00"/>
    <x v="0"/>
    <n v="23"/>
    <n v="4577"/>
    <n v="54924"/>
    <x v="0"/>
    <b v="0"/>
    <b v="0"/>
    <b v="1"/>
    <x v="0"/>
    <b v="0"/>
  </r>
  <r>
    <s v="S-7a9d40"/>
    <s v="A-157070"/>
    <d v="2024-12-18T00:00:00"/>
    <d v="2024-12-26T00:00:00"/>
    <x v="2"/>
    <n v="38"/>
    <n v="722"/>
    <n v="8664"/>
    <x v="0"/>
    <b v="0"/>
    <b v="0"/>
    <b v="1"/>
    <x v="1"/>
    <b v="1"/>
  </r>
  <r>
    <s v="S-53d6be"/>
    <s v="A-993085"/>
    <d v="2024-05-11T00:00:00"/>
    <m/>
    <x v="0"/>
    <n v="31"/>
    <n v="0"/>
    <n v="0"/>
    <x v="1"/>
    <b v="0"/>
    <b v="0"/>
    <b v="0"/>
    <x v="0"/>
    <b v="1"/>
  </r>
  <r>
    <s v="S-dbd6b9"/>
    <s v="A-cea1f0"/>
    <d v="2024-11-19T00:00:00"/>
    <m/>
    <x v="1"/>
    <n v="8"/>
    <n v="0"/>
    <n v="0"/>
    <x v="1"/>
    <b v="0"/>
    <b v="0"/>
    <b v="0"/>
    <x v="1"/>
    <b v="1"/>
  </r>
  <r>
    <s v="S-e63c67"/>
    <s v="A-1f7acb"/>
    <d v="2024-07-03T00:00:00"/>
    <m/>
    <x v="1"/>
    <n v="64"/>
    <n v="3136"/>
    <n v="37632"/>
    <x v="0"/>
    <b v="0"/>
    <b v="0"/>
    <b v="0"/>
    <x v="1"/>
    <b v="1"/>
  </r>
  <r>
    <s v="S-82eb3e"/>
    <s v="A-49b828"/>
    <d v="2024-07-18T00:00:00"/>
    <m/>
    <x v="0"/>
    <n v="6"/>
    <n v="1194"/>
    <n v="14328"/>
    <x v="0"/>
    <b v="0"/>
    <b v="0"/>
    <b v="0"/>
    <x v="1"/>
    <b v="0"/>
  </r>
  <r>
    <s v="S-5a18e5"/>
    <s v="A-3d957b"/>
    <d v="2024-08-05T00:00:00"/>
    <m/>
    <x v="0"/>
    <n v="14"/>
    <n v="2786"/>
    <n v="33432"/>
    <x v="0"/>
    <b v="1"/>
    <b v="0"/>
    <b v="0"/>
    <x v="0"/>
    <b v="1"/>
  </r>
  <r>
    <s v="S-193d88"/>
    <s v="A-4437e4"/>
    <d v="2024-10-12T00:00:00"/>
    <m/>
    <x v="0"/>
    <n v="6"/>
    <n v="1194"/>
    <n v="14328"/>
    <x v="0"/>
    <b v="1"/>
    <b v="1"/>
    <b v="0"/>
    <x v="1"/>
    <b v="1"/>
  </r>
  <r>
    <s v="S-29b014"/>
    <s v="A-a1b80b"/>
    <d v="2024-07-15T00:00:00"/>
    <m/>
    <x v="1"/>
    <n v="36"/>
    <n v="1764"/>
    <n v="21168"/>
    <x v="0"/>
    <b v="0"/>
    <b v="0"/>
    <b v="0"/>
    <x v="1"/>
    <b v="1"/>
  </r>
  <r>
    <s v="S-7ce677"/>
    <s v="A-2e4581"/>
    <d v="2024-10-20T00:00:00"/>
    <m/>
    <x v="1"/>
    <n v="9"/>
    <n v="441"/>
    <n v="5292"/>
    <x v="0"/>
    <b v="0"/>
    <b v="0"/>
    <b v="0"/>
    <x v="0"/>
    <b v="1"/>
  </r>
  <r>
    <s v="S-7f7e38"/>
    <s v="A-bb1486"/>
    <d v="2024-11-13T00:00:00"/>
    <m/>
    <x v="1"/>
    <n v="42"/>
    <n v="2058"/>
    <n v="24696"/>
    <x v="0"/>
    <b v="0"/>
    <b v="0"/>
    <b v="0"/>
    <x v="0"/>
    <b v="1"/>
  </r>
  <r>
    <s v="S-c5723e"/>
    <s v="A-544d0a"/>
    <d v="2024-06-27T00:00:00"/>
    <m/>
    <x v="2"/>
    <n v="11"/>
    <n v="209"/>
    <n v="2508"/>
    <x v="0"/>
    <b v="0"/>
    <b v="0"/>
    <b v="0"/>
    <x v="1"/>
    <b v="1"/>
  </r>
  <r>
    <s v="S-388190"/>
    <s v="A-d40bf7"/>
    <d v="2024-12-27T00:00:00"/>
    <m/>
    <x v="0"/>
    <n v="59"/>
    <n v="11741"/>
    <n v="140892"/>
    <x v="0"/>
    <b v="0"/>
    <b v="0"/>
    <b v="0"/>
    <x v="1"/>
    <b v="0"/>
  </r>
  <r>
    <s v="S-da0fb6"/>
    <s v="A-d77f4c"/>
    <d v="2024-07-04T00:00:00"/>
    <m/>
    <x v="0"/>
    <n v="55"/>
    <n v="10945"/>
    <n v="131340"/>
    <x v="0"/>
    <b v="0"/>
    <b v="0"/>
    <b v="0"/>
    <x v="0"/>
    <b v="1"/>
  </r>
  <r>
    <s v="S-95c467"/>
    <s v="A-c37601"/>
    <d v="2024-11-02T00:00:00"/>
    <m/>
    <x v="1"/>
    <n v="10"/>
    <n v="490"/>
    <n v="5880"/>
    <x v="0"/>
    <b v="0"/>
    <b v="0"/>
    <b v="0"/>
    <x v="1"/>
    <b v="1"/>
  </r>
  <r>
    <s v="S-15a058"/>
    <s v="A-9208f0"/>
    <d v="2023-09-29T00:00:00"/>
    <d v="2024-04-03T00:00:00"/>
    <x v="1"/>
    <n v="2"/>
    <n v="98"/>
    <n v="1176"/>
    <x v="0"/>
    <b v="0"/>
    <b v="0"/>
    <b v="1"/>
    <x v="0"/>
    <b v="1"/>
  </r>
  <r>
    <s v="S-67474a"/>
    <s v="A-7d514c"/>
    <d v="2024-06-13T00:00:00"/>
    <m/>
    <x v="1"/>
    <n v="17"/>
    <n v="833"/>
    <n v="9996"/>
    <x v="0"/>
    <b v="0"/>
    <b v="0"/>
    <b v="0"/>
    <x v="0"/>
    <b v="1"/>
  </r>
  <r>
    <s v="S-8c767b"/>
    <s v="A-b07b56"/>
    <d v="2024-12-03T00:00:00"/>
    <d v="2024-12-09T00:00:00"/>
    <x v="0"/>
    <n v="29"/>
    <n v="0"/>
    <n v="0"/>
    <x v="1"/>
    <b v="0"/>
    <b v="0"/>
    <b v="1"/>
    <x v="0"/>
    <b v="1"/>
  </r>
  <r>
    <s v="S-5bde76"/>
    <s v="A-cb5333"/>
    <d v="2024-09-08T00:00:00"/>
    <m/>
    <x v="1"/>
    <n v="33"/>
    <n v="1617"/>
    <n v="19404"/>
    <x v="0"/>
    <b v="0"/>
    <b v="0"/>
    <b v="0"/>
    <x v="0"/>
    <b v="1"/>
  </r>
  <r>
    <s v="S-746e1b"/>
    <s v="A-90a8c8"/>
    <d v="2024-09-17T00:00:00"/>
    <m/>
    <x v="0"/>
    <n v="73"/>
    <n v="14527"/>
    <n v="174324"/>
    <x v="0"/>
    <b v="0"/>
    <b v="0"/>
    <b v="0"/>
    <x v="1"/>
    <b v="1"/>
  </r>
  <r>
    <s v="S-460deb"/>
    <s v="A-832ec2"/>
    <d v="2024-11-27T00:00:00"/>
    <m/>
    <x v="0"/>
    <n v="22"/>
    <n v="4378"/>
    <n v="52536"/>
    <x v="0"/>
    <b v="1"/>
    <b v="0"/>
    <b v="0"/>
    <x v="1"/>
    <b v="0"/>
  </r>
  <r>
    <s v="S-62af97"/>
    <s v="A-05f0e5"/>
    <d v="2023-06-30T00:00:00"/>
    <m/>
    <x v="1"/>
    <n v="46"/>
    <n v="2254"/>
    <n v="27048"/>
    <x v="0"/>
    <b v="0"/>
    <b v="0"/>
    <b v="0"/>
    <x v="1"/>
    <b v="0"/>
  </r>
  <r>
    <s v="S-7b01d4"/>
    <s v="A-cbbe12"/>
    <d v="2024-06-08T00:00:00"/>
    <m/>
    <x v="1"/>
    <n v="49"/>
    <n v="2401"/>
    <n v="28812"/>
    <x v="0"/>
    <b v="1"/>
    <b v="0"/>
    <b v="0"/>
    <x v="0"/>
    <b v="1"/>
  </r>
  <r>
    <s v="S-59f6b6"/>
    <s v="A-dec005"/>
    <d v="2024-11-10T00:00:00"/>
    <m/>
    <x v="2"/>
    <n v="21"/>
    <n v="399"/>
    <n v="4788"/>
    <x v="0"/>
    <b v="1"/>
    <b v="0"/>
    <b v="0"/>
    <x v="0"/>
    <b v="0"/>
  </r>
  <r>
    <s v="S-8013f6"/>
    <s v="A-6a7c9d"/>
    <d v="2024-12-11T00:00:00"/>
    <d v="2024-12-20T00:00:00"/>
    <x v="2"/>
    <n v="47"/>
    <n v="893"/>
    <n v="10716"/>
    <x v="0"/>
    <b v="0"/>
    <b v="0"/>
    <b v="1"/>
    <x v="0"/>
    <b v="1"/>
  </r>
  <r>
    <s v="S-dcd084"/>
    <s v="A-d27f50"/>
    <d v="2024-12-05T00:00:00"/>
    <d v="2024-12-09T00:00:00"/>
    <x v="0"/>
    <n v="48"/>
    <n v="9552"/>
    <n v="114624"/>
    <x v="0"/>
    <b v="0"/>
    <b v="0"/>
    <b v="1"/>
    <x v="1"/>
    <b v="1"/>
  </r>
  <r>
    <s v="S-8e6903"/>
    <s v="A-bd4708"/>
    <d v="2024-09-15T00:00:00"/>
    <m/>
    <x v="2"/>
    <n v="37"/>
    <n v="703"/>
    <n v="8436"/>
    <x v="0"/>
    <b v="0"/>
    <b v="0"/>
    <b v="0"/>
    <x v="0"/>
    <b v="0"/>
  </r>
  <r>
    <s v="S-a96f6c"/>
    <s v="A-b30291"/>
    <d v="2024-10-23T00:00:00"/>
    <m/>
    <x v="1"/>
    <n v="13"/>
    <n v="0"/>
    <n v="0"/>
    <x v="1"/>
    <b v="0"/>
    <b v="0"/>
    <b v="0"/>
    <x v="0"/>
    <b v="1"/>
  </r>
  <r>
    <s v="S-7730b1"/>
    <s v="A-e51ec7"/>
    <d v="2024-05-01T00:00:00"/>
    <m/>
    <x v="1"/>
    <n v="4"/>
    <n v="196"/>
    <n v="2352"/>
    <x v="0"/>
    <b v="0"/>
    <b v="0"/>
    <b v="0"/>
    <x v="1"/>
    <b v="1"/>
  </r>
  <r>
    <s v="S-62f048"/>
    <s v="A-c45b23"/>
    <d v="2024-02-13T00:00:00"/>
    <m/>
    <x v="1"/>
    <n v="7"/>
    <n v="343"/>
    <n v="4116"/>
    <x v="0"/>
    <b v="0"/>
    <b v="0"/>
    <b v="0"/>
    <x v="0"/>
    <b v="1"/>
  </r>
  <r>
    <s v="S-4f56f5"/>
    <s v="A-922109"/>
    <d v="2024-11-13T00:00:00"/>
    <m/>
    <x v="0"/>
    <n v="3"/>
    <n v="597"/>
    <n v="7164"/>
    <x v="0"/>
    <b v="0"/>
    <b v="0"/>
    <b v="0"/>
    <x v="0"/>
    <b v="1"/>
  </r>
  <r>
    <s v="S-851743"/>
    <s v="A-443b7c"/>
    <d v="2024-10-27T00:00:00"/>
    <m/>
    <x v="1"/>
    <n v="13"/>
    <n v="637"/>
    <n v="7644"/>
    <x v="0"/>
    <b v="1"/>
    <b v="0"/>
    <b v="0"/>
    <x v="0"/>
    <b v="1"/>
  </r>
  <r>
    <s v="S-8bfab5"/>
    <s v="A-af0cd2"/>
    <d v="2024-05-30T00:00:00"/>
    <d v="2024-12-14T00:00:00"/>
    <x v="1"/>
    <n v="19"/>
    <n v="931"/>
    <n v="11172"/>
    <x v="0"/>
    <b v="0"/>
    <b v="0"/>
    <b v="1"/>
    <x v="0"/>
    <b v="1"/>
  </r>
  <r>
    <s v="S-f5d8ce"/>
    <s v="A-756192"/>
    <d v="2023-10-27T00:00:00"/>
    <m/>
    <x v="1"/>
    <n v="19"/>
    <n v="931"/>
    <n v="11172"/>
    <x v="0"/>
    <b v="0"/>
    <b v="0"/>
    <b v="0"/>
    <x v="0"/>
    <b v="0"/>
  </r>
  <r>
    <s v="S-58a152"/>
    <s v="A-90a8c8"/>
    <d v="2024-12-03T00:00:00"/>
    <m/>
    <x v="0"/>
    <n v="15"/>
    <n v="2985"/>
    <n v="35820"/>
    <x v="0"/>
    <b v="0"/>
    <b v="0"/>
    <b v="0"/>
    <x v="0"/>
    <b v="0"/>
  </r>
  <r>
    <s v="S-ec41f7"/>
    <s v="A-8bde0c"/>
    <d v="2024-12-13T00:00:00"/>
    <m/>
    <x v="0"/>
    <n v="19"/>
    <n v="3781"/>
    <n v="45372"/>
    <x v="0"/>
    <b v="1"/>
    <b v="0"/>
    <b v="0"/>
    <x v="0"/>
    <b v="1"/>
  </r>
  <r>
    <s v="S-8a4156"/>
    <s v="A-5a184f"/>
    <d v="2023-08-31T00:00:00"/>
    <m/>
    <x v="1"/>
    <n v="19"/>
    <n v="0"/>
    <n v="0"/>
    <x v="1"/>
    <b v="0"/>
    <b v="0"/>
    <b v="0"/>
    <x v="1"/>
    <b v="1"/>
  </r>
  <r>
    <s v="S-b0af8f"/>
    <s v="A-ff79f2"/>
    <d v="2024-10-17T00:00:00"/>
    <m/>
    <x v="0"/>
    <n v="8"/>
    <n v="0"/>
    <n v="0"/>
    <x v="1"/>
    <b v="0"/>
    <b v="0"/>
    <b v="0"/>
    <x v="0"/>
    <b v="1"/>
  </r>
  <r>
    <s v="S-6cafdf"/>
    <s v="A-6f8ad2"/>
    <d v="2024-12-27T00:00:00"/>
    <m/>
    <x v="1"/>
    <n v="7"/>
    <n v="343"/>
    <n v="4116"/>
    <x v="0"/>
    <b v="0"/>
    <b v="0"/>
    <b v="0"/>
    <x v="1"/>
    <b v="0"/>
  </r>
  <r>
    <s v="S-708924"/>
    <s v="A-7a0d69"/>
    <d v="2024-09-12T00:00:00"/>
    <m/>
    <x v="2"/>
    <n v="22"/>
    <n v="0"/>
    <n v="0"/>
    <x v="1"/>
    <b v="0"/>
    <b v="0"/>
    <b v="0"/>
    <x v="1"/>
    <b v="1"/>
  </r>
  <r>
    <s v="S-fced99"/>
    <s v="A-39b19f"/>
    <d v="2024-10-03T00:00:00"/>
    <m/>
    <x v="0"/>
    <n v="42"/>
    <n v="0"/>
    <n v="0"/>
    <x v="1"/>
    <b v="0"/>
    <b v="0"/>
    <b v="0"/>
    <x v="0"/>
    <b v="1"/>
  </r>
  <r>
    <s v="S-8c61f4"/>
    <s v="A-72799b"/>
    <d v="2024-04-17T00:00:00"/>
    <m/>
    <x v="2"/>
    <n v="34"/>
    <n v="646"/>
    <n v="7752"/>
    <x v="0"/>
    <b v="0"/>
    <b v="0"/>
    <b v="0"/>
    <x v="1"/>
    <b v="0"/>
  </r>
  <r>
    <s v="S-2daa17"/>
    <s v="A-c62e55"/>
    <d v="2024-05-05T00:00:00"/>
    <m/>
    <x v="0"/>
    <n v="15"/>
    <n v="2985"/>
    <n v="35820"/>
    <x v="0"/>
    <b v="0"/>
    <b v="0"/>
    <b v="0"/>
    <x v="0"/>
    <b v="1"/>
  </r>
  <r>
    <s v="S-81fe83"/>
    <s v="A-b48f73"/>
    <d v="2024-11-15T00:00:00"/>
    <m/>
    <x v="2"/>
    <n v="80"/>
    <n v="1520"/>
    <n v="18240"/>
    <x v="0"/>
    <b v="0"/>
    <b v="0"/>
    <b v="0"/>
    <x v="0"/>
    <b v="1"/>
  </r>
  <r>
    <s v="S-53f831"/>
    <s v="A-82861f"/>
    <d v="2024-07-29T00:00:00"/>
    <m/>
    <x v="2"/>
    <n v="41"/>
    <n v="779"/>
    <n v="9348"/>
    <x v="0"/>
    <b v="0"/>
    <b v="0"/>
    <b v="0"/>
    <x v="0"/>
    <b v="0"/>
  </r>
  <r>
    <s v="S-fe0c52"/>
    <s v="A-6f8ad2"/>
    <d v="2024-07-22T00:00:00"/>
    <m/>
    <x v="2"/>
    <n v="29"/>
    <n v="0"/>
    <n v="0"/>
    <x v="1"/>
    <b v="0"/>
    <b v="0"/>
    <b v="0"/>
    <x v="0"/>
    <b v="0"/>
  </r>
  <r>
    <s v="S-6d3f0b"/>
    <s v="A-82d8a6"/>
    <d v="2024-12-16T00:00:00"/>
    <m/>
    <x v="2"/>
    <n v="36"/>
    <n v="684"/>
    <n v="8208"/>
    <x v="0"/>
    <b v="0"/>
    <b v="0"/>
    <b v="0"/>
    <x v="1"/>
    <b v="1"/>
  </r>
  <r>
    <s v="S-25b756"/>
    <s v="A-d82ef9"/>
    <d v="2024-07-30T00:00:00"/>
    <m/>
    <x v="1"/>
    <n v="58"/>
    <n v="2842"/>
    <n v="34104"/>
    <x v="0"/>
    <b v="1"/>
    <b v="0"/>
    <b v="0"/>
    <x v="1"/>
    <b v="1"/>
  </r>
  <r>
    <s v="S-c899a3"/>
    <s v="A-2446e3"/>
    <d v="2024-01-21T00:00:00"/>
    <m/>
    <x v="1"/>
    <n v="27"/>
    <n v="1323"/>
    <n v="15876"/>
    <x v="0"/>
    <b v="0"/>
    <b v="1"/>
    <b v="0"/>
    <x v="0"/>
    <b v="1"/>
  </r>
  <r>
    <s v="S-05ef15"/>
    <s v="A-d42431"/>
    <d v="2024-10-24T00:00:00"/>
    <m/>
    <x v="2"/>
    <n v="35"/>
    <n v="665"/>
    <n v="7980"/>
    <x v="0"/>
    <b v="0"/>
    <b v="0"/>
    <b v="0"/>
    <x v="0"/>
    <b v="1"/>
  </r>
  <r>
    <s v="S-8ececc"/>
    <s v="A-533452"/>
    <d v="2024-12-15T00:00:00"/>
    <m/>
    <x v="1"/>
    <n v="9"/>
    <n v="441"/>
    <n v="5292"/>
    <x v="0"/>
    <b v="0"/>
    <b v="0"/>
    <b v="0"/>
    <x v="1"/>
    <b v="1"/>
  </r>
  <r>
    <s v="S-a24db6"/>
    <s v="A-96215d"/>
    <d v="2024-09-13T00:00:00"/>
    <m/>
    <x v="0"/>
    <n v="14"/>
    <n v="2786"/>
    <n v="33432"/>
    <x v="0"/>
    <b v="1"/>
    <b v="0"/>
    <b v="0"/>
    <x v="0"/>
    <b v="1"/>
  </r>
  <r>
    <s v="S-9acc7f"/>
    <s v="A-4437e4"/>
    <d v="2024-07-10T00:00:00"/>
    <m/>
    <x v="0"/>
    <n v="16"/>
    <n v="3184"/>
    <n v="38208"/>
    <x v="0"/>
    <b v="0"/>
    <b v="0"/>
    <b v="0"/>
    <x v="0"/>
    <b v="1"/>
  </r>
  <r>
    <s v="S-bb1a91"/>
    <s v="A-5c046d"/>
    <d v="2024-08-18T00:00:00"/>
    <m/>
    <x v="2"/>
    <n v="93"/>
    <n v="1767"/>
    <n v="21204"/>
    <x v="0"/>
    <b v="0"/>
    <b v="0"/>
    <b v="0"/>
    <x v="1"/>
    <b v="1"/>
  </r>
  <r>
    <s v="S-80c296"/>
    <s v="A-e888d1"/>
    <d v="2024-12-19T00:00:00"/>
    <m/>
    <x v="1"/>
    <n v="17"/>
    <n v="833"/>
    <n v="9996"/>
    <x v="0"/>
    <b v="0"/>
    <b v="0"/>
    <b v="0"/>
    <x v="0"/>
    <b v="1"/>
  </r>
  <r>
    <s v="S-275d57"/>
    <s v="A-b3fe05"/>
    <d v="2024-11-11T00:00:00"/>
    <m/>
    <x v="2"/>
    <n v="15"/>
    <n v="285"/>
    <n v="3420"/>
    <x v="0"/>
    <b v="0"/>
    <b v="0"/>
    <b v="0"/>
    <x v="0"/>
    <b v="1"/>
  </r>
  <r>
    <s v="S-6ca46a"/>
    <s v="A-0cc442"/>
    <d v="2024-09-25T00:00:00"/>
    <m/>
    <x v="0"/>
    <n v="53"/>
    <n v="10547"/>
    <n v="126564"/>
    <x v="0"/>
    <b v="1"/>
    <b v="0"/>
    <b v="0"/>
    <x v="1"/>
    <b v="1"/>
  </r>
  <r>
    <s v="S-98845b"/>
    <s v="A-db5e9e"/>
    <d v="2024-11-15T00:00:00"/>
    <m/>
    <x v="2"/>
    <n v="42"/>
    <n v="798"/>
    <n v="9576"/>
    <x v="0"/>
    <b v="0"/>
    <b v="0"/>
    <b v="0"/>
    <x v="1"/>
    <b v="1"/>
  </r>
  <r>
    <s v="S-fb285f"/>
    <s v="A-82d8a6"/>
    <d v="2024-12-22T00:00:00"/>
    <m/>
    <x v="2"/>
    <n v="32"/>
    <n v="608"/>
    <n v="7296"/>
    <x v="0"/>
    <b v="0"/>
    <b v="0"/>
    <b v="0"/>
    <x v="1"/>
    <b v="1"/>
  </r>
  <r>
    <s v="S-da9f05"/>
    <s v="A-151c9a"/>
    <d v="2023-05-08T00:00:00"/>
    <m/>
    <x v="1"/>
    <n v="23"/>
    <n v="1127"/>
    <n v="13524"/>
    <x v="0"/>
    <b v="0"/>
    <b v="1"/>
    <b v="0"/>
    <x v="1"/>
    <b v="1"/>
  </r>
  <r>
    <s v="S-9f38a5"/>
    <s v="A-cc102e"/>
    <d v="2024-05-30T00:00:00"/>
    <m/>
    <x v="2"/>
    <n v="13"/>
    <n v="247"/>
    <n v="2964"/>
    <x v="0"/>
    <b v="0"/>
    <b v="0"/>
    <b v="0"/>
    <x v="0"/>
    <b v="1"/>
  </r>
  <r>
    <s v="S-dc7143"/>
    <s v="A-3ce5b8"/>
    <d v="2024-04-28T00:00:00"/>
    <m/>
    <x v="0"/>
    <n v="14"/>
    <n v="2786"/>
    <n v="33432"/>
    <x v="0"/>
    <b v="0"/>
    <b v="0"/>
    <b v="0"/>
    <x v="0"/>
    <b v="1"/>
  </r>
  <r>
    <s v="S-68ecd5"/>
    <s v="A-684255"/>
    <d v="2024-08-18T00:00:00"/>
    <m/>
    <x v="0"/>
    <n v="9"/>
    <n v="1791"/>
    <n v="21492"/>
    <x v="0"/>
    <b v="0"/>
    <b v="0"/>
    <b v="0"/>
    <x v="1"/>
    <b v="1"/>
  </r>
  <r>
    <s v="S-601bbe"/>
    <s v="A-0532a9"/>
    <d v="2024-11-26T00:00:00"/>
    <m/>
    <x v="1"/>
    <n v="21"/>
    <n v="1029"/>
    <n v="12348"/>
    <x v="0"/>
    <b v="1"/>
    <b v="0"/>
    <b v="0"/>
    <x v="0"/>
    <b v="0"/>
  </r>
  <r>
    <s v="S-a34e37"/>
    <s v="A-10b8da"/>
    <d v="2024-04-27T00:00:00"/>
    <m/>
    <x v="0"/>
    <n v="23"/>
    <n v="0"/>
    <n v="0"/>
    <x v="1"/>
    <b v="0"/>
    <b v="0"/>
    <b v="0"/>
    <x v="1"/>
    <b v="1"/>
  </r>
  <r>
    <s v="S-0a70a3"/>
    <s v="A-5b051a"/>
    <d v="2024-10-21T00:00:00"/>
    <d v="2024-12-24T00:00:00"/>
    <x v="2"/>
    <n v="22"/>
    <n v="418"/>
    <n v="5016"/>
    <x v="0"/>
    <b v="0"/>
    <b v="0"/>
    <b v="1"/>
    <x v="1"/>
    <b v="1"/>
  </r>
  <r>
    <s v="S-de543d"/>
    <s v="A-1e50e0"/>
    <d v="2023-04-25T00:00:00"/>
    <d v="2024-01-13T00:00:00"/>
    <x v="0"/>
    <n v="19"/>
    <n v="0"/>
    <n v="0"/>
    <x v="1"/>
    <b v="0"/>
    <b v="0"/>
    <b v="1"/>
    <x v="1"/>
    <b v="1"/>
  </r>
  <r>
    <s v="S-084e4f"/>
    <s v="A-054577"/>
    <d v="2024-11-22T00:00:00"/>
    <m/>
    <x v="2"/>
    <n v="25"/>
    <n v="475"/>
    <n v="5700"/>
    <x v="0"/>
    <b v="0"/>
    <b v="0"/>
    <b v="0"/>
    <x v="1"/>
    <b v="0"/>
  </r>
  <r>
    <s v="S-febd10"/>
    <s v="A-e61e98"/>
    <d v="2024-01-05T00:00:00"/>
    <m/>
    <x v="1"/>
    <n v="32"/>
    <n v="0"/>
    <n v="0"/>
    <x v="1"/>
    <b v="0"/>
    <b v="0"/>
    <b v="0"/>
    <x v="1"/>
    <b v="1"/>
  </r>
  <r>
    <s v="S-25a969"/>
    <s v="A-c9bb3e"/>
    <d v="2024-06-02T00:00:00"/>
    <m/>
    <x v="2"/>
    <n v="15"/>
    <n v="285"/>
    <n v="3420"/>
    <x v="0"/>
    <b v="0"/>
    <b v="0"/>
    <b v="0"/>
    <x v="1"/>
    <b v="1"/>
  </r>
  <r>
    <s v="S-5d299e"/>
    <s v="A-560d27"/>
    <d v="2024-10-25T00:00:00"/>
    <m/>
    <x v="0"/>
    <n v="23"/>
    <n v="4577"/>
    <n v="54924"/>
    <x v="0"/>
    <b v="0"/>
    <b v="0"/>
    <b v="0"/>
    <x v="0"/>
    <b v="1"/>
  </r>
  <r>
    <s v="S-5a1fc3"/>
    <s v="A-05d3b3"/>
    <d v="2024-01-29T00:00:00"/>
    <m/>
    <x v="0"/>
    <n v="13"/>
    <n v="2587"/>
    <n v="31044"/>
    <x v="0"/>
    <b v="0"/>
    <b v="0"/>
    <b v="0"/>
    <x v="0"/>
    <b v="1"/>
  </r>
  <r>
    <s v="S-af854c"/>
    <s v="A-cab532"/>
    <d v="2024-02-16T00:00:00"/>
    <m/>
    <x v="0"/>
    <n v="58"/>
    <n v="0"/>
    <n v="0"/>
    <x v="1"/>
    <b v="0"/>
    <b v="0"/>
    <b v="0"/>
    <x v="1"/>
    <b v="1"/>
  </r>
  <r>
    <s v="S-70b1cf"/>
    <s v="A-4ae22a"/>
    <d v="2024-09-24T00:00:00"/>
    <m/>
    <x v="2"/>
    <n v="28"/>
    <n v="532"/>
    <n v="6384"/>
    <x v="0"/>
    <b v="0"/>
    <b v="0"/>
    <b v="0"/>
    <x v="0"/>
    <b v="1"/>
  </r>
  <r>
    <s v="S-feaca1"/>
    <s v="A-2ebb4b"/>
    <d v="2023-10-03T00:00:00"/>
    <m/>
    <x v="0"/>
    <n v="65"/>
    <n v="12935"/>
    <n v="155220"/>
    <x v="0"/>
    <b v="0"/>
    <b v="0"/>
    <b v="0"/>
    <x v="0"/>
    <b v="1"/>
  </r>
  <r>
    <s v="S-f1aa04"/>
    <s v="A-7f4db3"/>
    <d v="2023-07-24T00:00:00"/>
    <m/>
    <x v="1"/>
    <n v="7"/>
    <n v="343"/>
    <n v="4116"/>
    <x v="0"/>
    <b v="0"/>
    <b v="0"/>
    <b v="0"/>
    <x v="0"/>
    <b v="1"/>
  </r>
  <r>
    <s v="S-ca0eb1"/>
    <s v="A-6e08f3"/>
    <d v="2023-07-25T00:00:00"/>
    <m/>
    <x v="0"/>
    <n v="24"/>
    <n v="0"/>
    <n v="0"/>
    <x v="1"/>
    <b v="0"/>
    <b v="0"/>
    <b v="0"/>
    <x v="0"/>
    <b v="1"/>
  </r>
  <r>
    <s v="S-a4b1af"/>
    <s v="A-17939a"/>
    <d v="2024-12-26T00:00:00"/>
    <m/>
    <x v="0"/>
    <n v="13"/>
    <n v="2587"/>
    <n v="31044"/>
    <x v="0"/>
    <b v="0"/>
    <b v="0"/>
    <b v="0"/>
    <x v="0"/>
    <b v="1"/>
  </r>
  <r>
    <s v="S-b15faf"/>
    <s v="A-3a5ad8"/>
    <d v="2024-05-15T00:00:00"/>
    <m/>
    <x v="2"/>
    <n v="95"/>
    <n v="1805"/>
    <n v="21660"/>
    <x v="0"/>
    <b v="0"/>
    <b v="0"/>
    <b v="0"/>
    <x v="0"/>
    <b v="1"/>
  </r>
  <r>
    <s v="S-108282"/>
    <s v="A-49b828"/>
    <d v="2024-03-26T00:00:00"/>
    <m/>
    <x v="1"/>
    <n v="30"/>
    <n v="1470"/>
    <n v="17640"/>
    <x v="0"/>
    <b v="0"/>
    <b v="0"/>
    <b v="0"/>
    <x v="1"/>
    <b v="1"/>
  </r>
  <r>
    <s v="S-9b623b"/>
    <s v="A-712426"/>
    <d v="2024-12-08T00:00:00"/>
    <m/>
    <x v="0"/>
    <n v="13"/>
    <n v="2587"/>
    <n v="31044"/>
    <x v="0"/>
    <b v="0"/>
    <b v="0"/>
    <b v="0"/>
    <x v="1"/>
    <b v="1"/>
  </r>
  <r>
    <s v="S-b28ec2"/>
    <s v="A-ee42db"/>
    <d v="2023-11-03T00:00:00"/>
    <m/>
    <x v="2"/>
    <n v="33"/>
    <n v="627"/>
    <n v="7524"/>
    <x v="0"/>
    <b v="0"/>
    <b v="0"/>
    <b v="0"/>
    <x v="0"/>
    <b v="0"/>
  </r>
  <r>
    <s v="S-d1ef4d"/>
    <s v="A-3a5ad8"/>
    <d v="2023-12-18T00:00:00"/>
    <m/>
    <x v="0"/>
    <n v="9"/>
    <n v="0"/>
    <n v="0"/>
    <x v="1"/>
    <b v="0"/>
    <b v="0"/>
    <b v="0"/>
    <x v="1"/>
    <b v="1"/>
  </r>
  <r>
    <s v="S-c4a98e"/>
    <s v="A-ced9aa"/>
    <d v="2024-12-16T00:00:00"/>
    <m/>
    <x v="0"/>
    <n v="5"/>
    <n v="995"/>
    <n v="11940"/>
    <x v="0"/>
    <b v="0"/>
    <b v="0"/>
    <b v="0"/>
    <x v="0"/>
    <b v="1"/>
  </r>
  <r>
    <s v="S-bff8c5"/>
    <s v="A-202b67"/>
    <d v="2024-07-18T00:00:00"/>
    <m/>
    <x v="2"/>
    <n v="11"/>
    <n v="209"/>
    <n v="2508"/>
    <x v="0"/>
    <b v="0"/>
    <b v="0"/>
    <b v="0"/>
    <x v="0"/>
    <b v="1"/>
  </r>
  <r>
    <s v="S-3401bf"/>
    <s v="A-1619f8"/>
    <d v="2024-06-09T00:00:00"/>
    <m/>
    <x v="0"/>
    <n v="55"/>
    <n v="10945"/>
    <n v="131340"/>
    <x v="0"/>
    <b v="0"/>
    <b v="0"/>
    <b v="0"/>
    <x v="1"/>
    <b v="1"/>
  </r>
  <r>
    <s v="S-a583df"/>
    <s v="A-84ebe4"/>
    <d v="2024-08-07T00:00:00"/>
    <m/>
    <x v="0"/>
    <n v="45"/>
    <n v="8955"/>
    <n v="107460"/>
    <x v="0"/>
    <b v="0"/>
    <b v="0"/>
    <b v="0"/>
    <x v="1"/>
    <b v="1"/>
  </r>
  <r>
    <s v="S-f80617"/>
    <s v="A-d4ac0e"/>
    <d v="2024-10-28T00:00:00"/>
    <d v="2024-12-16T00:00:00"/>
    <x v="2"/>
    <n v="18"/>
    <n v="342"/>
    <n v="4104"/>
    <x v="0"/>
    <b v="0"/>
    <b v="0"/>
    <b v="1"/>
    <x v="1"/>
    <b v="1"/>
  </r>
  <r>
    <s v="S-e7e013"/>
    <s v="A-241e75"/>
    <d v="2024-08-07T00:00:00"/>
    <m/>
    <x v="2"/>
    <n v="18"/>
    <n v="342"/>
    <n v="4104"/>
    <x v="0"/>
    <b v="0"/>
    <b v="0"/>
    <b v="0"/>
    <x v="0"/>
    <b v="0"/>
  </r>
  <r>
    <s v="S-4d2392"/>
    <s v="A-e61e98"/>
    <d v="2023-11-05T00:00:00"/>
    <m/>
    <x v="1"/>
    <n v="19"/>
    <n v="931"/>
    <n v="11172"/>
    <x v="0"/>
    <b v="1"/>
    <b v="0"/>
    <b v="0"/>
    <x v="0"/>
    <b v="0"/>
  </r>
  <r>
    <s v="S-f6b264"/>
    <s v="A-4a4c2d"/>
    <d v="2024-02-02T00:00:00"/>
    <m/>
    <x v="1"/>
    <n v="54"/>
    <n v="2646"/>
    <n v="31752"/>
    <x v="0"/>
    <b v="0"/>
    <b v="0"/>
    <b v="0"/>
    <x v="0"/>
    <b v="0"/>
  </r>
  <r>
    <s v="S-c8fd93"/>
    <s v="A-0354fe"/>
    <d v="2024-11-16T00:00:00"/>
    <d v="2024-11-20T00:00:00"/>
    <x v="2"/>
    <n v="34"/>
    <n v="646"/>
    <n v="7752"/>
    <x v="0"/>
    <b v="1"/>
    <b v="0"/>
    <b v="1"/>
    <x v="0"/>
    <b v="1"/>
  </r>
  <r>
    <s v="S-f60667"/>
    <s v="A-b7ef83"/>
    <d v="2024-09-18T00:00:00"/>
    <m/>
    <x v="0"/>
    <n v="5"/>
    <n v="995"/>
    <n v="11940"/>
    <x v="0"/>
    <b v="1"/>
    <b v="0"/>
    <b v="0"/>
    <x v="1"/>
    <b v="1"/>
  </r>
  <r>
    <s v="S-8e602b"/>
    <s v="A-a33200"/>
    <d v="2024-10-26T00:00:00"/>
    <m/>
    <x v="1"/>
    <n v="29"/>
    <n v="1421"/>
    <n v="17052"/>
    <x v="0"/>
    <b v="0"/>
    <b v="0"/>
    <b v="0"/>
    <x v="0"/>
    <b v="0"/>
  </r>
  <r>
    <s v="S-2ba4ee"/>
    <s v="A-cab532"/>
    <d v="2024-05-21T00:00:00"/>
    <m/>
    <x v="2"/>
    <n v="20"/>
    <n v="0"/>
    <n v="0"/>
    <x v="1"/>
    <b v="0"/>
    <b v="0"/>
    <b v="0"/>
    <x v="1"/>
    <b v="1"/>
  </r>
  <r>
    <s v="S-ed75af"/>
    <s v="A-1f0636"/>
    <d v="2024-06-09T00:00:00"/>
    <m/>
    <x v="1"/>
    <n v="105"/>
    <n v="5145"/>
    <n v="61740"/>
    <x v="0"/>
    <b v="1"/>
    <b v="0"/>
    <b v="0"/>
    <x v="0"/>
    <b v="1"/>
  </r>
  <r>
    <s v="S-214d98"/>
    <s v="A-560d27"/>
    <d v="2024-06-01T00:00:00"/>
    <m/>
    <x v="1"/>
    <n v="23"/>
    <n v="1127"/>
    <n v="13524"/>
    <x v="0"/>
    <b v="0"/>
    <b v="0"/>
    <b v="0"/>
    <x v="1"/>
    <b v="0"/>
  </r>
  <r>
    <s v="S-343642"/>
    <s v="A-3cc791"/>
    <d v="2024-01-31T00:00:00"/>
    <m/>
    <x v="2"/>
    <n v="25"/>
    <n v="0"/>
    <n v="0"/>
    <x v="1"/>
    <b v="0"/>
    <b v="0"/>
    <b v="0"/>
    <x v="1"/>
    <b v="0"/>
  </r>
  <r>
    <s v="S-f5c7b2"/>
    <s v="A-f44180"/>
    <d v="2023-03-25T00:00:00"/>
    <m/>
    <x v="0"/>
    <n v="9"/>
    <n v="1791"/>
    <n v="21492"/>
    <x v="0"/>
    <b v="0"/>
    <b v="0"/>
    <b v="0"/>
    <x v="1"/>
    <b v="1"/>
  </r>
  <r>
    <s v="S-33df6f"/>
    <s v="A-0baac2"/>
    <d v="2024-12-11T00:00:00"/>
    <d v="2024-12-12T00:00:00"/>
    <x v="0"/>
    <n v="14"/>
    <n v="2786"/>
    <n v="33432"/>
    <x v="0"/>
    <b v="0"/>
    <b v="0"/>
    <b v="1"/>
    <x v="0"/>
    <b v="1"/>
  </r>
  <r>
    <s v="S-9225ac"/>
    <s v="A-eafc6e"/>
    <d v="2024-09-28T00:00:00"/>
    <m/>
    <x v="1"/>
    <n v="31"/>
    <n v="0"/>
    <n v="0"/>
    <x v="1"/>
    <b v="0"/>
    <b v="0"/>
    <b v="0"/>
    <x v="1"/>
    <b v="1"/>
  </r>
  <r>
    <s v="S-a332ba"/>
    <s v="A-69b156"/>
    <d v="2024-04-15T00:00:00"/>
    <d v="2024-07-09T00:00:00"/>
    <x v="1"/>
    <n v="7"/>
    <n v="343"/>
    <n v="4116"/>
    <x v="0"/>
    <b v="0"/>
    <b v="0"/>
    <b v="1"/>
    <x v="1"/>
    <b v="0"/>
  </r>
  <r>
    <s v="S-c2168a"/>
    <s v="A-37f969"/>
    <d v="2024-08-22T00:00:00"/>
    <m/>
    <x v="2"/>
    <n v="30"/>
    <n v="570"/>
    <n v="6840"/>
    <x v="0"/>
    <b v="0"/>
    <b v="0"/>
    <b v="0"/>
    <x v="0"/>
    <b v="1"/>
  </r>
  <r>
    <s v="S-31090f"/>
    <s v="A-328bd0"/>
    <d v="2024-08-20T00:00:00"/>
    <m/>
    <x v="2"/>
    <n v="18"/>
    <n v="342"/>
    <n v="4104"/>
    <x v="0"/>
    <b v="0"/>
    <b v="0"/>
    <b v="0"/>
    <x v="0"/>
    <b v="0"/>
  </r>
  <r>
    <s v="S-f316d5"/>
    <s v="A-f25509"/>
    <d v="2024-12-26T00:00:00"/>
    <m/>
    <x v="2"/>
    <n v="57"/>
    <n v="1083"/>
    <n v="12996"/>
    <x v="0"/>
    <b v="0"/>
    <b v="1"/>
    <b v="0"/>
    <x v="1"/>
    <b v="1"/>
  </r>
  <r>
    <s v="S-6d0817"/>
    <s v="A-fa2041"/>
    <d v="2024-08-19T00:00:00"/>
    <m/>
    <x v="1"/>
    <n v="21"/>
    <n v="1029"/>
    <n v="12348"/>
    <x v="0"/>
    <b v="0"/>
    <b v="0"/>
    <b v="0"/>
    <x v="0"/>
    <b v="1"/>
  </r>
  <r>
    <s v="S-b63db8"/>
    <s v="A-faa28c"/>
    <d v="2024-09-18T00:00:00"/>
    <m/>
    <x v="0"/>
    <n v="48"/>
    <n v="9552"/>
    <n v="114624"/>
    <x v="0"/>
    <b v="0"/>
    <b v="0"/>
    <b v="0"/>
    <x v="0"/>
    <b v="0"/>
  </r>
  <r>
    <s v="S-cfcd07"/>
    <s v="A-4a267b"/>
    <d v="2024-08-29T00:00:00"/>
    <m/>
    <x v="2"/>
    <n v="25"/>
    <n v="0"/>
    <n v="0"/>
    <x v="1"/>
    <b v="0"/>
    <b v="0"/>
    <b v="0"/>
    <x v="1"/>
    <b v="1"/>
  </r>
  <r>
    <s v="S-c192eb"/>
    <s v="A-ff79f2"/>
    <d v="2024-10-19T00:00:00"/>
    <m/>
    <x v="0"/>
    <n v="83"/>
    <n v="16517"/>
    <n v="198204"/>
    <x v="0"/>
    <b v="0"/>
    <b v="0"/>
    <b v="0"/>
    <x v="0"/>
    <b v="1"/>
  </r>
  <r>
    <s v="S-bfc0f8"/>
    <s v="A-7cfe77"/>
    <d v="2024-08-10T00:00:00"/>
    <m/>
    <x v="2"/>
    <n v="69"/>
    <n v="1311"/>
    <n v="15732"/>
    <x v="0"/>
    <b v="0"/>
    <b v="0"/>
    <b v="0"/>
    <x v="0"/>
    <b v="1"/>
  </r>
  <r>
    <s v="S-90525e"/>
    <s v="A-ed510f"/>
    <d v="2024-04-21T00:00:00"/>
    <m/>
    <x v="0"/>
    <n v="42"/>
    <n v="8358"/>
    <n v="100296"/>
    <x v="0"/>
    <b v="0"/>
    <b v="0"/>
    <b v="0"/>
    <x v="1"/>
    <b v="1"/>
  </r>
  <r>
    <s v="S-4d9bfd"/>
    <s v="A-2bc93d"/>
    <d v="2024-08-31T00:00:00"/>
    <m/>
    <x v="0"/>
    <n v="14"/>
    <n v="0"/>
    <n v="0"/>
    <x v="1"/>
    <b v="0"/>
    <b v="0"/>
    <b v="0"/>
    <x v="1"/>
    <b v="1"/>
  </r>
  <r>
    <s v="S-741431"/>
    <s v="A-6e7827"/>
    <d v="2024-08-30T00:00:00"/>
    <m/>
    <x v="0"/>
    <n v="11"/>
    <n v="2189"/>
    <n v="26268"/>
    <x v="0"/>
    <b v="0"/>
    <b v="0"/>
    <b v="0"/>
    <x v="0"/>
    <b v="1"/>
  </r>
  <r>
    <s v="S-c3660c"/>
    <s v="A-779e4e"/>
    <d v="2024-07-18T00:00:00"/>
    <m/>
    <x v="1"/>
    <n v="5"/>
    <n v="245"/>
    <n v="2940"/>
    <x v="0"/>
    <b v="0"/>
    <b v="0"/>
    <b v="0"/>
    <x v="0"/>
    <b v="1"/>
  </r>
  <r>
    <s v="S-9a8d01"/>
    <s v="A-751c58"/>
    <d v="2024-08-30T00:00:00"/>
    <m/>
    <x v="1"/>
    <n v="33"/>
    <n v="1617"/>
    <n v="19404"/>
    <x v="0"/>
    <b v="1"/>
    <b v="0"/>
    <b v="0"/>
    <x v="0"/>
    <b v="0"/>
  </r>
  <r>
    <s v="S-18e3a5"/>
    <s v="A-c43359"/>
    <d v="2024-11-25T00:00:00"/>
    <d v="2024-11-28T00:00:00"/>
    <x v="2"/>
    <n v="38"/>
    <n v="722"/>
    <n v="8664"/>
    <x v="0"/>
    <b v="0"/>
    <b v="0"/>
    <b v="1"/>
    <x v="1"/>
    <b v="1"/>
  </r>
  <r>
    <s v="S-a04ba5"/>
    <s v="A-afa505"/>
    <d v="2024-06-02T00:00:00"/>
    <m/>
    <x v="0"/>
    <n v="70"/>
    <n v="13930"/>
    <n v="167160"/>
    <x v="0"/>
    <b v="0"/>
    <b v="0"/>
    <b v="0"/>
    <x v="1"/>
    <b v="1"/>
  </r>
  <r>
    <s v="S-be601b"/>
    <s v="A-8ae05d"/>
    <d v="2024-07-07T00:00:00"/>
    <m/>
    <x v="2"/>
    <n v="86"/>
    <n v="1634"/>
    <n v="19608"/>
    <x v="0"/>
    <b v="0"/>
    <b v="0"/>
    <b v="0"/>
    <x v="0"/>
    <b v="1"/>
  </r>
  <r>
    <s v="S-951de6"/>
    <s v="A-ccb686"/>
    <d v="2024-05-04T00:00:00"/>
    <d v="2024-10-10T00:00:00"/>
    <x v="2"/>
    <n v="10"/>
    <n v="190"/>
    <n v="2280"/>
    <x v="0"/>
    <b v="0"/>
    <b v="0"/>
    <b v="1"/>
    <x v="1"/>
    <b v="1"/>
  </r>
  <r>
    <s v="S-665df9"/>
    <s v="A-a0ca4e"/>
    <d v="2024-10-28T00:00:00"/>
    <m/>
    <x v="1"/>
    <n v="11"/>
    <n v="539"/>
    <n v="6468"/>
    <x v="0"/>
    <b v="0"/>
    <b v="0"/>
    <b v="0"/>
    <x v="1"/>
    <b v="1"/>
  </r>
  <r>
    <s v="S-a0f3f7"/>
    <s v="A-c37cab"/>
    <d v="2024-07-30T00:00:00"/>
    <m/>
    <x v="0"/>
    <n v="21"/>
    <n v="4179"/>
    <n v="50148"/>
    <x v="0"/>
    <b v="0"/>
    <b v="0"/>
    <b v="0"/>
    <x v="1"/>
    <b v="1"/>
  </r>
  <r>
    <s v="S-e090ae"/>
    <s v="A-e2cd1b"/>
    <d v="2024-05-25T00:00:00"/>
    <m/>
    <x v="0"/>
    <n v="15"/>
    <n v="2985"/>
    <n v="35820"/>
    <x v="0"/>
    <b v="0"/>
    <b v="0"/>
    <b v="0"/>
    <x v="1"/>
    <b v="1"/>
  </r>
  <r>
    <s v="S-dad08c"/>
    <s v="A-977ca0"/>
    <d v="2024-04-14T00:00:00"/>
    <m/>
    <x v="1"/>
    <n v="20"/>
    <n v="0"/>
    <n v="0"/>
    <x v="1"/>
    <b v="0"/>
    <b v="0"/>
    <b v="0"/>
    <x v="0"/>
    <b v="1"/>
  </r>
  <r>
    <s v="S-053142"/>
    <s v="A-ffc04f"/>
    <d v="2024-11-06T00:00:00"/>
    <m/>
    <x v="2"/>
    <n v="16"/>
    <n v="304"/>
    <n v="3648"/>
    <x v="0"/>
    <b v="0"/>
    <b v="0"/>
    <b v="0"/>
    <x v="0"/>
    <b v="1"/>
  </r>
  <r>
    <s v="S-5a6941"/>
    <s v="A-4a267b"/>
    <d v="2024-09-22T00:00:00"/>
    <m/>
    <x v="1"/>
    <n v="25"/>
    <n v="1225"/>
    <n v="14700"/>
    <x v="0"/>
    <b v="0"/>
    <b v="0"/>
    <b v="0"/>
    <x v="0"/>
    <b v="1"/>
  </r>
  <r>
    <s v="S-856241"/>
    <s v="A-32fb14"/>
    <d v="2023-09-12T00:00:00"/>
    <m/>
    <x v="2"/>
    <n v="26"/>
    <n v="494"/>
    <n v="5928"/>
    <x v="0"/>
    <b v="0"/>
    <b v="0"/>
    <b v="0"/>
    <x v="0"/>
    <b v="1"/>
  </r>
  <r>
    <s v="S-eaa2c2"/>
    <s v="A-2ebb4b"/>
    <d v="2024-05-06T00:00:00"/>
    <m/>
    <x v="2"/>
    <n v="41"/>
    <n v="779"/>
    <n v="9348"/>
    <x v="0"/>
    <b v="0"/>
    <b v="0"/>
    <b v="0"/>
    <x v="0"/>
    <b v="1"/>
  </r>
  <r>
    <s v="S-e567db"/>
    <s v="A-716841"/>
    <d v="2024-05-14T00:00:00"/>
    <m/>
    <x v="0"/>
    <n v="45"/>
    <n v="0"/>
    <n v="0"/>
    <x v="1"/>
    <b v="0"/>
    <b v="0"/>
    <b v="0"/>
    <x v="1"/>
    <b v="1"/>
  </r>
  <r>
    <s v="S-94fc5d"/>
    <s v="A-86902e"/>
    <d v="2023-07-30T00:00:00"/>
    <m/>
    <x v="2"/>
    <n v="34"/>
    <n v="0"/>
    <n v="0"/>
    <x v="1"/>
    <b v="0"/>
    <b v="0"/>
    <b v="0"/>
    <x v="0"/>
    <b v="1"/>
  </r>
  <r>
    <s v="S-474b5a"/>
    <s v="A-05d3b3"/>
    <d v="2023-11-26T00:00:00"/>
    <m/>
    <x v="2"/>
    <n v="11"/>
    <n v="209"/>
    <n v="2508"/>
    <x v="0"/>
    <b v="0"/>
    <b v="0"/>
    <b v="0"/>
    <x v="1"/>
    <b v="0"/>
  </r>
  <r>
    <s v="S-bf304b"/>
    <s v="A-89ee83"/>
    <d v="2024-12-27T00:00:00"/>
    <m/>
    <x v="0"/>
    <n v="18"/>
    <n v="3582"/>
    <n v="42984"/>
    <x v="0"/>
    <b v="0"/>
    <b v="0"/>
    <b v="0"/>
    <x v="0"/>
    <b v="1"/>
  </r>
  <r>
    <s v="S-b22602"/>
    <s v="A-b9f5b1"/>
    <d v="2024-05-04T00:00:00"/>
    <d v="2024-09-29T00:00:00"/>
    <x v="0"/>
    <n v="39"/>
    <n v="0"/>
    <n v="0"/>
    <x v="1"/>
    <b v="0"/>
    <b v="0"/>
    <b v="1"/>
    <x v="1"/>
    <b v="1"/>
  </r>
  <r>
    <s v="S-09c11e"/>
    <s v="A-19b2c8"/>
    <d v="2023-07-12T00:00:00"/>
    <m/>
    <x v="2"/>
    <n v="20"/>
    <n v="380"/>
    <n v="4560"/>
    <x v="0"/>
    <b v="0"/>
    <b v="0"/>
    <b v="0"/>
    <x v="1"/>
    <b v="0"/>
  </r>
  <r>
    <s v="S-13d6d1"/>
    <s v="A-ff79f2"/>
    <d v="2024-07-28T00:00:00"/>
    <m/>
    <x v="1"/>
    <n v="10"/>
    <n v="490"/>
    <n v="5880"/>
    <x v="0"/>
    <b v="0"/>
    <b v="0"/>
    <b v="0"/>
    <x v="0"/>
    <b v="0"/>
  </r>
  <r>
    <s v="S-9eda4d"/>
    <s v="A-524364"/>
    <d v="2024-12-31T00:00:00"/>
    <m/>
    <x v="0"/>
    <n v="3"/>
    <n v="0"/>
    <n v="0"/>
    <x v="1"/>
    <b v="0"/>
    <b v="0"/>
    <b v="0"/>
    <x v="0"/>
    <b v="1"/>
  </r>
  <r>
    <s v="S-779baa"/>
    <s v="A-eafc6e"/>
    <d v="2024-10-30T00:00:00"/>
    <m/>
    <x v="2"/>
    <n v="30"/>
    <n v="0"/>
    <n v="0"/>
    <x v="1"/>
    <b v="0"/>
    <b v="0"/>
    <b v="0"/>
    <x v="0"/>
    <b v="1"/>
  </r>
  <r>
    <s v="S-20952f"/>
    <s v="A-d82ef9"/>
    <d v="2024-09-10T00:00:00"/>
    <m/>
    <x v="1"/>
    <n v="26"/>
    <n v="1274"/>
    <n v="15288"/>
    <x v="0"/>
    <b v="0"/>
    <b v="0"/>
    <b v="0"/>
    <x v="1"/>
    <b v="1"/>
  </r>
  <r>
    <s v="S-d2fae0"/>
    <s v="A-2789e3"/>
    <d v="2024-10-10T00:00:00"/>
    <m/>
    <x v="0"/>
    <n v="11"/>
    <n v="0"/>
    <n v="0"/>
    <x v="1"/>
    <b v="0"/>
    <b v="0"/>
    <b v="0"/>
    <x v="0"/>
    <b v="1"/>
  </r>
  <r>
    <s v="S-0206eb"/>
    <s v="A-883b7d"/>
    <d v="2024-04-26T00:00:00"/>
    <m/>
    <x v="2"/>
    <n v="31"/>
    <n v="589"/>
    <n v="7068"/>
    <x v="0"/>
    <b v="0"/>
    <b v="0"/>
    <b v="0"/>
    <x v="0"/>
    <b v="1"/>
  </r>
  <r>
    <s v="S-3bd95c"/>
    <s v="A-51ec1b"/>
    <d v="2024-11-12T00:00:00"/>
    <m/>
    <x v="0"/>
    <n v="17"/>
    <n v="3383"/>
    <n v="40596"/>
    <x v="0"/>
    <b v="1"/>
    <b v="0"/>
    <b v="0"/>
    <x v="1"/>
    <b v="1"/>
  </r>
  <r>
    <s v="S-88cb91"/>
    <s v="A-cab532"/>
    <d v="2024-12-16T00:00:00"/>
    <m/>
    <x v="1"/>
    <n v="35"/>
    <n v="1715"/>
    <n v="20580"/>
    <x v="0"/>
    <b v="0"/>
    <b v="0"/>
    <b v="0"/>
    <x v="1"/>
    <b v="1"/>
  </r>
  <r>
    <s v="S-bb45bb"/>
    <s v="A-b07346"/>
    <d v="2024-12-22T00:00:00"/>
    <m/>
    <x v="0"/>
    <n v="51"/>
    <n v="10149"/>
    <n v="121788"/>
    <x v="0"/>
    <b v="0"/>
    <b v="0"/>
    <b v="0"/>
    <x v="1"/>
    <b v="0"/>
  </r>
  <r>
    <s v="S-5c631b"/>
    <s v="A-b7ef83"/>
    <d v="2024-07-01T00:00:00"/>
    <m/>
    <x v="0"/>
    <n v="26"/>
    <n v="5174"/>
    <n v="62088"/>
    <x v="0"/>
    <b v="0"/>
    <b v="0"/>
    <b v="0"/>
    <x v="1"/>
    <b v="0"/>
  </r>
  <r>
    <s v="S-6f6fca"/>
    <s v="A-560d27"/>
    <d v="2024-11-07T00:00:00"/>
    <m/>
    <x v="0"/>
    <n v="50"/>
    <n v="0"/>
    <n v="0"/>
    <x v="1"/>
    <b v="1"/>
    <b v="0"/>
    <b v="0"/>
    <x v="1"/>
    <b v="1"/>
  </r>
  <r>
    <s v="S-b6ab32"/>
    <s v="A-dbc825"/>
    <d v="2024-04-08T00:00:00"/>
    <d v="2024-08-05T00:00:00"/>
    <x v="0"/>
    <n v="19"/>
    <n v="3781"/>
    <n v="45372"/>
    <x v="0"/>
    <b v="0"/>
    <b v="0"/>
    <b v="1"/>
    <x v="1"/>
    <b v="1"/>
  </r>
  <r>
    <s v="S-9a6596"/>
    <s v="A-503d5a"/>
    <d v="2023-10-21T00:00:00"/>
    <m/>
    <x v="2"/>
    <n v="49"/>
    <n v="931"/>
    <n v="11172"/>
    <x v="0"/>
    <b v="0"/>
    <b v="1"/>
    <b v="0"/>
    <x v="0"/>
    <b v="1"/>
  </r>
  <r>
    <s v="S-8e5df4"/>
    <s v="A-b3fe05"/>
    <d v="2024-11-04T00:00:00"/>
    <m/>
    <x v="2"/>
    <n v="15"/>
    <n v="285"/>
    <n v="3420"/>
    <x v="0"/>
    <b v="0"/>
    <b v="0"/>
    <b v="0"/>
    <x v="0"/>
    <b v="1"/>
  </r>
  <r>
    <s v="S-d2624d"/>
    <s v="A-4e0e85"/>
    <d v="2024-07-19T00:00:00"/>
    <m/>
    <x v="1"/>
    <n v="6"/>
    <n v="294"/>
    <n v="3528"/>
    <x v="0"/>
    <b v="0"/>
    <b v="0"/>
    <b v="0"/>
    <x v="1"/>
    <b v="0"/>
  </r>
  <r>
    <s v="S-3c1038"/>
    <s v="A-30b4ca"/>
    <d v="2024-08-13T00:00:00"/>
    <m/>
    <x v="1"/>
    <n v="86"/>
    <n v="0"/>
    <n v="0"/>
    <x v="1"/>
    <b v="0"/>
    <b v="0"/>
    <b v="0"/>
    <x v="0"/>
    <b v="1"/>
  </r>
  <r>
    <s v="S-ee53e8"/>
    <s v="A-1b9609"/>
    <d v="2024-09-03T00:00:00"/>
    <m/>
    <x v="2"/>
    <n v="17"/>
    <n v="323"/>
    <n v="3876"/>
    <x v="0"/>
    <b v="0"/>
    <b v="0"/>
    <b v="0"/>
    <x v="1"/>
    <b v="1"/>
  </r>
  <r>
    <s v="S-11eef4"/>
    <s v="A-5c046d"/>
    <d v="2024-07-23T00:00:00"/>
    <m/>
    <x v="1"/>
    <n v="93"/>
    <n v="4557"/>
    <n v="54684"/>
    <x v="0"/>
    <b v="0"/>
    <b v="0"/>
    <b v="0"/>
    <x v="1"/>
    <b v="1"/>
  </r>
  <r>
    <s v="S-9a065e"/>
    <s v="A-92a3af"/>
    <d v="2024-11-24T00:00:00"/>
    <m/>
    <x v="1"/>
    <n v="25"/>
    <n v="1225"/>
    <n v="14700"/>
    <x v="0"/>
    <b v="0"/>
    <b v="0"/>
    <b v="0"/>
    <x v="0"/>
    <b v="1"/>
  </r>
  <r>
    <s v="S-7a2991"/>
    <s v="A-4d1e75"/>
    <d v="2024-11-14T00:00:00"/>
    <m/>
    <x v="1"/>
    <n v="39"/>
    <n v="1911"/>
    <n v="22932"/>
    <x v="0"/>
    <b v="0"/>
    <b v="0"/>
    <b v="0"/>
    <x v="1"/>
    <b v="1"/>
  </r>
  <r>
    <s v="S-ca136e"/>
    <s v="A-cb5333"/>
    <d v="2024-04-09T00:00:00"/>
    <m/>
    <x v="2"/>
    <n v="44"/>
    <n v="836"/>
    <n v="10032"/>
    <x v="0"/>
    <b v="0"/>
    <b v="0"/>
    <b v="0"/>
    <x v="0"/>
    <b v="1"/>
  </r>
  <r>
    <s v="S-52b9a9"/>
    <s v="A-86902e"/>
    <d v="2024-04-12T00:00:00"/>
    <m/>
    <x v="0"/>
    <n v="34"/>
    <n v="6766"/>
    <n v="81192"/>
    <x v="0"/>
    <b v="1"/>
    <b v="0"/>
    <b v="0"/>
    <x v="1"/>
    <b v="1"/>
  </r>
  <r>
    <s v="S-712e04"/>
    <s v="A-cc98bc"/>
    <d v="2024-09-20T00:00:00"/>
    <m/>
    <x v="2"/>
    <n v="32"/>
    <n v="0"/>
    <n v="0"/>
    <x v="1"/>
    <b v="0"/>
    <b v="0"/>
    <b v="0"/>
    <x v="0"/>
    <b v="1"/>
  </r>
  <r>
    <s v="S-70e232"/>
    <s v="A-331424"/>
    <d v="2024-01-24T00:00:00"/>
    <m/>
    <x v="0"/>
    <n v="11"/>
    <n v="2189"/>
    <n v="26268"/>
    <x v="0"/>
    <b v="0"/>
    <b v="0"/>
    <b v="0"/>
    <x v="1"/>
    <b v="1"/>
  </r>
  <r>
    <s v="S-04911c"/>
    <s v="A-bc87bc"/>
    <d v="2024-12-01T00:00:00"/>
    <d v="2024-12-15T00:00:00"/>
    <x v="1"/>
    <n v="3"/>
    <n v="0"/>
    <n v="0"/>
    <x v="1"/>
    <b v="0"/>
    <b v="0"/>
    <b v="1"/>
    <x v="1"/>
    <b v="1"/>
  </r>
  <r>
    <s v="S-384681"/>
    <s v="A-e08cd3"/>
    <d v="2024-12-25T00:00:00"/>
    <m/>
    <x v="2"/>
    <n v="67"/>
    <n v="1273"/>
    <n v="15276"/>
    <x v="0"/>
    <b v="0"/>
    <b v="1"/>
    <b v="0"/>
    <x v="1"/>
    <b v="1"/>
  </r>
  <r>
    <s v="S-875cf3"/>
    <s v="A-54ecc2"/>
    <d v="2024-04-29T00:00:00"/>
    <m/>
    <x v="0"/>
    <n v="30"/>
    <n v="5970"/>
    <n v="71640"/>
    <x v="0"/>
    <b v="0"/>
    <b v="0"/>
    <b v="0"/>
    <x v="0"/>
    <b v="1"/>
  </r>
  <r>
    <s v="S-335e1e"/>
    <s v="A-22f2df"/>
    <d v="2024-12-24T00:00:00"/>
    <m/>
    <x v="1"/>
    <n v="40"/>
    <n v="1960"/>
    <n v="23520"/>
    <x v="0"/>
    <b v="0"/>
    <b v="0"/>
    <b v="0"/>
    <x v="0"/>
    <b v="1"/>
  </r>
  <r>
    <s v="S-da8d5f"/>
    <s v="A-55f257"/>
    <d v="2024-03-06T00:00:00"/>
    <m/>
    <x v="1"/>
    <n v="14"/>
    <n v="686"/>
    <n v="8232"/>
    <x v="0"/>
    <b v="0"/>
    <b v="0"/>
    <b v="0"/>
    <x v="0"/>
    <b v="1"/>
  </r>
  <r>
    <s v="S-8cd315"/>
    <s v="A-c1e51e"/>
    <d v="2024-11-19T00:00:00"/>
    <m/>
    <x v="0"/>
    <n v="55"/>
    <n v="10945"/>
    <n v="131340"/>
    <x v="0"/>
    <b v="0"/>
    <b v="0"/>
    <b v="0"/>
    <x v="0"/>
    <b v="1"/>
  </r>
  <r>
    <s v="S-0bb284"/>
    <s v="A-b07b56"/>
    <d v="2024-12-16T00:00:00"/>
    <m/>
    <x v="1"/>
    <n v="27"/>
    <n v="1323"/>
    <n v="15876"/>
    <x v="0"/>
    <b v="0"/>
    <b v="0"/>
    <b v="0"/>
    <x v="0"/>
    <b v="0"/>
  </r>
  <r>
    <s v="S-0283b5"/>
    <s v="A-443f6f"/>
    <d v="2024-12-10T00:00:00"/>
    <m/>
    <x v="1"/>
    <n v="19"/>
    <n v="931"/>
    <n v="11172"/>
    <x v="0"/>
    <b v="0"/>
    <b v="0"/>
    <b v="0"/>
    <x v="1"/>
    <b v="1"/>
  </r>
  <r>
    <s v="S-9a8f71"/>
    <s v="A-a7bd4b"/>
    <d v="2023-03-19T00:00:00"/>
    <m/>
    <x v="1"/>
    <n v="8"/>
    <n v="392"/>
    <n v="4704"/>
    <x v="0"/>
    <b v="0"/>
    <b v="0"/>
    <b v="0"/>
    <x v="1"/>
    <b v="1"/>
  </r>
  <r>
    <s v="S-44c9ae"/>
    <s v="A-f3ff05"/>
    <d v="2024-11-10T00:00:00"/>
    <m/>
    <x v="2"/>
    <n v="2"/>
    <n v="0"/>
    <n v="0"/>
    <x v="1"/>
    <b v="0"/>
    <b v="0"/>
    <b v="0"/>
    <x v="1"/>
    <b v="0"/>
  </r>
  <r>
    <s v="S-c98905"/>
    <s v="A-de24d5"/>
    <d v="2024-12-28T00:00:00"/>
    <m/>
    <x v="1"/>
    <n v="5"/>
    <n v="245"/>
    <n v="2940"/>
    <x v="0"/>
    <b v="0"/>
    <b v="0"/>
    <b v="0"/>
    <x v="0"/>
    <b v="0"/>
  </r>
  <r>
    <s v="S-bcbe03"/>
    <s v="A-2789e3"/>
    <d v="2024-10-22T00:00:00"/>
    <m/>
    <x v="2"/>
    <n v="11"/>
    <n v="209"/>
    <n v="2508"/>
    <x v="0"/>
    <b v="0"/>
    <b v="0"/>
    <b v="0"/>
    <x v="0"/>
    <b v="0"/>
  </r>
  <r>
    <s v="S-9871f4"/>
    <s v="A-8e47ca"/>
    <d v="2024-03-05T00:00:00"/>
    <m/>
    <x v="2"/>
    <n v="19"/>
    <n v="361"/>
    <n v="4332"/>
    <x v="0"/>
    <b v="0"/>
    <b v="0"/>
    <b v="0"/>
    <x v="0"/>
    <b v="1"/>
  </r>
  <r>
    <s v="S-635c1e"/>
    <s v="A-b2af2e"/>
    <d v="2024-12-31T00:00:00"/>
    <m/>
    <x v="2"/>
    <n v="54"/>
    <n v="1026"/>
    <n v="12312"/>
    <x v="0"/>
    <b v="0"/>
    <b v="1"/>
    <b v="0"/>
    <x v="1"/>
    <b v="0"/>
  </r>
  <r>
    <s v="S-d32fbc"/>
    <s v="A-798a3f"/>
    <d v="2024-07-01T00:00:00"/>
    <m/>
    <x v="2"/>
    <n v="12"/>
    <n v="228"/>
    <n v="2736"/>
    <x v="0"/>
    <b v="0"/>
    <b v="0"/>
    <b v="0"/>
    <x v="0"/>
    <b v="1"/>
  </r>
  <r>
    <s v="S-17e05f"/>
    <s v="A-fa3095"/>
    <d v="2024-12-18T00:00:00"/>
    <m/>
    <x v="1"/>
    <n v="70"/>
    <n v="3430"/>
    <n v="41160"/>
    <x v="0"/>
    <b v="0"/>
    <b v="0"/>
    <b v="0"/>
    <x v="1"/>
    <b v="1"/>
  </r>
  <r>
    <s v="S-9c6bd0"/>
    <s v="A-075038"/>
    <d v="2024-04-11T00:00:00"/>
    <m/>
    <x v="2"/>
    <n v="17"/>
    <n v="323"/>
    <n v="3876"/>
    <x v="0"/>
    <b v="0"/>
    <b v="0"/>
    <b v="0"/>
    <x v="0"/>
    <b v="1"/>
  </r>
  <r>
    <s v="S-90d405"/>
    <s v="A-d62e02"/>
    <d v="2024-12-30T00:00:00"/>
    <m/>
    <x v="0"/>
    <n v="6"/>
    <n v="1194"/>
    <n v="14328"/>
    <x v="0"/>
    <b v="0"/>
    <b v="0"/>
    <b v="0"/>
    <x v="0"/>
    <b v="0"/>
  </r>
  <r>
    <s v="S-d80516"/>
    <s v="A-f19409"/>
    <d v="2023-04-22T00:00:00"/>
    <m/>
    <x v="1"/>
    <n v="44"/>
    <n v="2156"/>
    <n v="25872"/>
    <x v="0"/>
    <b v="1"/>
    <b v="0"/>
    <b v="0"/>
    <x v="1"/>
    <b v="1"/>
  </r>
  <r>
    <s v="S-425607"/>
    <s v="A-ffdfd5"/>
    <d v="2024-06-11T00:00:00"/>
    <m/>
    <x v="2"/>
    <n v="21"/>
    <n v="399"/>
    <n v="4788"/>
    <x v="0"/>
    <b v="0"/>
    <b v="0"/>
    <b v="0"/>
    <x v="1"/>
    <b v="1"/>
  </r>
  <r>
    <s v="S-0eb2e0"/>
    <s v="A-970c97"/>
    <d v="2024-03-23T00:00:00"/>
    <m/>
    <x v="0"/>
    <n v="14"/>
    <n v="2786"/>
    <n v="33432"/>
    <x v="0"/>
    <b v="0"/>
    <b v="0"/>
    <b v="0"/>
    <x v="0"/>
    <b v="1"/>
  </r>
  <r>
    <s v="S-fe753c"/>
    <s v="A-0532a9"/>
    <d v="2024-11-23T00:00:00"/>
    <m/>
    <x v="2"/>
    <n v="19"/>
    <n v="361"/>
    <n v="4332"/>
    <x v="0"/>
    <b v="0"/>
    <b v="0"/>
    <b v="0"/>
    <x v="0"/>
    <b v="1"/>
  </r>
  <r>
    <s v="S-cb54dc"/>
    <s v="A-560d27"/>
    <d v="2024-11-17T00:00:00"/>
    <m/>
    <x v="0"/>
    <n v="42"/>
    <n v="0"/>
    <n v="0"/>
    <x v="1"/>
    <b v="0"/>
    <b v="0"/>
    <b v="0"/>
    <x v="1"/>
    <b v="0"/>
  </r>
  <r>
    <s v="S-e338a1"/>
    <s v="A-d40bf7"/>
    <d v="2024-12-14T00:00:00"/>
    <m/>
    <x v="1"/>
    <n v="59"/>
    <n v="2891"/>
    <n v="34692"/>
    <x v="0"/>
    <b v="0"/>
    <b v="0"/>
    <b v="0"/>
    <x v="0"/>
    <b v="1"/>
  </r>
  <r>
    <s v="S-441ab2"/>
    <s v="A-e36807"/>
    <d v="2024-07-07T00:00:00"/>
    <m/>
    <x v="2"/>
    <n v="25"/>
    <n v="0"/>
    <n v="0"/>
    <x v="1"/>
    <b v="0"/>
    <b v="0"/>
    <b v="0"/>
    <x v="1"/>
    <b v="1"/>
  </r>
  <r>
    <s v="S-bb9299"/>
    <s v="A-7da956"/>
    <d v="2024-10-16T00:00:00"/>
    <m/>
    <x v="1"/>
    <n v="13"/>
    <n v="0"/>
    <n v="0"/>
    <x v="1"/>
    <b v="0"/>
    <b v="0"/>
    <b v="0"/>
    <x v="1"/>
    <b v="1"/>
  </r>
  <r>
    <s v="S-07c505"/>
    <s v="A-bc4d48"/>
    <d v="2024-07-12T00:00:00"/>
    <m/>
    <x v="1"/>
    <n v="35"/>
    <n v="1715"/>
    <n v="20580"/>
    <x v="0"/>
    <b v="1"/>
    <b v="0"/>
    <b v="0"/>
    <x v="0"/>
    <b v="1"/>
  </r>
  <r>
    <s v="S-cd3a01"/>
    <s v="A-98a59a"/>
    <d v="2024-05-10T00:00:00"/>
    <m/>
    <x v="2"/>
    <n v="56"/>
    <n v="1064"/>
    <n v="12768"/>
    <x v="0"/>
    <b v="0"/>
    <b v="0"/>
    <b v="0"/>
    <x v="0"/>
    <b v="0"/>
  </r>
  <r>
    <s v="S-9d78e2"/>
    <s v="A-d3c88e"/>
    <d v="2024-12-28T00:00:00"/>
    <m/>
    <x v="0"/>
    <n v="47"/>
    <n v="9353"/>
    <n v="112236"/>
    <x v="0"/>
    <b v="0"/>
    <b v="0"/>
    <b v="0"/>
    <x v="0"/>
    <b v="1"/>
  </r>
  <r>
    <s v="S-8ca516"/>
    <s v="A-f19409"/>
    <d v="2024-09-21T00:00:00"/>
    <m/>
    <x v="1"/>
    <n v="23"/>
    <n v="1127"/>
    <n v="13524"/>
    <x v="0"/>
    <b v="0"/>
    <b v="0"/>
    <b v="0"/>
    <x v="1"/>
    <b v="1"/>
  </r>
  <r>
    <s v="S-cafa84"/>
    <s v="A-bbc346"/>
    <d v="2024-09-16T00:00:00"/>
    <m/>
    <x v="0"/>
    <n v="19"/>
    <n v="3781"/>
    <n v="45372"/>
    <x v="0"/>
    <b v="0"/>
    <b v="0"/>
    <b v="0"/>
    <x v="1"/>
    <b v="1"/>
  </r>
  <r>
    <s v="S-92f4b4"/>
    <s v="A-6da850"/>
    <d v="2024-02-09T00:00:00"/>
    <m/>
    <x v="2"/>
    <n v="18"/>
    <n v="342"/>
    <n v="4104"/>
    <x v="0"/>
    <b v="0"/>
    <b v="0"/>
    <b v="0"/>
    <x v="0"/>
    <b v="1"/>
  </r>
  <r>
    <s v="S-1ad713"/>
    <s v="A-f97b9a"/>
    <d v="2024-06-19T00:00:00"/>
    <m/>
    <x v="0"/>
    <n v="16"/>
    <n v="3184"/>
    <n v="38208"/>
    <x v="0"/>
    <b v="0"/>
    <b v="0"/>
    <b v="0"/>
    <x v="1"/>
    <b v="1"/>
  </r>
  <r>
    <s v="S-d9eb73"/>
    <s v="A-32fb14"/>
    <d v="2023-07-18T00:00:00"/>
    <m/>
    <x v="2"/>
    <n v="26"/>
    <n v="0"/>
    <n v="0"/>
    <x v="1"/>
    <b v="0"/>
    <b v="0"/>
    <b v="0"/>
    <x v="1"/>
    <b v="1"/>
  </r>
  <r>
    <s v="S-31ac79"/>
    <s v="A-f19b24"/>
    <d v="2024-12-01T00:00:00"/>
    <m/>
    <x v="2"/>
    <n v="29"/>
    <n v="551"/>
    <n v="6612"/>
    <x v="0"/>
    <b v="0"/>
    <b v="0"/>
    <b v="0"/>
    <x v="0"/>
    <b v="1"/>
  </r>
  <r>
    <s v="S-2f8dbb"/>
    <s v="A-13466a"/>
    <d v="2023-11-18T00:00:00"/>
    <d v="2024-06-23T00:00:00"/>
    <x v="2"/>
    <n v="2"/>
    <n v="38"/>
    <n v="456"/>
    <x v="0"/>
    <b v="0"/>
    <b v="0"/>
    <b v="1"/>
    <x v="1"/>
    <b v="0"/>
  </r>
  <r>
    <s v="S-f554b0"/>
    <s v="A-faa28c"/>
    <d v="2024-11-30T00:00:00"/>
    <m/>
    <x v="0"/>
    <n v="48"/>
    <n v="9552"/>
    <n v="114624"/>
    <x v="0"/>
    <b v="1"/>
    <b v="0"/>
    <b v="0"/>
    <x v="1"/>
    <b v="1"/>
  </r>
  <r>
    <s v="S-81d63a"/>
    <s v="A-c62e55"/>
    <d v="2024-02-07T00:00:00"/>
    <m/>
    <x v="1"/>
    <n v="56"/>
    <n v="2744"/>
    <n v="32928"/>
    <x v="0"/>
    <b v="0"/>
    <b v="0"/>
    <b v="0"/>
    <x v="1"/>
    <b v="1"/>
  </r>
  <r>
    <s v="S-1b6221"/>
    <s v="A-f6b2fb"/>
    <d v="2024-06-12T00:00:00"/>
    <d v="2024-12-23T00:00:00"/>
    <x v="0"/>
    <n v="23"/>
    <n v="0"/>
    <n v="0"/>
    <x v="1"/>
    <b v="0"/>
    <b v="0"/>
    <b v="1"/>
    <x v="0"/>
    <b v="0"/>
  </r>
  <r>
    <s v="S-e1ee60"/>
    <s v="A-712533"/>
    <d v="2024-11-18T00:00:00"/>
    <m/>
    <x v="0"/>
    <n v="18"/>
    <n v="3582"/>
    <n v="42984"/>
    <x v="0"/>
    <b v="0"/>
    <b v="0"/>
    <b v="0"/>
    <x v="0"/>
    <b v="1"/>
  </r>
  <r>
    <s v="S-44c5dd"/>
    <s v="A-eb7c38"/>
    <d v="2024-10-21T00:00:00"/>
    <m/>
    <x v="2"/>
    <n v="5"/>
    <n v="95"/>
    <n v="1140"/>
    <x v="0"/>
    <b v="0"/>
    <b v="0"/>
    <b v="0"/>
    <x v="1"/>
    <b v="0"/>
  </r>
  <r>
    <s v="S-f0fe0a"/>
    <s v="A-d5a319"/>
    <d v="2024-08-22T00:00:00"/>
    <m/>
    <x v="1"/>
    <n v="24"/>
    <n v="1176"/>
    <n v="14112"/>
    <x v="0"/>
    <b v="0"/>
    <b v="0"/>
    <b v="0"/>
    <x v="0"/>
    <b v="1"/>
  </r>
  <r>
    <s v="S-653165"/>
    <s v="A-ac85cd"/>
    <d v="2024-09-26T00:00:00"/>
    <d v="2024-12-13T00:00:00"/>
    <x v="2"/>
    <n v="53"/>
    <n v="1007"/>
    <n v="12084"/>
    <x v="0"/>
    <b v="0"/>
    <b v="0"/>
    <b v="1"/>
    <x v="1"/>
    <b v="1"/>
  </r>
  <r>
    <s v="S-5c8af8"/>
    <s v="A-a2485e"/>
    <d v="2024-11-05T00:00:00"/>
    <m/>
    <x v="1"/>
    <n v="10"/>
    <n v="490"/>
    <n v="5880"/>
    <x v="0"/>
    <b v="0"/>
    <b v="0"/>
    <b v="0"/>
    <x v="0"/>
    <b v="1"/>
  </r>
  <r>
    <s v="S-878fe0"/>
    <s v="A-5a215a"/>
    <d v="2024-12-10T00:00:00"/>
    <m/>
    <x v="1"/>
    <n v="87"/>
    <n v="4263"/>
    <n v="51156"/>
    <x v="0"/>
    <b v="0"/>
    <b v="0"/>
    <b v="0"/>
    <x v="1"/>
    <b v="1"/>
  </r>
  <r>
    <s v="S-4d8a27"/>
    <s v="A-977ca0"/>
    <d v="2024-07-03T00:00:00"/>
    <m/>
    <x v="2"/>
    <n v="20"/>
    <n v="380"/>
    <n v="4560"/>
    <x v="0"/>
    <b v="1"/>
    <b v="0"/>
    <b v="0"/>
    <x v="0"/>
    <b v="1"/>
  </r>
  <r>
    <s v="S-5c4ef1"/>
    <s v="A-922109"/>
    <d v="2024-03-23T00:00:00"/>
    <m/>
    <x v="1"/>
    <n v="38"/>
    <n v="1862"/>
    <n v="22344"/>
    <x v="0"/>
    <b v="0"/>
    <b v="0"/>
    <b v="0"/>
    <x v="1"/>
    <b v="1"/>
  </r>
  <r>
    <s v="S-d4c0a0"/>
    <s v="A-81edc3"/>
    <d v="2024-01-25T00:00:00"/>
    <m/>
    <x v="1"/>
    <n v="18"/>
    <n v="882"/>
    <n v="10584"/>
    <x v="0"/>
    <b v="0"/>
    <b v="0"/>
    <b v="0"/>
    <x v="1"/>
    <b v="1"/>
  </r>
  <r>
    <s v="S-2d62ad"/>
    <s v="A-dcc2f0"/>
    <d v="2023-11-29T00:00:00"/>
    <m/>
    <x v="0"/>
    <n v="15"/>
    <n v="2985"/>
    <n v="35820"/>
    <x v="0"/>
    <b v="0"/>
    <b v="0"/>
    <b v="0"/>
    <x v="0"/>
    <b v="1"/>
  </r>
  <r>
    <s v="S-7d2c1b"/>
    <s v="A-34d880"/>
    <d v="2024-06-04T00:00:00"/>
    <m/>
    <x v="1"/>
    <n v="9"/>
    <n v="0"/>
    <n v="0"/>
    <x v="1"/>
    <b v="0"/>
    <b v="0"/>
    <b v="0"/>
    <x v="0"/>
    <b v="1"/>
  </r>
  <r>
    <s v="S-6bfd97"/>
    <s v="A-016043"/>
    <d v="2024-10-16T00:00:00"/>
    <m/>
    <x v="0"/>
    <n v="59"/>
    <n v="0"/>
    <n v="0"/>
    <x v="1"/>
    <b v="1"/>
    <b v="0"/>
    <b v="0"/>
    <x v="1"/>
    <b v="1"/>
  </r>
  <r>
    <s v="S-b4c914"/>
    <s v="A-bd4513"/>
    <d v="2024-12-13T00:00:00"/>
    <m/>
    <x v="1"/>
    <n v="50"/>
    <n v="2450"/>
    <n v="29400"/>
    <x v="0"/>
    <b v="1"/>
    <b v="0"/>
    <b v="0"/>
    <x v="0"/>
    <b v="1"/>
  </r>
  <r>
    <s v="S-e9e03c"/>
    <s v="A-e40f45"/>
    <d v="2024-08-20T00:00:00"/>
    <m/>
    <x v="0"/>
    <n v="21"/>
    <n v="4179"/>
    <n v="50148"/>
    <x v="0"/>
    <b v="1"/>
    <b v="0"/>
    <b v="0"/>
    <x v="0"/>
    <b v="1"/>
  </r>
  <r>
    <s v="S-906b0c"/>
    <s v="A-712533"/>
    <d v="2024-12-05T00:00:00"/>
    <m/>
    <x v="1"/>
    <n v="18"/>
    <n v="882"/>
    <n v="10584"/>
    <x v="0"/>
    <b v="0"/>
    <b v="0"/>
    <b v="0"/>
    <x v="0"/>
    <b v="0"/>
  </r>
  <r>
    <s v="S-783694"/>
    <s v="A-fa3095"/>
    <d v="2023-12-18T00:00:00"/>
    <m/>
    <x v="0"/>
    <n v="70"/>
    <n v="13930"/>
    <n v="167160"/>
    <x v="0"/>
    <b v="0"/>
    <b v="0"/>
    <b v="0"/>
    <x v="1"/>
    <b v="1"/>
  </r>
  <r>
    <s v="S-9c5590"/>
    <s v="A-9affe6"/>
    <d v="2024-06-09T00:00:00"/>
    <m/>
    <x v="0"/>
    <n v="7"/>
    <n v="1393"/>
    <n v="16716"/>
    <x v="0"/>
    <b v="0"/>
    <b v="0"/>
    <b v="0"/>
    <x v="1"/>
    <b v="1"/>
  </r>
  <r>
    <s v="S-b7c506"/>
    <s v="A-c37cab"/>
    <d v="2024-09-27T00:00:00"/>
    <m/>
    <x v="2"/>
    <n v="30"/>
    <n v="570"/>
    <n v="6840"/>
    <x v="0"/>
    <b v="0"/>
    <b v="0"/>
    <b v="0"/>
    <x v="0"/>
    <b v="1"/>
  </r>
  <r>
    <s v="S-48ce17"/>
    <s v="A-d42431"/>
    <d v="2024-12-08T00:00:00"/>
    <m/>
    <x v="0"/>
    <n v="22"/>
    <n v="4378"/>
    <n v="52536"/>
    <x v="0"/>
    <b v="0"/>
    <b v="0"/>
    <b v="0"/>
    <x v="1"/>
    <b v="1"/>
  </r>
  <r>
    <s v="S-a2aa70"/>
    <s v="A-4d1e75"/>
    <d v="2024-12-17T00:00:00"/>
    <m/>
    <x v="1"/>
    <n v="47"/>
    <n v="0"/>
    <n v="0"/>
    <x v="1"/>
    <b v="0"/>
    <b v="0"/>
    <b v="0"/>
    <x v="0"/>
    <b v="0"/>
  </r>
  <r>
    <s v="S-6ff09c"/>
    <s v="A-d62e02"/>
    <d v="2024-12-11T00:00:00"/>
    <m/>
    <x v="2"/>
    <n v="16"/>
    <n v="304"/>
    <n v="3648"/>
    <x v="0"/>
    <b v="0"/>
    <b v="0"/>
    <b v="0"/>
    <x v="1"/>
    <b v="1"/>
  </r>
  <r>
    <s v="S-b40b4d"/>
    <s v="A-9f0b68"/>
    <d v="2024-08-09T00:00:00"/>
    <m/>
    <x v="2"/>
    <n v="36"/>
    <n v="684"/>
    <n v="8208"/>
    <x v="0"/>
    <b v="0"/>
    <b v="0"/>
    <b v="0"/>
    <x v="0"/>
    <b v="1"/>
  </r>
  <r>
    <s v="S-c51ab8"/>
    <s v="A-82861f"/>
    <d v="2024-11-19T00:00:00"/>
    <m/>
    <x v="0"/>
    <n v="41"/>
    <n v="8159"/>
    <n v="97908"/>
    <x v="0"/>
    <b v="0"/>
    <b v="0"/>
    <b v="0"/>
    <x v="1"/>
    <b v="0"/>
  </r>
  <r>
    <s v="S-07ace5"/>
    <s v="A-71615e"/>
    <d v="2024-09-21T00:00:00"/>
    <m/>
    <x v="0"/>
    <n v="32"/>
    <n v="6368"/>
    <n v="76416"/>
    <x v="0"/>
    <b v="0"/>
    <b v="0"/>
    <b v="0"/>
    <x v="0"/>
    <b v="1"/>
  </r>
  <r>
    <s v="S-e715bb"/>
    <s v="A-6a4e2d"/>
    <d v="2023-11-15T00:00:00"/>
    <m/>
    <x v="2"/>
    <n v="14"/>
    <n v="266"/>
    <n v="3192"/>
    <x v="0"/>
    <b v="0"/>
    <b v="0"/>
    <b v="0"/>
    <x v="0"/>
    <b v="1"/>
  </r>
  <r>
    <s v="S-fcfb31"/>
    <s v="A-089363"/>
    <d v="2023-10-03T00:00:00"/>
    <m/>
    <x v="0"/>
    <n v="31"/>
    <n v="0"/>
    <n v="0"/>
    <x v="1"/>
    <b v="0"/>
    <b v="0"/>
    <b v="0"/>
    <x v="0"/>
    <b v="0"/>
  </r>
  <r>
    <s v="S-8cb02e"/>
    <s v="A-de24d5"/>
    <d v="2024-12-09T00:00:00"/>
    <d v="2024-12-21T00:00:00"/>
    <x v="1"/>
    <n v="77"/>
    <n v="3773"/>
    <n v="45276"/>
    <x v="0"/>
    <b v="0"/>
    <b v="0"/>
    <b v="1"/>
    <x v="1"/>
    <b v="1"/>
  </r>
  <r>
    <s v="S-79ba6e"/>
    <s v="A-fd7ad3"/>
    <d v="2024-11-14T00:00:00"/>
    <m/>
    <x v="0"/>
    <n v="24"/>
    <n v="0"/>
    <n v="0"/>
    <x v="1"/>
    <b v="0"/>
    <b v="0"/>
    <b v="0"/>
    <x v="1"/>
    <b v="1"/>
  </r>
  <r>
    <s v="S-4f2ca8"/>
    <s v="A-544d0a"/>
    <d v="2024-09-24T00:00:00"/>
    <m/>
    <x v="0"/>
    <n v="64"/>
    <n v="12736"/>
    <n v="152832"/>
    <x v="0"/>
    <b v="0"/>
    <b v="0"/>
    <b v="0"/>
    <x v="1"/>
    <b v="1"/>
  </r>
  <r>
    <s v="S-c97604"/>
    <s v="A-d77f4c"/>
    <d v="2024-05-04T00:00:00"/>
    <m/>
    <x v="0"/>
    <n v="13"/>
    <n v="2587"/>
    <n v="31044"/>
    <x v="0"/>
    <b v="0"/>
    <b v="0"/>
    <b v="0"/>
    <x v="1"/>
    <b v="1"/>
  </r>
  <r>
    <s v="S-595693"/>
    <s v="A-2d4502"/>
    <d v="2024-09-25T00:00:00"/>
    <m/>
    <x v="2"/>
    <n v="67"/>
    <n v="0"/>
    <n v="0"/>
    <x v="1"/>
    <b v="0"/>
    <b v="0"/>
    <b v="0"/>
    <x v="1"/>
    <b v="1"/>
  </r>
  <r>
    <s v="S-276d44"/>
    <s v="A-87aa7b"/>
    <d v="2024-06-17T00:00:00"/>
    <m/>
    <x v="1"/>
    <n v="24"/>
    <n v="1176"/>
    <n v="14112"/>
    <x v="0"/>
    <b v="0"/>
    <b v="0"/>
    <b v="0"/>
    <x v="0"/>
    <b v="1"/>
  </r>
  <r>
    <s v="S-6c9ec4"/>
    <s v="A-b9eed8"/>
    <d v="2024-11-30T00:00:00"/>
    <m/>
    <x v="2"/>
    <n v="18"/>
    <n v="342"/>
    <n v="4104"/>
    <x v="0"/>
    <b v="0"/>
    <b v="0"/>
    <b v="0"/>
    <x v="0"/>
    <b v="1"/>
  </r>
  <r>
    <s v="S-e33883"/>
    <s v="A-f9cc74"/>
    <d v="2024-12-22T00:00:00"/>
    <m/>
    <x v="1"/>
    <n v="30"/>
    <n v="0"/>
    <n v="0"/>
    <x v="1"/>
    <b v="0"/>
    <b v="0"/>
    <b v="0"/>
    <x v="0"/>
    <b v="1"/>
  </r>
  <r>
    <s v="S-c25e9d"/>
    <s v="A-cc1d8d"/>
    <d v="2024-12-17T00:00:00"/>
    <m/>
    <x v="2"/>
    <n v="5"/>
    <n v="95"/>
    <n v="1140"/>
    <x v="0"/>
    <b v="0"/>
    <b v="0"/>
    <b v="0"/>
    <x v="0"/>
    <b v="0"/>
  </r>
  <r>
    <s v="S-1d7e7f"/>
    <s v="A-d922bf"/>
    <d v="2024-09-01T00:00:00"/>
    <d v="2024-10-21T00:00:00"/>
    <x v="0"/>
    <n v="15"/>
    <n v="2985"/>
    <n v="35820"/>
    <x v="0"/>
    <b v="0"/>
    <b v="0"/>
    <b v="1"/>
    <x v="1"/>
    <b v="1"/>
  </r>
  <r>
    <s v="S-c9199e"/>
    <s v="A-d4ac0e"/>
    <d v="2024-11-01T00:00:00"/>
    <m/>
    <x v="1"/>
    <n v="33"/>
    <n v="1617"/>
    <n v="19404"/>
    <x v="0"/>
    <b v="1"/>
    <b v="0"/>
    <b v="0"/>
    <x v="1"/>
    <b v="1"/>
  </r>
  <r>
    <s v="S-cdc347"/>
    <s v="A-8ed5dd"/>
    <d v="2024-01-31T00:00:00"/>
    <m/>
    <x v="0"/>
    <n v="5"/>
    <n v="995"/>
    <n v="11940"/>
    <x v="0"/>
    <b v="0"/>
    <b v="0"/>
    <b v="0"/>
    <x v="0"/>
    <b v="1"/>
  </r>
  <r>
    <s v="S-3df0c3"/>
    <s v="A-922109"/>
    <d v="2024-04-06T00:00:00"/>
    <m/>
    <x v="2"/>
    <n v="72"/>
    <n v="1368"/>
    <n v="16416"/>
    <x v="0"/>
    <b v="0"/>
    <b v="0"/>
    <b v="0"/>
    <x v="1"/>
    <b v="1"/>
  </r>
  <r>
    <s v="S-ea4844"/>
    <s v="A-c16b88"/>
    <d v="2024-06-03T00:00:00"/>
    <m/>
    <x v="1"/>
    <n v="23"/>
    <n v="1127"/>
    <n v="13524"/>
    <x v="0"/>
    <b v="0"/>
    <b v="0"/>
    <b v="0"/>
    <x v="0"/>
    <b v="1"/>
  </r>
  <r>
    <s v="S-a1d3ad"/>
    <s v="A-8ae05d"/>
    <d v="2024-06-09T00:00:00"/>
    <m/>
    <x v="2"/>
    <n v="86"/>
    <n v="0"/>
    <n v="0"/>
    <x v="1"/>
    <b v="0"/>
    <b v="0"/>
    <b v="0"/>
    <x v="0"/>
    <b v="1"/>
  </r>
  <r>
    <s v="S-19b415"/>
    <s v="A-f446b6"/>
    <d v="2023-05-28T00:00:00"/>
    <m/>
    <x v="2"/>
    <n v="30"/>
    <n v="570"/>
    <n v="6840"/>
    <x v="0"/>
    <b v="0"/>
    <b v="0"/>
    <b v="0"/>
    <x v="1"/>
    <b v="1"/>
  </r>
  <r>
    <s v="S-4df6ec"/>
    <s v="A-c9bb3e"/>
    <d v="2024-11-02T00:00:00"/>
    <m/>
    <x v="2"/>
    <n v="10"/>
    <n v="190"/>
    <n v="2280"/>
    <x v="0"/>
    <b v="0"/>
    <b v="0"/>
    <b v="0"/>
    <x v="0"/>
    <b v="1"/>
  </r>
  <r>
    <s v="S-8dfd77"/>
    <s v="A-2922b6"/>
    <d v="2024-12-25T00:00:00"/>
    <m/>
    <x v="1"/>
    <n v="20"/>
    <n v="980"/>
    <n v="11760"/>
    <x v="0"/>
    <b v="1"/>
    <b v="0"/>
    <b v="0"/>
    <x v="1"/>
    <b v="0"/>
  </r>
  <r>
    <s v="S-126e7e"/>
    <s v="A-0f7d77"/>
    <d v="2024-12-21T00:00:00"/>
    <m/>
    <x v="0"/>
    <n v="7"/>
    <n v="1393"/>
    <n v="16716"/>
    <x v="0"/>
    <b v="0"/>
    <b v="0"/>
    <b v="0"/>
    <x v="0"/>
    <b v="0"/>
  </r>
  <r>
    <s v="S-b608f5"/>
    <s v="A-977ca0"/>
    <d v="2024-07-25T00:00:00"/>
    <m/>
    <x v="1"/>
    <n v="31"/>
    <n v="1519"/>
    <n v="18228"/>
    <x v="0"/>
    <b v="0"/>
    <b v="0"/>
    <b v="0"/>
    <x v="1"/>
    <b v="1"/>
  </r>
  <r>
    <s v="S-1c45b4"/>
    <s v="A-13466a"/>
    <d v="2024-04-20T00:00:00"/>
    <m/>
    <x v="2"/>
    <n v="65"/>
    <n v="0"/>
    <n v="0"/>
    <x v="1"/>
    <b v="0"/>
    <b v="0"/>
    <b v="0"/>
    <x v="0"/>
    <b v="1"/>
  </r>
  <r>
    <s v="S-4a8fda"/>
    <s v="A-e1462e"/>
    <d v="2024-11-20T00:00:00"/>
    <m/>
    <x v="2"/>
    <n v="15"/>
    <n v="285"/>
    <n v="3420"/>
    <x v="0"/>
    <b v="0"/>
    <b v="0"/>
    <b v="0"/>
    <x v="1"/>
    <b v="0"/>
  </r>
  <r>
    <s v="S-ccc10f"/>
    <s v="A-87aa7b"/>
    <d v="2024-11-19T00:00:00"/>
    <m/>
    <x v="2"/>
    <n v="24"/>
    <n v="456"/>
    <n v="5472"/>
    <x v="0"/>
    <b v="0"/>
    <b v="0"/>
    <b v="0"/>
    <x v="1"/>
    <b v="1"/>
  </r>
  <r>
    <s v="S-689032"/>
    <s v="A-410e86"/>
    <d v="2024-12-14T00:00:00"/>
    <d v="2024-12-25T00:00:00"/>
    <x v="0"/>
    <n v="24"/>
    <n v="0"/>
    <n v="0"/>
    <x v="1"/>
    <b v="0"/>
    <b v="0"/>
    <b v="1"/>
    <x v="0"/>
    <b v="0"/>
  </r>
  <r>
    <s v="S-5e5ff0"/>
    <s v="A-832ec2"/>
    <d v="2024-09-04T00:00:00"/>
    <m/>
    <x v="1"/>
    <n v="6"/>
    <n v="0"/>
    <n v="0"/>
    <x v="1"/>
    <b v="0"/>
    <b v="0"/>
    <b v="0"/>
    <x v="1"/>
    <b v="1"/>
  </r>
  <r>
    <s v="S-bf43b4"/>
    <s v="A-6f8ad2"/>
    <d v="2024-12-04T00:00:00"/>
    <m/>
    <x v="1"/>
    <n v="41"/>
    <n v="2009"/>
    <n v="24108"/>
    <x v="0"/>
    <b v="0"/>
    <b v="0"/>
    <b v="0"/>
    <x v="0"/>
    <b v="1"/>
  </r>
  <r>
    <s v="S-379d32"/>
    <s v="A-a8b49c"/>
    <d v="2024-10-13T00:00:00"/>
    <m/>
    <x v="0"/>
    <n v="22"/>
    <n v="4378"/>
    <n v="52536"/>
    <x v="0"/>
    <b v="1"/>
    <b v="0"/>
    <b v="0"/>
    <x v="1"/>
    <b v="1"/>
  </r>
  <r>
    <s v="S-0adca9"/>
    <s v="A-b3fe05"/>
    <d v="2024-10-07T00:00:00"/>
    <m/>
    <x v="2"/>
    <n v="55"/>
    <n v="1045"/>
    <n v="12540"/>
    <x v="0"/>
    <b v="0"/>
    <b v="0"/>
    <b v="0"/>
    <x v="0"/>
    <b v="1"/>
  </r>
  <r>
    <s v="S-413a1d"/>
    <s v="A-7df7a7"/>
    <d v="2024-05-25T00:00:00"/>
    <m/>
    <x v="0"/>
    <n v="7"/>
    <n v="1393"/>
    <n v="16716"/>
    <x v="0"/>
    <b v="0"/>
    <b v="1"/>
    <b v="0"/>
    <x v="0"/>
    <b v="1"/>
  </r>
  <r>
    <s v="S-8451e7"/>
    <s v="A-82861f"/>
    <d v="2024-10-04T00:00:00"/>
    <m/>
    <x v="0"/>
    <n v="41"/>
    <n v="8159"/>
    <n v="97908"/>
    <x v="0"/>
    <b v="0"/>
    <b v="0"/>
    <b v="0"/>
    <x v="1"/>
    <b v="1"/>
  </r>
  <r>
    <s v="S-9c0df6"/>
    <s v="A-883b7d"/>
    <d v="2024-04-24T00:00:00"/>
    <d v="2024-09-07T00:00:00"/>
    <x v="1"/>
    <n v="41"/>
    <n v="2009"/>
    <n v="24108"/>
    <x v="0"/>
    <b v="0"/>
    <b v="0"/>
    <b v="1"/>
    <x v="0"/>
    <b v="1"/>
  </r>
  <r>
    <s v="S-be0fc9"/>
    <s v="A-e693b6"/>
    <d v="2024-08-31T00:00:00"/>
    <m/>
    <x v="0"/>
    <n v="55"/>
    <n v="0"/>
    <n v="0"/>
    <x v="1"/>
    <b v="0"/>
    <b v="0"/>
    <b v="0"/>
    <x v="1"/>
    <b v="1"/>
  </r>
  <r>
    <s v="S-e3903e"/>
    <s v="A-6da850"/>
    <d v="2024-10-16T00:00:00"/>
    <d v="2024-12-08T00:00:00"/>
    <x v="1"/>
    <n v="31"/>
    <n v="1519"/>
    <n v="18228"/>
    <x v="0"/>
    <b v="0"/>
    <b v="0"/>
    <b v="1"/>
    <x v="1"/>
    <b v="1"/>
  </r>
  <r>
    <s v="S-8fcce1"/>
    <s v="A-ccb686"/>
    <d v="2024-06-20T00:00:00"/>
    <m/>
    <x v="1"/>
    <n v="19"/>
    <n v="931"/>
    <n v="11172"/>
    <x v="0"/>
    <b v="0"/>
    <b v="1"/>
    <b v="0"/>
    <x v="0"/>
    <b v="1"/>
  </r>
  <r>
    <s v="S-3279f1"/>
    <s v="A-c4ea60"/>
    <d v="2024-11-09T00:00:00"/>
    <m/>
    <x v="0"/>
    <n v="18"/>
    <n v="3582"/>
    <n v="42984"/>
    <x v="0"/>
    <b v="0"/>
    <b v="0"/>
    <b v="0"/>
    <x v="1"/>
    <b v="1"/>
  </r>
  <r>
    <s v="S-0da40c"/>
    <s v="A-6e7827"/>
    <d v="2024-10-23T00:00:00"/>
    <d v="2024-10-30T00:00:00"/>
    <x v="1"/>
    <n v="50"/>
    <n v="2450"/>
    <n v="29400"/>
    <x v="0"/>
    <b v="0"/>
    <b v="0"/>
    <b v="1"/>
    <x v="1"/>
    <b v="0"/>
  </r>
  <r>
    <s v="S-343bab"/>
    <s v="A-f1f639"/>
    <d v="2023-08-18T00:00:00"/>
    <m/>
    <x v="0"/>
    <n v="5"/>
    <n v="995"/>
    <n v="11940"/>
    <x v="0"/>
    <b v="0"/>
    <b v="0"/>
    <b v="0"/>
    <x v="0"/>
    <b v="1"/>
  </r>
  <r>
    <s v="S-b2d7c6"/>
    <s v="A-c9bb3e"/>
    <d v="2024-08-20T00:00:00"/>
    <m/>
    <x v="0"/>
    <n v="28"/>
    <n v="0"/>
    <n v="0"/>
    <x v="1"/>
    <b v="1"/>
    <b v="0"/>
    <b v="0"/>
    <x v="0"/>
    <b v="1"/>
  </r>
  <r>
    <s v="S-d322a2"/>
    <s v="A-4c6f11"/>
    <d v="2024-08-01T00:00:00"/>
    <m/>
    <x v="2"/>
    <n v="24"/>
    <n v="456"/>
    <n v="5472"/>
    <x v="0"/>
    <b v="0"/>
    <b v="0"/>
    <b v="0"/>
    <x v="0"/>
    <b v="1"/>
  </r>
  <r>
    <s v="S-b76de2"/>
    <s v="A-993085"/>
    <d v="2023-08-18T00:00:00"/>
    <m/>
    <x v="1"/>
    <n v="31"/>
    <n v="1519"/>
    <n v="18228"/>
    <x v="0"/>
    <b v="0"/>
    <b v="0"/>
    <b v="0"/>
    <x v="1"/>
    <b v="1"/>
  </r>
  <r>
    <s v="S-64dcb7"/>
    <s v="A-f92792"/>
    <d v="2024-12-08T00:00:00"/>
    <m/>
    <x v="1"/>
    <n v="8"/>
    <n v="392"/>
    <n v="4704"/>
    <x v="0"/>
    <b v="0"/>
    <b v="0"/>
    <b v="0"/>
    <x v="1"/>
    <b v="0"/>
  </r>
  <r>
    <s v="S-969f4c"/>
    <s v="A-b11cd0"/>
    <d v="2023-10-10T00:00:00"/>
    <d v="2024-10-23T00:00:00"/>
    <x v="2"/>
    <n v="26"/>
    <n v="0"/>
    <n v="0"/>
    <x v="1"/>
    <b v="0"/>
    <b v="0"/>
    <b v="1"/>
    <x v="0"/>
    <b v="1"/>
  </r>
  <r>
    <s v="S-b2409c"/>
    <s v="A-dcc2f0"/>
    <d v="2024-01-16T00:00:00"/>
    <m/>
    <x v="0"/>
    <n v="15"/>
    <n v="2985"/>
    <n v="35820"/>
    <x v="0"/>
    <b v="0"/>
    <b v="0"/>
    <b v="0"/>
    <x v="0"/>
    <b v="1"/>
  </r>
  <r>
    <s v="S-430691"/>
    <s v="A-4814a3"/>
    <d v="2024-11-13T00:00:00"/>
    <m/>
    <x v="1"/>
    <n v="87"/>
    <n v="4263"/>
    <n v="51156"/>
    <x v="0"/>
    <b v="0"/>
    <b v="0"/>
    <b v="0"/>
    <x v="0"/>
    <b v="1"/>
  </r>
  <r>
    <s v="S-4bb483"/>
    <s v="A-9f9299"/>
    <d v="2024-10-06T00:00:00"/>
    <m/>
    <x v="0"/>
    <n v="28"/>
    <n v="5572"/>
    <n v="66864"/>
    <x v="0"/>
    <b v="0"/>
    <b v="0"/>
    <b v="0"/>
    <x v="0"/>
    <b v="1"/>
  </r>
  <r>
    <s v="S-4ed473"/>
    <s v="A-bcf664"/>
    <d v="2023-11-20T00:00:00"/>
    <d v="2023-12-06T00:00:00"/>
    <x v="0"/>
    <n v="12"/>
    <n v="2388"/>
    <n v="28656"/>
    <x v="0"/>
    <b v="0"/>
    <b v="0"/>
    <b v="1"/>
    <x v="1"/>
    <b v="1"/>
  </r>
  <r>
    <s v="S-223221"/>
    <s v="A-2bc93d"/>
    <d v="2023-08-09T00:00:00"/>
    <m/>
    <x v="0"/>
    <n v="40"/>
    <n v="7960"/>
    <n v="95520"/>
    <x v="0"/>
    <b v="0"/>
    <b v="0"/>
    <b v="0"/>
    <x v="0"/>
    <b v="1"/>
  </r>
  <r>
    <s v="S-5eaab8"/>
    <s v="A-0f3e88"/>
    <d v="2024-12-11T00:00:00"/>
    <d v="2024-12-23T00:00:00"/>
    <x v="1"/>
    <n v="7"/>
    <n v="343"/>
    <n v="4116"/>
    <x v="0"/>
    <b v="0"/>
    <b v="0"/>
    <b v="1"/>
    <x v="0"/>
    <b v="0"/>
  </r>
  <r>
    <s v="S-f5bd45"/>
    <s v="A-b7b7b7"/>
    <d v="2024-10-20T00:00:00"/>
    <m/>
    <x v="0"/>
    <n v="39"/>
    <n v="7761"/>
    <n v="93132"/>
    <x v="0"/>
    <b v="0"/>
    <b v="0"/>
    <b v="0"/>
    <x v="0"/>
    <b v="1"/>
  </r>
  <r>
    <s v="S-a6285f"/>
    <s v="A-039727"/>
    <d v="2024-12-08T00:00:00"/>
    <m/>
    <x v="0"/>
    <n v="30"/>
    <n v="5970"/>
    <n v="71640"/>
    <x v="0"/>
    <b v="0"/>
    <b v="0"/>
    <b v="0"/>
    <x v="1"/>
    <b v="1"/>
  </r>
  <r>
    <s v="S-dc2418"/>
    <s v="A-35083d"/>
    <d v="2024-01-23T00:00:00"/>
    <m/>
    <x v="2"/>
    <n v="34"/>
    <n v="646"/>
    <n v="7752"/>
    <x v="0"/>
    <b v="0"/>
    <b v="0"/>
    <b v="0"/>
    <x v="0"/>
    <b v="1"/>
  </r>
  <r>
    <s v="S-d0d19f"/>
    <s v="A-157070"/>
    <d v="2024-07-03T00:00:00"/>
    <m/>
    <x v="1"/>
    <n v="33"/>
    <n v="0"/>
    <n v="0"/>
    <x v="1"/>
    <b v="0"/>
    <b v="0"/>
    <b v="0"/>
    <x v="1"/>
    <b v="1"/>
  </r>
  <r>
    <s v="S-e73303"/>
    <s v="A-ba6516"/>
    <d v="2024-06-28T00:00:00"/>
    <m/>
    <x v="0"/>
    <n v="38"/>
    <n v="7562"/>
    <n v="90744"/>
    <x v="0"/>
    <b v="0"/>
    <b v="0"/>
    <b v="0"/>
    <x v="0"/>
    <b v="1"/>
  </r>
  <r>
    <s v="S-7f15a3"/>
    <s v="A-53f4e3"/>
    <d v="2024-12-05T00:00:00"/>
    <m/>
    <x v="0"/>
    <n v="13"/>
    <n v="2587"/>
    <n v="31044"/>
    <x v="0"/>
    <b v="0"/>
    <b v="0"/>
    <b v="0"/>
    <x v="1"/>
    <b v="1"/>
  </r>
  <r>
    <s v="S-ee941d"/>
    <s v="A-241e75"/>
    <d v="2024-09-08T00:00:00"/>
    <m/>
    <x v="2"/>
    <n v="14"/>
    <n v="266"/>
    <n v="3192"/>
    <x v="0"/>
    <b v="0"/>
    <b v="0"/>
    <b v="0"/>
    <x v="1"/>
    <b v="1"/>
  </r>
  <r>
    <s v="S-ccf11b"/>
    <s v="A-a0ca4e"/>
    <d v="2024-08-02T00:00:00"/>
    <m/>
    <x v="1"/>
    <n v="11"/>
    <n v="539"/>
    <n v="6468"/>
    <x v="0"/>
    <b v="0"/>
    <b v="0"/>
    <b v="0"/>
    <x v="1"/>
    <b v="1"/>
  </r>
  <r>
    <s v="S-a9ec8b"/>
    <s v="A-e3bd71"/>
    <d v="2024-02-11T00:00:00"/>
    <m/>
    <x v="0"/>
    <n v="31"/>
    <n v="6169"/>
    <n v="74028"/>
    <x v="0"/>
    <b v="0"/>
    <b v="0"/>
    <b v="0"/>
    <x v="0"/>
    <b v="1"/>
  </r>
  <r>
    <s v="S-d959d3"/>
    <s v="A-3b5cd1"/>
    <d v="2024-12-24T00:00:00"/>
    <m/>
    <x v="0"/>
    <n v="21"/>
    <n v="4179"/>
    <n v="50148"/>
    <x v="0"/>
    <b v="0"/>
    <b v="0"/>
    <b v="0"/>
    <x v="1"/>
    <b v="1"/>
  </r>
  <r>
    <s v="S-124336"/>
    <s v="A-9f0b68"/>
    <d v="2024-11-30T00:00:00"/>
    <m/>
    <x v="1"/>
    <n v="18"/>
    <n v="0"/>
    <n v="0"/>
    <x v="1"/>
    <b v="1"/>
    <b v="0"/>
    <b v="0"/>
    <x v="1"/>
    <b v="1"/>
  </r>
  <r>
    <s v="S-5cb8a6"/>
    <s v="A-9779ad"/>
    <d v="2024-08-14T00:00:00"/>
    <m/>
    <x v="1"/>
    <n v="40"/>
    <n v="1960"/>
    <n v="23520"/>
    <x v="0"/>
    <b v="0"/>
    <b v="0"/>
    <b v="0"/>
    <x v="0"/>
    <b v="0"/>
  </r>
  <r>
    <s v="S-aced77"/>
    <s v="A-5c046d"/>
    <d v="2024-12-20T00:00:00"/>
    <m/>
    <x v="0"/>
    <n v="93"/>
    <n v="18507"/>
    <n v="222084"/>
    <x v="0"/>
    <b v="0"/>
    <b v="0"/>
    <b v="0"/>
    <x v="1"/>
    <b v="1"/>
  </r>
  <r>
    <s v="S-a6e444"/>
    <s v="A-81edc3"/>
    <d v="2024-11-28T00:00:00"/>
    <m/>
    <x v="0"/>
    <n v="5"/>
    <n v="995"/>
    <n v="11940"/>
    <x v="0"/>
    <b v="0"/>
    <b v="0"/>
    <b v="0"/>
    <x v="0"/>
    <b v="0"/>
  </r>
  <r>
    <s v="S-4f7b91"/>
    <s v="A-5247b3"/>
    <d v="2024-06-19T00:00:00"/>
    <m/>
    <x v="0"/>
    <n v="16"/>
    <n v="3184"/>
    <n v="38208"/>
    <x v="0"/>
    <b v="1"/>
    <b v="0"/>
    <b v="0"/>
    <x v="1"/>
    <b v="1"/>
  </r>
  <r>
    <s v="S-8f8c47"/>
    <s v="A-e6afc1"/>
    <d v="2023-08-27T00:00:00"/>
    <m/>
    <x v="1"/>
    <n v="28"/>
    <n v="0"/>
    <n v="0"/>
    <x v="1"/>
    <b v="0"/>
    <b v="0"/>
    <b v="0"/>
    <x v="0"/>
    <b v="1"/>
  </r>
  <r>
    <s v="S-b9ea73"/>
    <s v="A-b30291"/>
    <d v="2024-04-09T00:00:00"/>
    <m/>
    <x v="2"/>
    <n v="5"/>
    <n v="95"/>
    <n v="1140"/>
    <x v="0"/>
    <b v="0"/>
    <b v="0"/>
    <b v="0"/>
    <x v="0"/>
    <b v="1"/>
  </r>
  <r>
    <s v="S-97efb2"/>
    <s v="A-410e86"/>
    <d v="2024-11-16T00:00:00"/>
    <d v="2024-11-22T00:00:00"/>
    <x v="0"/>
    <n v="24"/>
    <n v="4776"/>
    <n v="57312"/>
    <x v="0"/>
    <b v="0"/>
    <b v="0"/>
    <b v="1"/>
    <x v="1"/>
    <b v="1"/>
  </r>
  <r>
    <s v="S-76c7da"/>
    <s v="A-88c6ca"/>
    <d v="2024-11-22T00:00:00"/>
    <m/>
    <x v="0"/>
    <n v="11"/>
    <n v="0"/>
    <n v="0"/>
    <x v="1"/>
    <b v="0"/>
    <b v="0"/>
    <b v="0"/>
    <x v="1"/>
    <b v="1"/>
  </r>
  <r>
    <s v="S-334ceb"/>
    <s v="A-bece89"/>
    <d v="2024-03-08T00:00:00"/>
    <m/>
    <x v="2"/>
    <n v="26"/>
    <n v="494"/>
    <n v="5928"/>
    <x v="0"/>
    <b v="0"/>
    <b v="0"/>
    <b v="0"/>
    <x v="0"/>
    <b v="0"/>
  </r>
  <r>
    <s v="S-09223a"/>
    <s v="A-e40f45"/>
    <d v="2024-06-04T00:00:00"/>
    <m/>
    <x v="2"/>
    <n v="21"/>
    <n v="399"/>
    <n v="4788"/>
    <x v="0"/>
    <b v="0"/>
    <b v="0"/>
    <b v="0"/>
    <x v="0"/>
    <b v="1"/>
  </r>
  <r>
    <s v="S-2fcf09"/>
    <s v="A-d792a6"/>
    <d v="2024-09-27T00:00:00"/>
    <m/>
    <x v="0"/>
    <n v="58"/>
    <n v="0"/>
    <n v="0"/>
    <x v="1"/>
    <b v="0"/>
    <b v="0"/>
    <b v="0"/>
    <x v="0"/>
    <b v="1"/>
  </r>
  <r>
    <s v="S-e740b4"/>
    <s v="A-5c9849"/>
    <d v="2024-11-10T00:00:00"/>
    <m/>
    <x v="2"/>
    <n v="65"/>
    <n v="1235"/>
    <n v="14820"/>
    <x v="0"/>
    <b v="0"/>
    <b v="0"/>
    <b v="0"/>
    <x v="0"/>
    <b v="1"/>
  </r>
  <r>
    <s v="S-150c71"/>
    <s v="A-4437e4"/>
    <d v="2024-08-17T00:00:00"/>
    <m/>
    <x v="0"/>
    <n v="11"/>
    <n v="2189"/>
    <n v="26268"/>
    <x v="0"/>
    <b v="1"/>
    <b v="0"/>
    <b v="0"/>
    <x v="0"/>
    <b v="1"/>
  </r>
  <r>
    <s v="S-6ba608"/>
    <s v="A-e7beab"/>
    <d v="2023-12-15T00:00:00"/>
    <m/>
    <x v="0"/>
    <n v="11"/>
    <n v="2189"/>
    <n v="26268"/>
    <x v="0"/>
    <b v="0"/>
    <b v="0"/>
    <b v="0"/>
    <x v="0"/>
    <b v="1"/>
  </r>
  <r>
    <s v="S-e0bfb1"/>
    <s v="A-029f69"/>
    <d v="2024-08-04T00:00:00"/>
    <d v="2024-08-23T00:00:00"/>
    <x v="1"/>
    <n v="21"/>
    <n v="1029"/>
    <n v="12348"/>
    <x v="0"/>
    <b v="0"/>
    <b v="0"/>
    <b v="1"/>
    <x v="1"/>
    <b v="0"/>
  </r>
  <r>
    <s v="S-1e15d1"/>
    <s v="A-700ade"/>
    <d v="2024-11-17T00:00:00"/>
    <d v="2024-12-31T00:00:00"/>
    <x v="1"/>
    <n v="25"/>
    <n v="1225"/>
    <n v="14700"/>
    <x v="0"/>
    <b v="0"/>
    <b v="0"/>
    <b v="1"/>
    <x v="1"/>
    <b v="1"/>
  </r>
  <r>
    <s v="S-7d9605"/>
    <s v="A-fb186e"/>
    <d v="2024-11-16T00:00:00"/>
    <m/>
    <x v="2"/>
    <n v="33"/>
    <n v="0"/>
    <n v="0"/>
    <x v="1"/>
    <b v="0"/>
    <b v="0"/>
    <b v="0"/>
    <x v="1"/>
    <b v="0"/>
  </r>
  <r>
    <s v="S-0ae33f"/>
    <s v="A-075038"/>
    <d v="2023-07-14T00:00:00"/>
    <m/>
    <x v="1"/>
    <n v="103"/>
    <n v="5047"/>
    <n v="60564"/>
    <x v="0"/>
    <b v="0"/>
    <b v="0"/>
    <b v="0"/>
    <x v="1"/>
    <b v="1"/>
  </r>
  <r>
    <s v="S-eff018"/>
    <s v="A-0532a9"/>
    <d v="2024-10-02T00:00:00"/>
    <m/>
    <x v="1"/>
    <n v="19"/>
    <n v="931"/>
    <n v="11172"/>
    <x v="0"/>
    <b v="0"/>
    <b v="1"/>
    <b v="0"/>
    <x v="1"/>
    <b v="1"/>
  </r>
  <r>
    <s v="S-08a3d4"/>
    <s v="A-faa28c"/>
    <d v="2024-09-11T00:00:00"/>
    <m/>
    <x v="2"/>
    <n v="49"/>
    <n v="931"/>
    <n v="11172"/>
    <x v="0"/>
    <b v="0"/>
    <b v="0"/>
    <b v="0"/>
    <x v="1"/>
    <b v="1"/>
  </r>
  <r>
    <s v="S-48d1f2"/>
    <s v="A-e08cd3"/>
    <d v="2024-10-16T00:00:00"/>
    <m/>
    <x v="0"/>
    <n v="67"/>
    <n v="13333"/>
    <n v="159996"/>
    <x v="0"/>
    <b v="0"/>
    <b v="0"/>
    <b v="0"/>
    <x v="1"/>
    <b v="0"/>
  </r>
  <r>
    <s v="S-92dbcc"/>
    <s v="A-faa28c"/>
    <d v="2024-12-25T00:00:00"/>
    <m/>
    <x v="1"/>
    <n v="48"/>
    <n v="2352"/>
    <n v="28224"/>
    <x v="0"/>
    <b v="0"/>
    <b v="0"/>
    <b v="0"/>
    <x v="0"/>
    <b v="1"/>
  </r>
  <r>
    <s v="S-da164e"/>
    <s v="A-9174e0"/>
    <d v="2024-12-21T00:00:00"/>
    <m/>
    <x v="1"/>
    <n v="37"/>
    <n v="1813"/>
    <n v="21756"/>
    <x v="0"/>
    <b v="0"/>
    <b v="0"/>
    <b v="0"/>
    <x v="0"/>
    <b v="1"/>
  </r>
  <r>
    <s v="S-3dc066"/>
    <s v="A-dcc3f1"/>
    <d v="2024-11-20T00:00:00"/>
    <m/>
    <x v="2"/>
    <n v="21"/>
    <n v="399"/>
    <n v="4788"/>
    <x v="0"/>
    <b v="0"/>
    <b v="0"/>
    <b v="0"/>
    <x v="1"/>
    <b v="0"/>
  </r>
  <r>
    <s v="S-4fd561"/>
    <s v="A-0dbdc6"/>
    <d v="2023-11-04T00:00:00"/>
    <m/>
    <x v="2"/>
    <n v="30"/>
    <n v="570"/>
    <n v="6840"/>
    <x v="0"/>
    <b v="0"/>
    <b v="0"/>
    <b v="0"/>
    <x v="0"/>
    <b v="1"/>
  </r>
  <r>
    <s v="S-feb4b0"/>
    <s v="A-a45270"/>
    <d v="2024-07-12T00:00:00"/>
    <m/>
    <x v="0"/>
    <n v="10"/>
    <n v="1990"/>
    <n v="23880"/>
    <x v="0"/>
    <b v="0"/>
    <b v="0"/>
    <b v="0"/>
    <x v="1"/>
    <b v="1"/>
  </r>
  <r>
    <s v="S-3ba19e"/>
    <s v="A-075038"/>
    <d v="2024-08-10T00:00:00"/>
    <m/>
    <x v="2"/>
    <n v="49"/>
    <n v="0"/>
    <n v="0"/>
    <x v="1"/>
    <b v="0"/>
    <b v="0"/>
    <b v="0"/>
    <x v="1"/>
    <b v="1"/>
  </r>
  <r>
    <s v="S-461988"/>
    <s v="A-02cd81"/>
    <d v="2024-03-28T00:00:00"/>
    <m/>
    <x v="2"/>
    <n v="44"/>
    <n v="836"/>
    <n v="10032"/>
    <x v="0"/>
    <b v="0"/>
    <b v="0"/>
    <b v="0"/>
    <x v="1"/>
    <b v="0"/>
  </r>
  <r>
    <s v="S-0b6899"/>
    <s v="A-313be3"/>
    <d v="2024-01-31T00:00:00"/>
    <m/>
    <x v="0"/>
    <n v="47"/>
    <n v="9353"/>
    <n v="112236"/>
    <x v="0"/>
    <b v="0"/>
    <b v="0"/>
    <b v="0"/>
    <x v="1"/>
    <b v="0"/>
  </r>
  <r>
    <s v="S-bff540"/>
    <s v="A-798a3f"/>
    <d v="2024-05-06T00:00:00"/>
    <m/>
    <x v="0"/>
    <n v="12"/>
    <n v="2388"/>
    <n v="28656"/>
    <x v="0"/>
    <b v="0"/>
    <b v="0"/>
    <b v="0"/>
    <x v="0"/>
    <b v="1"/>
  </r>
  <r>
    <s v="S-a57b2c"/>
    <s v="A-fd9422"/>
    <d v="2024-12-11T00:00:00"/>
    <m/>
    <x v="1"/>
    <n v="58"/>
    <n v="0"/>
    <n v="0"/>
    <x v="1"/>
    <b v="0"/>
    <b v="0"/>
    <b v="0"/>
    <x v="1"/>
    <b v="1"/>
  </r>
  <r>
    <s v="S-e8776c"/>
    <s v="A-c222ab"/>
    <d v="2024-12-12T00:00:00"/>
    <m/>
    <x v="0"/>
    <n v="32"/>
    <n v="6368"/>
    <n v="76416"/>
    <x v="0"/>
    <b v="0"/>
    <b v="0"/>
    <b v="0"/>
    <x v="0"/>
    <b v="1"/>
  </r>
  <r>
    <s v="S-de9e50"/>
    <s v="A-67be94"/>
    <d v="2023-11-21T00:00:00"/>
    <m/>
    <x v="2"/>
    <n v="41"/>
    <n v="779"/>
    <n v="9348"/>
    <x v="0"/>
    <b v="0"/>
    <b v="0"/>
    <b v="0"/>
    <x v="1"/>
    <b v="1"/>
  </r>
  <r>
    <s v="S-429220"/>
    <s v="A-18793f"/>
    <d v="2024-12-29T00:00:00"/>
    <m/>
    <x v="1"/>
    <n v="148"/>
    <n v="7252"/>
    <n v="87024"/>
    <x v="0"/>
    <b v="0"/>
    <b v="0"/>
    <b v="0"/>
    <x v="0"/>
    <b v="1"/>
  </r>
  <r>
    <s v="S-601f31"/>
    <s v="A-625d0b"/>
    <d v="2024-11-09T00:00:00"/>
    <m/>
    <x v="1"/>
    <n v="14"/>
    <n v="686"/>
    <n v="8232"/>
    <x v="0"/>
    <b v="0"/>
    <b v="0"/>
    <b v="0"/>
    <x v="1"/>
    <b v="1"/>
  </r>
  <r>
    <s v="S-8dd1f6"/>
    <s v="A-098560"/>
    <d v="2024-03-24T00:00:00"/>
    <m/>
    <x v="1"/>
    <n v="12"/>
    <n v="588"/>
    <n v="7056"/>
    <x v="0"/>
    <b v="0"/>
    <b v="0"/>
    <b v="0"/>
    <x v="0"/>
    <b v="0"/>
  </r>
  <r>
    <s v="S-ff109c"/>
    <s v="A-df1e44"/>
    <d v="2024-04-09T00:00:00"/>
    <m/>
    <x v="1"/>
    <n v="12"/>
    <n v="588"/>
    <n v="7056"/>
    <x v="0"/>
    <b v="0"/>
    <b v="0"/>
    <b v="0"/>
    <x v="1"/>
    <b v="0"/>
  </r>
  <r>
    <s v="S-556071"/>
    <s v="A-9077b0"/>
    <d v="2024-12-20T00:00:00"/>
    <d v="2024-12-30T00:00:00"/>
    <x v="1"/>
    <n v="63"/>
    <n v="0"/>
    <n v="0"/>
    <x v="1"/>
    <b v="0"/>
    <b v="0"/>
    <b v="1"/>
    <x v="0"/>
    <b v="1"/>
  </r>
  <r>
    <s v="S-f4019e"/>
    <s v="A-7988d1"/>
    <d v="2024-09-28T00:00:00"/>
    <d v="2024-11-16T00:00:00"/>
    <x v="2"/>
    <n v="33"/>
    <n v="627"/>
    <n v="7524"/>
    <x v="0"/>
    <b v="0"/>
    <b v="0"/>
    <b v="1"/>
    <x v="0"/>
    <b v="0"/>
  </r>
  <r>
    <s v="S-246f9c"/>
    <s v="A-544d0a"/>
    <d v="2024-10-27T00:00:00"/>
    <m/>
    <x v="1"/>
    <n v="6"/>
    <n v="294"/>
    <n v="3528"/>
    <x v="0"/>
    <b v="0"/>
    <b v="1"/>
    <b v="0"/>
    <x v="0"/>
    <b v="1"/>
  </r>
  <r>
    <s v="S-5639de"/>
    <s v="A-eb1312"/>
    <d v="2024-12-13T00:00:00"/>
    <m/>
    <x v="1"/>
    <n v="25"/>
    <n v="1225"/>
    <n v="14700"/>
    <x v="0"/>
    <b v="0"/>
    <b v="0"/>
    <b v="0"/>
    <x v="1"/>
    <b v="1"/>
  </r>
  <r>
    <s v="S-104053"/>
    <s v="A-2bc93d"/>
    <d v="2024-12-20T00:00:00"/>
    <m/>
    <x v="1"/>
    <n v="35"/>
    <n v="1715"/>
    <n v="20580"/>
    <x v="0"/>
    <b v="0"/>
    <b v="0"/>
    <b v="0"/>
    <x v="0"/>
    <b v="1"/>
  </r>
  <r>
    <s v="S-4bfe7b"/>
    <s v="A-9b9fe9"/>
    <d v="2023-10-16T00:00:00"/>
    <m/>
    <x v="2"/>
    <n v="11"/>
    <n v="0"/>
    <n v="0"/>
    <x v="1"/>
    <b v="0"/>
    <b v="0"/>
    <b v="0"/>
    <x v="0"/>
    <b v="1"/>
  </r>
  <r>
    <s v="S-deb65c"/>
    <s v="A-1f0636"/>
    <d v="2024-10-30T00:00:00"/>
    <m/>
    <x v="2"/>
    <n v="105"/>
    <n v="1995"/>
    <n v="23940"/>
    <x v="0"/>
    <b v="0"/>
    <b v="0"/>
    <b v="0"/>
    <x v="1"/>
    <b v="1"/>
  </r>
  <r>
    <s v="S-cfb108"/>
    <s v="A-c608c8"/>
    <d v="2023-06-30T00:00:00"/>
    <m/>
    <x v="0"/>
    <n v="3"/>
    <n v="597"/>
    <n v="7164"/>
    <x v="0"/>
    <b v="0"/>
    <b v="1"/>
    <b v="0"/>
    <x v="1"/>
    <b v="1"/>
  </r>
  <r>
    <s v="S-e62fc9"/>
    <s v="A-0651a4"/>
    <d v="2024-12-23T00:00:00"/>
    <m/>
    <x v="1"/>
    <n v="16"/>
    <n v="784"/>
    <n v="9408"/>
    <x v="0"/>
    <b v="0"/>
    <b v="0"/>
    <b v="0"/>
    <x v="0"/>
    <b v="0"/>
  </r>
  <r>
    <s v="S-935e79"/>
    <s v="A-c4ea60"/>
    <d v="2024-02-19T00:00:00"/>
    <m/>
    <x v="2"/>
    <n v="58"/>
    <n v="0"/>
    <n v="0"/>
    <x v="1"/>
    <b v="0"/>
    <b v="0"/>
    <b v="0"/>
    <x v="1"/>
    <b v="1"/>
  </r>
  <r>
    <s v="S-92e8cb"/>
    <s v="A-d4e0d4"/>
    <d v="2024-10-23T00:00:00"/>
    <m/>
    <x v="1"/>
    <n v="117"/>
    <n v="5733"/>
    <n v="68796"/>
    <x v="0"/>
    <b v="0"/>
    <b v="1"/>
    <b v="0"/>
    <x v="0"/>
    <b v="0"/>
  </r>
  <r>
    <s v="S-1f4db5"/>
    <s v="A-2e3bad"/>
    <d v="2024-09-29T00:00:00"/>
    <m/>
    <x v="0"/>
    <n v="61"/>
    <n v="12139"/>
    <n v="145668"/>
    <x v="0"/>
    <b v="0"/>
    <b v="0"/>
    <b v="0"/>
    <x v="1"/>
    <b v="1"/>
  </r>
  <r>
    <s v="S-4893cd"/>
    <s v="A-9c18c4"/>
    <d v="2023-12-26T00:00:00"/>
    <m/>
    <x v="0"/>
    <n v="11"/>
    <n v="2189"/>
    <n v="26268"/>
    <x v="0"/>
    <b v="0"/>
    <b v="0"/>
    <b v="0"/>
    <x v="0"/>
    <b v="1"/>
  </r>
  <r>
    <s v="S-0abdec"/>
    <s v="A-4a4c2d"/>
    <d v="2023-07-14T00:00:00"/>
    <m/>
    <x v="2"/>
    <n v="54"/>
    <n v="1026"/>
    <n v="12312"/>
    <x v="0"/>
    <b v="0"/>
    <b v="0"/>
    <b v="0"/>
    <x v="0"/>
    <b v="1"/>
  </r>
  <r>
    <s v="S-31428b"/>
    <s v="A-86cdb4"/>
    <d v="2024-12-14T00:00:00"/>
    <m/>
    <x v="2"/>
    <n v="52"/>
    <n v="988"/>
    <n v="11856"/>
    <x v="0"/>
    <b v="0"/>
    <b v="0"/>
    <b v="0"/>
    <x v="1"/>
    <b v="1"/>
  </r>
  <r>
    <s v="S-381420"/>
    <s v="A-42b791"/>
    <d v="2024-10-25T00:00:00"/>
    <d v="2024-11-25T00:00:00"/>
    <x v="2"/>
    <n v="27"/>
    <n v="513"/>
    <n v="6156"/>
    <x v="0"/>
    <b v="0"/>
    <b v="0"/>
    <b v="1"/>
    <x v="0"/>
    <b v="1"/>
  </r>
  <r>
    <s v="S-0a28cd"/>
    <s v="A-e5d6ab"/>
    <d v="2023-10-08T00:00:00"/>
    <m/>
    <x v="0"/>
    <n v="21"/>
    <n v="4179"/>
    <n v="50148"/>
    <x v="0"/>
    <b v="0"/>
    <b v="0"/>
    <b v="0"/>
    <x v="0"/>
    <b v="1"/>
  </r>
  <r>
    <s v="S-25ff39"/>
    <s v="A-798a3f"/>
    <d v="2024-03-24T00:00:00"/>
    <m/>
    <x v="2"/>
    <n v="42"/>
    <n v="798"/>
    <n v="9576"/>
    <x v="0"/>
    <b v="0"/>
    <b v="0"/>
    <b v="0"/>
    <x v="1"/>
    <b v="1"/>
  </r>
  <r>
    <s v="S-a82639"/>
    <s v="A-89ee83"/>
    <d v="2024-10-25T00:00:00"/>
    <m/>
    <x v="0"/>
    <n v="40"/>
    <n v="7960"/>
    <n v="95520"/>
    <x v="0"/>
    <b v="0"/>
    <b v="0"/>
    <b v="0"/>
    <x v="0"/>
    <b v="1"/>
  </r>
  <r>
    <s v="S-ada718"/>
    <s v="A-f6b2fb"/>
    <d v="2024-11-18T00:00:00"/>
    <m/>
    <x v="2"/>
    <n v="23"/>
    <n v="437"/>
    <n v="5244"/>
    <x v="0"/>
    <b v="0"/>
    <b v="0"/>
    <b v="0"/>
    <x v="0"/>
    <b v="0"/>
  </r>
  <r>
    <s v="S-06e837"/>
    <s v="A-7c4956"/>
    <d v="2023-12-17T00:00:00"/>
    <d v="2024-03-29T00:00:00"/>
    <x v="2"/>
    <n v="9"/>
    <n v="0"/>
    <n v="0"/>
    <x v="1"/>
    <b v="0"/>
    <b v="0"/>
    <b v="1"/>
    <x v="1"/>
    <b v="1"/>
  </r>
  <r>
    <s v="S-b488bc"/>
    <s v="A-f45426"/>
    <d v="2024-11-15T00:00:00"/>
    <m/>
    <x v="1"/>
    <n v="11"/>
    <n v="0"/>
    <n v="0"/>
    <x v="1"/>
    <b v="0"/>
    <b v="0"/>
    <b v="0"/>
    <x v="0"/>
    <b v="1"/>
  </r>
  <r>
    <s v="S-d11408"/>
    <s v="A-781cc0"/>
    <d v="2024-11-30T00:00:00"/>
    <m/>
    <x v="0"/>
    <n v="12"/>
    <n v="0"/>
    <n v="0"/>
    <x v="1"/>
    <b v="0"/>
    <b v="0"/>
    <b v="0"/>
    <x v="0"/>
    <b v="1"/>
  </r>
  <r>
    <s v="S-36f26c"/>
    <s v="A-e36807"/>
    <d v="2024-12-17T00:00:00"/>
    <m/>
    <x v="2"/>
    <n v="63"/>
    <n v="1197"/>
    <n v="14364"/>
    <x v="0"/>
    <b v="0"/>
    <b v="0"/>
    <b v="0"/>
    <x v="0"/>
    <b v="1"/>
  </r>
  <r>
    <s v="S-7cc0ec"/>
    <s v="A-a6d261"/>
    <d v="2024-02-25T00:00:00"/>
    <m/>
    <x v="1"/>
    <n v="9"/>
    <n v="441"/>
    <n v="5292"/>
    <x v="0"/>
    <b v="0"/>
    <b v="0"/>
    <b v="0"/>
    <x v="0"/>
    <b v="0"/>
  </r>
  <r>
    <s v="S-cb8654"/>
    <s v="A-94d3da"/>
    <d v="2024-02-07T00:00:00"/>
    <m/>
    <x v="2"/>
    <n v="41"/>
    <n v="0"/>
    <n v="0"/>
    <x v="1"/>
    <b v="0"/>
    <b v="0"/>
    <b v="0"/>
    <x v="1"/>
    <b v="1"/>
  </r>
  <r>
    <s v="S-934f6d"/>
    <s v="A-40a557"/>
    <d v="2024-11-23T00:00:00"/>
    <m/>
    <x v="1"/>
    <n v="16"/>
    <n v="784"/>
    <n v="9408"/>
    <x v="0"/>
    <b v="0"/>
    <b v="0"/>
    <b v="0"/>
    <x v="0"/>
    <b v="1"/>
  </r>
  <r>
    <s v="S-e9737c"/>
    <s v="A-3c1a3f"/>
    <d v="2023-12-28T00:00:00"/>
    <m/>
    <x v="0"/>
    <n v="29"/>
    <n v="5771"/>
    <n v="69252"/>
    <x v="0"/>
    <b v="0"/>
    <b v="0"/>
    <b v="0"/>
    <x v="0"/>
    <b v="1"/>
  </r>
  <r>
    <s v="S-7f0419"/>
    <s v="A-84ebe4"/>
    <d v="2023-06-22T00:00:00"/>
    <m/>
    <x v="0"/>
    <n v="18"/>
    <n v="3582"/>
    <n v="42984"/>
    <x v="0"/>
    <b v="0"/>
    <b v="0"/>
    <b v="0"/>
    <x v="1"/>
    <b v="1"/>
  </r>
  <r>
    <s v="S-e002a1"/>
    <s v="A-940b8b"/>
    <d v="2024-06-07T00:00:00"/>
    <m/>
    <x v="2"/>
    <n v="45"/>
    <n v="0"/>
    <n v="0"/>
    <x v="1"/>
    <b v="0"/>
    <b v="0"/>
    <b v="0"/>
    <x v="1"/>
    <b v="1"/>
  </r>
  <r>
    <s v="S-5f30ce"/>
    <s v="A-9077b0"/>
    <d v="2024-08-26T00:00:00"/>
    <m/>
    <x v="2"/>
    <n v="2"/>
    <n v="38"/>
    <n v="456"/>
    <x v="0"/>
    <b v="0"/>
    <b v="0"/>
    <b v="0"/>
    <x v="0"/>
    <b v="1"/>
  </r>
  <r>
    <s v="S-557f3e"/>
    <s v="A-b7ef83"/>
    <d v="2024-06-20T00:00:00"/>
    <m/>
    <x v="0"/>
    <n v="13"/>
    <n v="2587"/>
    <n v="31044"/>
    <x v="0"/>
    <b v="0"/>
    <b v="0"/>
    <b v="0"/>
    <x v="1"/>
    <b v="1"/>
  </r>
  <r>
    <s v="S-a3e1e3"/>
    <s v="A-05d3b3"/>
    <d v="2024-09-26T00:00:00"/>
    <m/>
    <x v="0"/>
    <n v="9"/>
    <n v="0"/>
    <n v="0"/>
    <x v="1"/>
    <b v="0"/>
    <b v="0"/>
    <b v="0"/>
    <x v="0"/>
    <b v="1"/>
  </r>
  <r>
    <s v="S-70a554"/>
    <s v="A-f19409"/>
    <d v="2023-08-09T00:00:00"/>
    <m/>
    <x v="0"/>
    <n v="23"/>
    <n v="4577"/>
    <n v="54924"/>
    <x v="0"/>
    <b v="0"/>
    <b v="0"/>
    <b v="0"/>
    <x v="1"/>
    <b v="1"/>
  </r>
  <r>
    <s v="S-b35b20"/>
    <s v="A-0b0d6d"/>
    <d v="2024-12-31T00:00:00"/>
    <m/>
    <x v="1"/>
    <n v="3"/>
    <n v="147"/>
    <n v="1764"/>
    <x v="0"/>
    <b v="1"/>
    <b v="0"/>
    <b v="0"/>
    <x v="0"/>
    <b v="1"/>
  </r>
  <r>
    <s v="S-95d1dd"/>
    <s v="A-c58f49"/>
    <d v="2024-09-13T00:00:00"/>
    <m/>
    <x v="0"/>
    <n v="70"/>
    <n v="13930"/>
    <n v="167160"/>
    <x v="0"/>
    <b v="0"/>
    <b v="0"/>
    <b v="0"/>
    <x v="0"/>
    <b v="1"/>
  </r>
  <r>
    <s v="S-540cee"/>
    <s v="A-202b67"/>
    <d v="2024-06-22T00:00:00"/>
    <m/>
    <x v="0"/>
    <n v="25"/>
    <n v="4975"/>
    <n v="59700"/>
    <x v="0"/>
    <b v="1"/>
    <b v="0"/>
    <b v="0"/>
    <x v="1"/>
    <b v="1"/>
  </r>
  <r>
    <s v="S-635570"/>
    <s v="A-883b7d"/>
    <d v="2024-05-12T00:00:00"/>
    <m/>
    <x v="0"/>
    <n v="50"/>
    <n v="0"/>
    <n v="0"/>
    <x v="1"/>
    <b v="0"/>
    <b v="0"/>
    <b v="0"/>
    <x v="1"/>
    <b v="0"/>
  </r>
  <r>
    <s v="S-172953"/>
    <s v="A-e60f9d"/>
    <d v="2024-12-11T00:00:00"/>
    <m/>
    <x v="2"/>
    <n v="29"/>
    <n v="551"/>
    <n v="6612"/>
    <x v="0"/>
    <b v="0"/>
    <b v="0"/>
    <b v="0"/>
    <x v="0"/>
    <b v="1"/>
  </r>
  <r>
    <s v="S-0d0202"/>
    <s v="A-adc1f3"/>
    <d v="2024-09-04T00:00:00"/>
    <d v="2024-09-16T00:00:00"/>
    <x v="0"/>
    <n v="50"/>
    <n v="9950"/>
    <n v="119400"/>
    <x v="0"/>
    <b v="0"/>
    <b v="0"/>
    <b v="1"/>
    <x v="1"/>
    <b v="1"/>
  </r>
  <r>
    <s v="S-21f8b3"/>
    <s v="A-7f4db3"/>
    <d v="2024-09-07T00:00:00"/>
    <m/>
    <x v="0"/>
    <n v="4"/>
    <n v="0"/>
    <n v="0"/>
    <x v="1"/>
    <b v="0"/>
    <b v="0"/>
    <b v="0"/>
    <x v="0"/>
    <b v="0"/>
  </r>
  <r>
    <s v="S-8faa60"/>
    <s v="A-328bd0"/>
    <d v="2023-12-15T00:00:00"/>
    <d v="2024-01-11T00:00:00"/>
    <x v="1"/>
    <n v="39"/>
    <n v="1911"/>
    <n v="22932"/>
    <x v="0"/>
    <b v="0"/>
    <b v="0"/>
    <b v="1"/>
    <x v="0"/>
    <b v="1"/>
  </r>
  <r>
    <s v="S-93cd57"/>
    <s v="A-6f8ad2"/>
    <d v="2024-08-16T00:00:00"/>
    <m/>
    <x v="0"/>
    <n v="20"/>
    <n v="3980"/>
    <n v="47760"/>
    <x v="0"/>
    <b v="0"/>
    <b v="0"/>
    <b v="0"/>
    <x v="1"/>
    <b v="1"/>
  </r>
  <r>
    <s v="S-8ec197"/>
    <s v="A-7c4956"/>
    <d v="2023-11-02T00:00:00"/>
    <d v="2024-10-10T00:00:00"/>
    <x v="2"/>
    <n v="51"/>
    <n v="0"/>
    <n v="0"/>
    <x v="1"/>
    <b v="0"/>
    <b v="0"/>
    <b v="1"/>
    <x v="0"/>
    <b v="1"/>
  </r>
  <r>
    <s v="S-842638"/>
    <s v="A-35083d"/>
    <d v="2024-05-04T00:00:00"/>
    <d v="2024-06-26T00:00:00"/>
    <x v="1"/>
    <n v="19"/>
    <n v="931"/>
    <n v="11172"/>
    <x v="0"/>
    <b v="0"/>
    <b v="0"/>
    <b v="1"/>
    <x v="1"/>
    <b v="1"/>
  </r>
  <r>
    <s v="S-763e52"/>
    <s v="A-bece89"/>
    <d v="2024-05-20T00:00:00"/>
    <m/>
    <x v="0"/>
    <n v="26"/>
    <n v="5174"/>
    <n v="62088"/>
    <x v="0"/>
    <b v="1"/>
    <b v="0"/>
    <b v="0"/>
    <x v="1"/>
    <b v="0"/>
  </r>
  <r>
    <s v="S-ed4c45"/>
    <s v="A-4e44e8"/>
    <d v="2024-09-15T00:00:00"/>
    <d v="2024-09-21T00:00:00"/>
    <x v="0"/>
    <n v="78"/>
    <n v="15522"/>
    <n v="186264"/>
    <x v="0"/>
    <b v="0"/>
    <b v="0"/>
    <b v="1"/>
    <x v="0"/>
    <b v="1"/>
  </r>
  <r>
    <s v="S-390955"/>
    <s v="A-98a59a"/>
    <d v="2023-09-02T00:00:00"/>
    <m/>
    <x v="1"/>
    <n v="56"/>
    <n v="2744"/>
    <n v="32928"/>
    <x v="0"/>
    <b v="0"/>
    <b v="0"/>
    <b v="0"/>
    <x v="0"/>
    <b v="1"/>
  </r>
  <r>
    <s v="S-3ab534"/>
    <s v="A-f446b6"/>
    <d v="2024-01-07T00:00:00"/>
    <m/>
    <x v="0"/>
    <n v="18"/>
    <n v="3582"/>
    <n v="42984"/>
    <x v="0"/>
    <b v="0"/>
    <b v="0"/>
    <b v="0"/>
    <x v="1"/>
    <b v="0"/>
  </r>
  <r>
    <s v="S-9be237"/>
    <s v="A-a6d261"/>
    <d v="2024-09-20T00:00:00"/>
    <m/>
    <x v="1"/>
    <n v="26"/>
    <n v="1274"/>
    <n v="15288"/>
    <x v="0"/>
    <b v="0"/>
    <b v="0"/>
    <b v="0"/>
    <x v="1"/>
    <b v="1"/>
  </r>
  <r>
    <s v="S-021004"/>
    <s v="A-186a44"/>
    <d v="2024-07-05T00:00:00"/>
    <m/>
    <x v="2"/>
    <n v="20"/>
    <n v="380"/>
    <n v="4560"/>
    <x v="0"/>
    <b v="0"/>
    <b v="0"/>
    <b v="0"/>
    <x v="0"/>
    <b v="1"/>
  </r>
  <r>
    <s v="S-e36786"/>
    <s v="A-5b1bcd"/>
    <d v="2024-01-10T00:00:00"/>
    <m/>
    <x v="2"/>
    <n v="73"/>
    <n v="1387"/>
    <n v="16644"/>
    <x v="0"/>
    <b v="0"/>
    <b v="0"/>
    <b v="0"/>
    <x v="0"/>
    <b v="1"/>
  </r>
  <r>
    <s v="S-4691f1"/>
    <s v="A-c16cf7"/>
    <d v="2024-12-07T00:00:00"/>
    <m/>
    <x v="2"/>
    <n v="13"/>
    <n v="247"/>
    <n v="2964"/>
    <x v="0"/>
    <b v="0"/>
    <b v="0"/>
    <b v="0"/>
    <x v="1"/>
    <b v="1"/>
  </r>
  <r>
    <s v="S-d35d49"/>
    <s v="A-bc87bc"/>
    <d v="2024-09-11T00:00:00"/>
    <d v="2024-11-10T00:00:00"/>
    <x v="2"/>
    <n v="18"/>
    <n v="342"/>
    <n v="4104"/>
    <x v="0"/>
    <b v="0"/>
    <b v="0"/>
    <b v="1"/>
    <x v="1"/>
    <b v="1"/>
  </r>
  <r>
    <s v="S-374628"/>
    <s v="A-35083d"/>
    <d v="2024-07-17T00:00:00"/>
    <m/>
    <x v="2"/>
    <n v="19"/>
    <n v="361"/>
    <n v="4332"/>
    <x v="0"/>
    <b v="0"/>
    <b v="0"/>
    <b v="0"/>
    <x v="0"/>
    <b v="0"/>
  </r>
  <r>
    <s v="S-36f84f"/>
    <s v="A-e08cd3"/>
    <d v="2024-12-08T00:00:00"/>
    <m/>
    <x v="1"/>
    <n v="67"/>
    <n v="3283"/>
    <n v="39396"/>
    <x v="0"/>
    <b v="0"/>
    <b v="0"/>
    <b v="0"/>
    <x v="0"/>
    <b v="0"/>
  </r>
  <r>
    <s v="S-e0cd01"/>
    <s v="A-0cc442"/>
    <d v="2024-10-21T00:00:00"/>
    <m/>
    <x v="2"/>
    <n v="45"/>
    <n v="855"/>
    <n v="10260"/>
    <x v="0"/>
    <b v="0"/>
    <b v="0"/>
    <b v="0"/>
    <x v="1"/>
    <b v="0"/>
  </r>
  <r>
    <s v="S-edc542"/>
    <s v="A-1f0636"/>
    <d v="2024-04-09T00:00:00"/>
    <m/>
    <x v="0"/>
    <n v="105"/>
    <n v="20895"/>
    <n v="250740"/>
    <x v="0"/>
    <b v="0"/>
    <b v="0"/>
    <b v="0"/>
    <x v="1"/>
    <b v="1"/>
  </r>
  <r>
    <s v="S-1bbdf0"/>
    <s v="A-781cc0"/>
    <d v="2024-10-08T00:00:00"/>
    <m/>
    <x v="2"/>
    <n v="16"/>
    <n v="304"/>
    <n v="3648"/>
    <x v="0"/>
    <b v="0"/>
    <b v="0"/>
    <b v="0"/>
    <x v="1"/>
    <b v="1"/>
  </r>
  <r>
    <s v="S-a4d121"/>
    <s v="A-118d55"/>
    <d v="2024-10-26T00:00:00"/>
    <m/>
    <x v="0"/>
    <n v="8"/>
    <n v="1592"/>
    <n v="19104"/>
    <x v="0"/>
    <b v="1"/>
    <b v="0"/>
    <b v="0"/>
    <x v="0"/>
    <b v="1"/>
  </r>
  <r>
    <s v="S-5b4149"/>
    <s v="A-df10db"/>
    <d v="2023-10-23T00:00:00"/>
    <m/>
    <x v="2"/>
    <n v="7"/>
    <n v="133"/>
    <n v="1596"/>
    <x v="0"/>
    <b v="0"/>
    <b v="0"/>
    <b v="0"/>
    <x v="1"/>
    <b v="1"/>
  </r>
  <r>
    <s v="S-ffe125"/>
    <s v="A-e89151"/>
    <d v="2024-04-15T00:00:00"/>
    <d v="2024-10-07T00:00:00"/>
    <x v="2"/>
    <n v="20"/>
    <n v="380"/>
    <n v="4560"/>
    <x v="0"/>
    <b v="0"/>
    <b v="0"/>
    <b v="1"/>
    <x v="0"/>
    <b v="0"/>
  </r>
  <r>
    <s v="S-5aea91"/>
    <s v="A-427b69"/>
    <d v="2024-11-06T00:00:00"/>
    <m/>
    <x v="0"/>
    <n v="34"/>
    <n v="6766"/>
    <n v="81192"/>
    <x v="0"/>
    <b v="0"/>
    <b v="0"/>
    <b v="0"/>
    <x v="0"/>
    <b v="1"/>
  </r>
  <r>
    <s v="S-a5baf1"/>
    <s v="A-c7e58b"/>
    <d v="2023-12-16T00:00:00"/>
    <m/>
    <x v="0"/>
    <n v="7"/>
    <n v="1393"/>
    <n v="16716"/>
    <x v="0"/>
    <b v="0"/>
    <b v="0"/>
    <b v="0"/>
    <x v="0"/>
    <b v="0"/>
  </r>
  <r>
    <s v="S-5aacfa"/>
    <s v="A-f3ff05"/>
    <d v="2024-10-19T00:00:00"/>
    <m/>
    <x v="0"/>
    <n v="48"/>
    <n v="9552"/>
    <n v="114624"/>
    <x v="0"/>
    <b v="0"/>
    <b v="0"/>
    <b v="0"/>
    <x v="1"/>
    <b v="1"/>
  </r>
  <r>
    <s v="S-69cc68"/>
    <s v="A-7f4db3"/>
    <d v="2023-10-12T00:00:00"/>
    <m/>
    <x v="0"/>
    <n v="7"/>
    <n v="1393"/>
    <n v="16716"/>
    <x v="0"/>
    <b v="0"/>
    <b v="0"/>
    <b v="0"/>
    <x v="1"/>
    <b v="1"/>
  </r>
  <r>
    <s v="S-5cff9b"/>
    <s v="A-0f3e88"/>
    <d v="2024-11-07T00:00:00"/>
    <m/>
    <x v="1"/>
    <n v="7"/>
    <n v="0"/>
    <n v="0"/>
    <x v="1"/>
    <b v="1"/>
    <b v="0"/>
    <b v="0"/>
    <x v="0"/>
    <b v="0"/>
  </r>
  <r>
    <s v="S-573f93"/>
    <s v="A-50bb9f"/>
    <d v="2024-10-29T00:00:00"/>
    <m/>
    <x v="0"/>
    <n v="2"/>
    <n v="398"/>
    <n v="4776"/>
    <x v="0"/>
    <b v="0"/>
    <b v="0"/>
    <b v="0"/>
    <x v="0"/>
    <b v="1"/>
  </r>
  <r>
    <s v="S-ea2c98"/>
    <s v="A-1ac5e0"/>
    <d v="2024-11-30T00:00:00"/>
    <m/>
    <x v="1"/>
    <n v="33"/>
    <n v="1617"/>
    <n v="19404"/>
    <x v="0"/>
    <b v="0"/>
    <b v="0"/>
    <b v="0"/>
    <x v="0"/>
    <b v="1"/>
  </r>
  <r>
    <s v="S-b2f3f3"/>
    <s v="A-bc87bc"/>
    <d v="2024-12-15T00:00:00"/>
    <m/>
    <x v="2"/>
    <n v="8"/>
    <n v="152"/>
    <n v="1824"/>
    <x v="0"/>
    <b v="0"/>
    <b v="0"/>
    <b v="0"/>
    <x v="0"/>
    <b v="1"/>
  </r>
  <r>
    <s v="S-5bc277"/>
    <s v="A-05d3b3"/>
    <d v="2023-07-12T00:00:00"/>
    <m/>
    <x v="2"/>
    <n v="9"/>
    <n v="171"/>
    <n v="2052"/>
    <x v="0"/>
    <b v="0"/>
    <b v="0"/>
    <b v="0"/>
    <x v="1"/>
    <b v="1"/>
  </r>
  <r>
    <s v="S-d0429b"/>
    <s v="A-5247b3"/>
    <d v="2024-11-25T00:00:00"/>
    <m/>
    <x v="2"/>
    <n v="74"/>
    <n v="1406"/>
    <n v="16872"/>
    <x v="0"/>
    <b v="1"/>
    <b v="0"/>
    <b v="0"/>
    <x v="1"/>
    <b v="1"/>
  </r>
  <r>
    <s v="S-d2a604"/>
    <s v="A-20736a"/>
    <d v="2024-10-03T00:00:00"/>
    <m/>
    <x v="1"/>
    <n v="61"/>
    <n v="2989"/>
    <n v="35868"/>
    <x v="0"/>
    <b v="0"/>
    <b v="1"/>
    <b v="0"/>
    <x v="0"/>
    <b v="1"/>
  </r>
  <r>
    <s v="S-f586ed"/>
    <s v="A-de24d5"/>
    <d v="2024-12-06T00:00:00"/>
    <m/>
    <x v="2"/>
    <n v="17"/>
    <n v="323"/>
    <n v="3876"/>
    <x v="0"/>
    <b v="0"/>
    <b v="0"/>
    <b v="0"/>
    <x v="0"/>
    <b v="1"/>
  </r>
  <r>
    <s v="S-f874e5"/>
    <s v="A-417d2f"/>
    <d v="2023-07-16T00:00:00"/>
    <m/>
    <x v="0"/>
    <n v="51"/>
    <n v="10149"/>
    <n v="121788"/>
    <x v="0"/>
    <b v="0"/>
    <b v="0"/>
    <b v="0"/>
    <x v="1"/>
    <b v="1"/>
  </r>
  <r>
    <s v="S-28d401"/>
    <s v="A-d792a6"/>
    <d v="2023-09-03T00:00:00"/>
    <d v="2024-03-04T00:00:00"/>
    <x v="2"/>
    <n v="5"/>
    <n v="95"/>
    <n v="1140"/>
    <x v="0"/>
    <b v="0"/>
    <b v="0"/>
    <b v="1"/>
    <x v="1"/>
    <b v="1"/>
  </r>
  <r>
    <s v="S-fa05d7"/>
    <s v="A-180abf"/>
    <d v="2024-07-10T00:00:00"/>
    <m/>
    <x v="2"/>
    <n v="64"/>
    <n v="1216"/>
    <n v="14592"/>
    <x v="0"/>
    <b v="0"/>
    <b v="0"/>
    <b v="0"/>
    <x v="0"/>
    <b v="1"/>
  </r>
  <r>
    <s v="S-8ed77f"/>
    <s v="A-8b0451"/>
    <d v="2024-12-10T00:00:00"/>
    <m/>
    <x v="1"/>
    <n v="41"/>
    <n v="2009"/>
    <n v="24108"/>
    <x v="0"/>
    <b v="0"/>
    <b v="0"/>
    <b v="0"/>
    <x v="0"/>
    <b v="1"/>
  </r>
  <r>
    <s v="S-0d391c"/>
    <s v="A-f9cc74"/>
    <d v="2024-12-09T00:00:00"/>
    <m/>
    <x v="0"/>
    <n v="30"/>
    <n v="0"/>
    <n v="0"/>
    <x v="1"/>
    <b v="0"/>
    <b v="0"/>
    <b v="0"/>
    <x v="0"/>
    <b v="1"/>
  </r>
  <r>
    <s v="S-beaa35"/>
    <s v="A-781cc0"/>
    <d v="2024-11-01T00:00:00"/>
    <m/>
    <x v="1"/>
    <n v="12"/>
    <n v="0"/>
    <n v="0"/>
    <x v="1"/>
    <b v="0"/>
    <b v="0"/>
    <b v="0"/>
    <x v="0"/>
    <b v="0"/>
  </r>
  <r>
    <s v="S-d44108"/>
    <s v="A-7c83a1"/>
    <d v="2024-11-02T00:00:00"/>
    <m/>
    <x v="1"/>
    <n v="12"/>
    <n v="0"/>
    <n v="0"/>
    <x v="1"/>
    <b v="0"/>
    <b v="0"/>
    <b v="0"/>
    <x v="0"/>
    <b v="1"/>
  </r>
  <r>
    <s v="S-925f82"/>
    <s v="A-c7e58b"/>
    <d v="2024-07-08T00:00:00"/>
    <m/>
    <x v="0"/>
    <n v="7"/>
    <n v="1393"/>
    <n v="16716"/>
    <x v="0"/>
    <b v="0"/>
    <b v="0"/>
    <b v="0"/>
    <x v="1"/>
    <b v="0"/>
  </r>
  <r>
    <s v="S-7d43e0"/>
    <s v="A-f9cc74"/>
    <d v="2024-10-12T00:00:00"/>
    <m/>
    <x v="0"/>
    <n v="30"/>
    <n v="5970"/>
    <n v="71640"/>
    <x v="0"/>
    <b v="0"/>
    <b v="0"/>
    <b v="0"/>
    <x v="0"/>
    <b v="1"/>
  </r>
  <r>
    <s v="S-dc1cf4"/>
    <s v="A-1986ca"/>
    <d v="2024-01-05T00:00:00"/>
    <m/>
    <x v="0"/>
    <n v="20"/>
    <n v="3980"/>
    <n v="47760"/>
    <x v="0"/>
    <b v="0"/>
    <b v="0"/>
    <b v="0"/>
    <x v="0"/>
    <b v="0"/>
  </r>
  <r>
    <s v="S-bff3b5"/>
    <s v="A-10b8f2"/>
    <d v="2024-03-22T00:00:00"/>
    <m/>
    <x v="1"/>
    <n v="47"/>
    <n v="2303"/>
    <n v="27636"/>
    <x v="0"/>
    <b v="0"/>
    <b v="0"/>
    <b v="0"/>
    <x v="0"/>
    <b v="0"/>
  </r>
  <r>
    <s v="S-f11653"/>
    <s v="A-d4e0d4"/>
    <d v="2024-10-28T00:00:00"/>
    <m/>
    <x v="0"/>
    <n v="117"/>
    <n v="23283"/>
    <n v="279396"/>
    <x v="0"/>
    <b v="0"/>
    <b v="0"/>
    <b v="0"/>
    <x v="1"/>
    <b v="1"/>
  </r>
  <r>
    <s v="S-f42cc4"/>
    <s v="A-f44180"/>
    <d v="2023-04-10T00:00:00"/>
    <m/>
    <x v="0"/>
    <n v="14"/>
    <n v="2786"/>
    <n v="33432"/>
    <x v="0"/>
    <b v="0"/>
    <b v="0"/>
    <b v="0"/>
    <x v="1"/>
    <b v="1"/>
  </r>
  <r>
    <s v="S-22014f"/>
    <s v="A-0be015"/>
    <d v="2024-10-21T00:00:00"/>
    <m/>
    <x v="2"/>
    <n v="19"/>
    <n v="361"/>
    <n v="4332"/>
    <x v="0"/>
    <b v="0"/>
    <b v="0"/>
    <b v="0"/>
    <x v="1"/>
    <b v="1"/>
  </r>
  <r>
    <s v="S-1acdd2"/>
    <s v="A-7a0d69"/>
    <d v="2024-10-12T00:00:00"/>
    <m/>
    <x v="0"/>
    <n v="26"/>
    <n v="5174"/>
    <n v="62088"/>
    <x v="0"/>
    <b v="0"/>
    <b v="0"/>
    <b v="0"/>
    <x v="0"/>
    <b v="1"/>
  </r>
  <r>
    <s v="S-c85167"/>
    <s v="A-7a0d69"/>
    <d v="2024-09-16T00:00:00"/>
    <m/>
    <x v="2"/>
    <n v="15"/>
    <n v="285"/>
    <n v="3420"/>
    <x v="0"/>
    <b v="0"/>
    <b v="0"/>
    <b v="0"/>
    <x v="0"/>
    <b v="1"/>
  </r>
  <r>
    <s v="S-b112eb"/>
    <s v="A-8bde0c"/>
    <d v="2024-12-19T00:00:00"/>
    <m/>
    <x v="2"/>
    <n v="53"/>
    <n v="1007"/>
    <n v="12084"/>
    <x v="0"/>
    <b v="0"/>
    <b v="0"/>
    <b v="0"/>
    <x v="0"/>
    <b v="1"/>
  </r>
  <r>
    <s v="S-79bf38"/>
    <s v="A-9779ad"/>
    <d v="2024-07-29T00:00:00"/>
    <m/>
    <x v="0"/>
    <n v="40"/>
    <n v="7960"/>
    <n v="95520"/>
    <x v="0"/>
    <b v="0"/>
    <b v="0"/>
    <b v="0"/>
    <x v="0"/>
    <b v="1"/>
  </r>
  <r>
    <s v="S-ab152e"/>
    <s v="A-3793ee"/>
    <d v="2024-07-22T00:00:00"/>
    <m/>
    <x v="0"/>
    <n v="49"/>
    <n v="9751"/>
    <n v="117012"/>
    <x v="0"/>
    <b v="0"/>
    <b v="1"/>
    <b v="0"/>
    <x v="0"/>
    <b v="1"/>
  </r>
  <r>
    <s v="S-dbde43"/>
    <s v="A-54d94a"/>
    <d v="2023-12-17T00:00:00"/>
    <m/>
    <x v="1"/>
    <n v="27"/>
    <n v="1323"/>
    <n v="15876"/>
    <x v="0"/>
    <b v="0"/>
    <b v="0"/>
    <b v="0"/>
    <x v="1"/>
    <b v="1"/>
  </r>
  <r>
    <s v="S-2bbf5c"/>
    <s v="A-a09355"/>
    <d v="2024-10-17T00:00:00"/>
    <m/>
    <x v="0"/>
    <n v="14"/>
    <n v="2786"/>
    <n v="33432"/>
    <x v="0"/>
    <b v="0"/>
    <b v="0"/>
    <b v="0"/>
    <x v="1"/>
    <b v="1"/>
  </r>
  <r>
    <s v="S-dfd629"/>
    <s v="A-7da956"/>
    <d v="2024-06-15T00:00:00"/>
    <m/>
    <x v="2"/>
    <n v="26"/>
    <n v="0"/>
    <n v="0"/>
    <x v="1"/>
    <b v="0"/>
    <b v="0"/>
    <b v="0"/>
    <x v="1"/>
    <b v="1"/>
  </r>
  <r>
    <s v="S-233c23"/>
    <s v="A-39b19f"/>
    <d v="2024-05-11T00:00:00"/>
    <m/>
    <x v="1"/>
    <n v="54"/>
    <n v="2646"/>
    <n v="31752"/>
    <x v="0"/>
    <b v="1"/>
    <b v="0"/>
    <b v="0"/>
    <x v="0"/>
    <b v="0"/>
  </r>
  <r>
    <s v="S-770d98"/>
    <s v="A-e693b6"/>
    <d v="2024-11-19T00:00:00"/>
    <m/>
    <x v="0"/>
    <n v="55"/>
    <n v="10945"/>
    <n v="131340"/>
    <x v="0"/>
    <b v="0"/>
    <b v="0"/>
    <b v="0"/>
    <x v="1"/>
    <b v="1"/>
  </r>
  <r>
    <s v="S-972512"/>
    <s v="A-de24d5"/>
    <d v="2024-12-14T00:00:00"/>
    <m/>
    <x v="1"/>
    <n v="54"/>
    <n v="0"/>
    <n v="0"/>
    <x v="1"/>
    <b v="0"/>
    <b v="0"/>
    <b v="0"/>
    <x v="0"/>
    <b v="1"/>
  </r>
  <r>
    <s v="S-3965a4"/>
    <s v="A-8b25f2"/>
    <d v="2024-10-08T00:00:00"/>
    <d v="2024-10-18T00:00:00"/>
    <x v="2"/>
    <n v="47"/>
    <n v="893"/>
    <n v="10716"/>
    <x v="0"/>
    <b v="0"/>
    <b v="1"/>
    <b v="1"/>
    <x v="1"/>
    <b v="1"/>
  </r>
  <r>
    <s v="S-632bba"/>
    <s v="A-a09355"/>
    <d v="2024-09-24T00:00:00"/>
    <m/>
    <x v="1"/>
    <n v="15"/>
    <n v="735"/>
    <n v="8820"/>
    <x v="0"/>
    <b v="0"/>
    <b v="0"/>
    <b v="0"/>
    <x v="0"/>
    <b v="1"/>
  </r>
  <r>
    <s v="S-307e49"/>
    <s v="A-4c38bc"/>
    <d v="2024-06-01T00:00:00"/>
    <m/>
    <x v="1"/>
    <n v="36"/>
    <n v="1764"/>
    <n v="21168"/>
    <x v="0"/>
    <b v="0"/>
    <b v="0"/>
    <b v="0"/>
    <x v="0"/>
    <b v="0"/>
  </r>
  <r>
    <s v="S-b84175"/>
    <s v="A-bb2f49"/>
    <d v="2023-10-26T00:00:00"/>
    <m/>
    <x v="1"/>
    <n v="9"/>
    <n v="441"/>
    <n v="5292"/>
    <x v="0"/>
    <b v="0"/>
    <b v="0"/>
    <b v="0"/>
    <x v="0"/>
    <b v="1"/>
  </r>
  <r>
    <s v="S-83b2ee"/>
    <s v="A-7c83a1"/>
    <d v="2024-06-27T00:00:00"/>
    <d v="2024-12-04T00:00:00"/>
    <x v="0"/>
    <n v="26"/>
    <n v="5174"/>
    <n v="62088"/>
    <x v="0"/>
    <b v="0"/>
    <b v="0"/>
    <b v="1"/>
    <x v="0"/>
    <b v="1"/>
  </r>
  <r>
    <s v="S-969aac"/>
    <s v="A-37f969"/>
    <d v="2024-05-14T00:00:00"/>
    <m/>
    <x v="0"/>
    <n v="30"/>
    <n v="5970"/>
    <n v="71640"/>
    <x v="0"/>
    <b v="0"/>
    <b v="0"/>
    <b v="0"/>
    <x v="0"/>
    <b v="0"/>
  </r>
  <r>
    <s v="S-aa5f00"/>
    <s v="A-241e75"/>
    <d v="2024-09-29T00:00:00"/>
    <m/>
    <x v="1"/>
    <n v="13"/>
    <n v="637"/>
    <n v="7644"/>
    <x v="0"/>
    <b v="0"/>
    <b v="1"/>
    <b v="0"/>
    <x v="1"/>
    <b v="1"/>
  </r>
  <r>
    <s v="S-f7fa56"/>
    <s v="A-c16cf7"/>
    <d v="2024-10-18T00:00:00"/>
    <m/>
    <x v="1"/>
    <n v="13"/>
    <n v="637"/>
    <n v="7644"/>
    <x v="0"/>
    <b v="0"/>
    <b v="0"/>
    <b v="0"/>
    <x v="0"/>
    <b v="1"/>
  </r>
  <r>
    <s v="S-d50f1d"/>
    <s v="A-08e34e"/>
    <d v="2024-07-02T00:00:00"/>
    <m/>
    <x v="2"/>
    <n v="29"/>
    <n v="0"/>
    <n v="0"/>
    <x v="1"/>
    <b v="0"/>
    <b v="0"/>
    <b v="0"/>
    <x v="1"/>
    <b v="1"/>
  </r>
  <r>
    <s v="S-5b9267"/>
    <s v="A-410e86"/>
    <d v="2024-12-17T00:00:00"/>
    <m/>
    <x v="1"/>
    <n v="33"/>
    <n v="0"/>
    <n v="0"/>
    <x v="1"/>
    <b v="0"/>
    <b v="0"/>
    <b v="0"/>
    <x v="1"/>
    <b v="1"/>
  </r>
  <r>
    <s v="S-199697"/>
    <s v="A-bcf664"/>
    <d v="2024-11-11T00:00:00"/>
    <m/>
    <x v="0"/>
    <n v="7"/>
    <n v="1393"/>
    <n v="16716"/>
    <x v="0"/>
    <b v="0"/>
    <b v="0"/>
    <b v="0"/>
    <x v="1"/>
    <b v="1"/>
  </r>
  <r>
    <s v="S-cbe349"/>
    <s v="A-e89151"/>
    <d v="2024-02-16T00:00:00"/>
    <d v="2024-04-23T00:00:00"/>
    <x v="0"/>
    <n v="8"/>
    <n v="1592"/>
    <n v="19104"/>
    <x v="0"/>
    <b v="1"/>
    <b v="0"/>
    <b v="1"/>
    <x v="1"/>
    <b v="0"/>
  </r>
  <r>
    <s v="S-2b4a26"/>
    <s v="A-66224b"/>
    <d v="2024-11-20T00:00:00"/>
    <m/>
    <x v="2"/>
    <n v="92"/>
    <n v="0"/>
    <n v="0"/>
    <x v="1"/>
    <b v="0"/>
    <b v="0"/>
    <b v="0"/>
    <x v="1"/>
    <b v="0"/>
  </r>
  <r>
    <s v="S-704195"/>
    <s v="A-dfbd31"/>
    <d v="2024-04-29T00:00:00"/>
    <m/>
    <x v="2"/>
    <n v="14"/>
    <n v="266"/>
    <n v="3192"/>
    <x v="0"/>
    <b v="0"/>
    <b v="0"/>
    <b v="0"/>
    <x v="0"/>
    <b v="1"/>
  </r>
  <r>
    <s v="S-4dae4c"/>
    <s v="A-158f4e"/>
    <d v="2023-12-19T00:00:00"/>
    <m/>
    <x v="1"/>
    <n v="61"/>
    <n v="2989"/>
    <n v="35868"/>
    <x v="0"/>
    <b v="0"/>
    <b v="0"/>
    <b v="0"/>
    <x v="0"/>
    <b v="1"/>
  </r>
  <r>
    <s v="S-d425c9"/>
    <s v="A-e4144b"/>
    <d v="2024-11-11T00:00:00"/>
    <m/>
    <x v="0"/>
    <n v="41"/>
    <n v="8159"/>
    <n v="97908"/>
    <x v="0"/>
    <b v="0"/>
    <b v="0"/>
    <b v="0"/>
    <x v="1"/>
    <b v="1"/>
  </r>
  <r>
    <s v="S-078e94"/>
    <s v="A-3a7284"/>
    <d v="2024-11-28T00:00:00"/>
    <m/>
    <x v="0"/>
    <n v="31"/>
    <n v="6169"/>
    <n v="74028"/>
    <x v="0"/>
    <b v="0"/>
    <b v="0"/>
    <b v="0"/>
    <x v="0"/>
    <b v="1"/>
  </r>
  <r>
    <s v="S-f869a0"/>
    <s v="A-726cfa"/>
    <d v="2024-02-29T00:00:00"/>
    <m/>
    <x v="2"/>
    <n v="24"/>
    <n v="456"/>
    <n v="5472"/>
    <x v="0"/>
    <b v="1"/>
    <b v="0"/>
    <b v="0"/>
    <x v="0"/>
    <b v="1"/>
  </r>
  <r>
    <s v="S-b57a5e"/>
    <s v="A-17939a"/>
    <d v="2024-12-30T00:00:00"/>
    <m/>
    <x v="2"/>
    <n v="20"/>
    <n v="380"/>
    <n v="4560"/>
    <x v="0"/>
    <b v="0"/>
    <b v="0"/>
    <b v="0"/>
    <x v="1"/>
    <b v="1"/>
  </r>
  <r>
    <s v="S-a66766"/>
    <s v="A-9f9299"/>
    <d v="2024-03-09T00:00:00"/>
    <m/>
    <x v="2"/>
    <n v="28"/>
    <n v="532"/>
    <n v="6384"/>
    <x v="0"/>
    <b v="0"/>
    <b v="0"/>
    <b v="0"/>
    <x v="0"/>
    <b v="0"/>
  </r>
  <r>
    <s v="S-13a013"/>
    <s v="A-8bde0c"/>
    <d v="2024-12-19T00:00:00"/>
    <m/>
    <x v="2"/>
    <n v="23"/>
    <n v="437"/>
    <n v="5244"/>
    <x v="0"/>
    <b v="0"/>
    <b v="0"/>
    <b v="0"/>
    <x v="1"/>
    <b v="1"/>
  </r>
  <r>
    <s v="S-813cdc"/>
    <s v="A-39b19f"/>
    <d v="2023-07-04T00:00:00"/>
    <m/>
    <x v="1"/>
    <n v="20"/>
    <n v="980"/>
    <n v="11760"/>
    <x v="0"/>
    <b v="0"/>
    <b v="0"/>
    <b v="0"/>
    <x v="1"/>
    <b v="1"/>
  </r>
  <r>
    <s v="S-b6e15a"/>
    <s v="A-67be94"/>
    <d v="2023-09-17T00:00:00"/>
    <d v="2024-02-18T00:00:00"/>
    <x v="0"/>
    <n v="37"/>
    <n v="7363"/>
    <n v="88356"/>
    <x v="0"/>
    <b v="0"/>
    <b v="0"/>
    <b v="1"/>
    <x v="0"/>
    <b v="0"/>
  </r>
  <r>
    <s v="S-db3856"/>
    <s v="A-ccabf0"/>
    <d v="2023-11-18T00:00:00"/>
    <m/>
    <x v="1"/>
    <n v="21"/>
    <n v="1029"/>
    <n v="12348"/>
    <x v="0"/>
    <b v="0"/>
    <b v="0"/>
    <b v="0"/>
    <x v="1"/>
    <b v="1"/>
  </r>
  <r>
    <s v="S-dbc4d5"/>
    <s v="A-751c58"/>
    <d v="2024-08-24T00:00:00"/>
    <m/>
    <x v="1"/>
    <n v="15"/>
    <n v="735"/>
    <n v="8820"/>
    <x v="0"/>
    <b v="0"/>
    <b v="0"/>
    <b v="0"/>
    <x v="1"/>
    <b v="1"/>
  </r>
  <r>
    <s v="S-eabdce"/>
    <s v="A-9208f0"/>
    <d v="2023-05-15T00:00:00"/>
    <m/>
    <x v="0"/>
    <n v="14"/>
    <n v="2786"/>
    <n v="33432"/>
    <x v="0"/>
    <b v="0"/>
    <b v="0"/>
    <b v="0"/>
    <x v="1"/>
    <b v="1"/>
  </r>
  <r>
    <s v="S-19029a"/>
    <s v="A-712f1c"/>
    <d v="2024-12-11T00:00:00"/>
    <m/>
    <x v="1"/>
    <n v="17"/>
    <n v="833"/>
    <n v="9996"/>
    <x v="0"/>
    <b v="0"/>
    <b v="0"/>
    <b v="0"/>
    <x v="1"/>
    <b v="1"/>
  </r>
  <r>
    <s v="S-05be05"/>
    <s v="A-e7beab"/>
    <d v="2024-03-16T00:00:00"/>
    <d v="2024-05-30T00:00:00"/>
    <x v="0"/>
    <n v="5"/>
    <n v="995"/>
    <n v="11940"/>
    <x v="0"/>
    <b v="0"/>
    <b v="0"/>
    <b v="1"/>
    <x v="1"/>
    <b v="1"/>
  </r>
  <r>
    <s v="S-222167"/>
    <s v="A-c1e51e"/>
    <d v="2024-12-29T00:00:00"/>
    <d v="2024-12-31T00:00:00"/>
    <x v="2"/>
    <n v="41"/>
    <n v="779"/>
    <n v="9348"/>
    <x v="0"/>
    <b v="0"/>
    <b v="0"/>
    <b v="1"/>
    <x v="1"/>
    <b v="1"/>
  </r>
  <r>
    <s v="S-a68d25"/>
    <s v="A-31ab9a"/>
    <d v="2024-03-23T00:00:00"/>
    <m/>
    <x v="2"/>
    <n v="15"/>
    <n v="285"/>
    <n v="3420"/>
    <x v="0"/>
    <b v="0"/>
    <b v="0"/>
    <b v="0"/>
    <x v="0"/>
    <b v="1"/>
  </r>
  <r>
    <s v="S-4305f1"/>
    <s v="A-afa505"/>
    <d v="2024-01-08T00:00:00"/>
    <m/>
    <x v="1"/>
    <n v="70"/>
    <n v="3430"/>
    <n v="41160"/>
    <x v="0"/>
    <b v="0"/>
    <b v="0"/>
    <b v="0"/>
    <x v="0"/>
    <b v="1"/>
  </r>
  <r>
    <s v="S-95cc5a"/>
    <s v="A-9bfc9f"/>
    <d v="2024-03-14T00:00:00"/>
    <m/>
    <x v="2"/>
    <n v="53"/>
    <n v="1007"/>
    <n v="12084"/>
    <x v="0"/>
    <b v="1"/>
    <b v="0"/>
    <b v="0"/>
    <x v="1"/>
    <b v="1"/>
  </r>
  <r>
    <s v="S-0b7de7"/>
    <s v="A-eb7fac"/>
    <d v="2024-09-03T00:00:00"/>
    <m/>
    <x v="0"/>
    <n v="16"/>
    <n v="3184"/>
    <n v="38208"/>
    <x v="0"/>
    <b v="0"/>
    <b v="0"/>
    <b v="0"/>
    <x v="0"/>
    <b v="1"/>
  </r>
  <r>
    <s v="S-f5888c"/>
    <s v="A-4e631b"/>
    <d v="2024-12-10T00:00:00"/>
    <m/>
    <x v="2"/>
    <n v="22"/>
    <n v="418"/>
    <n v="5016"/>
    <x v="0"/>
    <b v="0"/>
    <b v="0"/>
    <b v="0"/>
    <x v="1"/>
    <b v="1"/>
  </r>
  <r>
    <s v="S-28489e"/>
    <s v="A-fd7ad3"/>
    <d v="2024-11-02T00:00:00"/>
    <m/>
    <x v="2"/>
    <n v="12"/>
    <n v="0"/>
    <n v="0"/>
    <x v="1"/>
    <b v="0"/>
    <b v="0"/>
    <b v="0"/>
    <x v="1"/>
    <b v="1"/>
  </r>
  <r>
    <s v="S-98dd7d"/>
    <s v="A-e6afc1"/>
    <d v="2023-05-24T00:00:00"/>
    <m/>
    <x v="0"/>
    <n v="51"/>
    <n v="10149"/>
    <n v="121788"/>
    <x v="0"/>
    <b v="0"/>
    <b v="0"/>
    <b v="0"/>
    <x v="1"/>
    <b v="1"/>
  </r>
  <r>
    <s v="S-b10cfa"/>
    <s v="A-503d5a"/>
    <d v="2024-06-28T00:00:00"/>
    <m/>
    <x v="1"/>
    <n v="6"/>
    <n v="294"/>
    <n v="3528"/>
    <x v="0"/>
    <b v="0"/>
    <b v="0"/>
    <b v="0"/>
    <x v="0"/>
    <b v="1"/>
  </r>
  <r>
    <s v="S-3199cf"/>
    <s v="A-068fc6"/>
    <d v="2024-07-20T00:00:00"/>
    <m/>
    <x v="1"/>
    <n v="35"/>
    <n v="1715"/>
    <n v="20580"/>
    <x v="0"/>
    <b v="0"/>
    <b v="0"/>
    <b v="0"/>
    <x v="0"/>
    <b v="1"/>
  </r>
  <r>
    <s v="S-61d573"/>
    <s v="A-0dbdc6"/>
    <d v="2024-04-24T00:00:00"/>
    <m/>
    <x v="1"/>
    <n v="30"/>
    <n v="1470"/>
    <n v="17640"/>
    <x v="0"/>
    <b v="0"/>
    <b v="0"/>
    <b v="0"/>
    <x v="1"/>
    <b v="1"/>
  </r>
  <r>
    <s v="S-2dbf26"/>
    <s v="A-dfbd31"/>
    <d v="2023-12-10T00:00:00"/>
    <m/>
    <x v="1"/>
    <n v="14"/>
    <n v="0"/>
    <n v="0"/>
    <x v="1"/>
    <b v="0"/>
    <b v="0"/>
    <b v="0"/>
    <x v="1"/>
    <b v="1"/>
  </r>
  <r>
    <s v="S-eae773"/>
    <s v="A-88c6ca"/>
    <d v="2024-12-03T00:00:00"/>
    <m/>
    <x v="1"/>
    <n v="11"/>
    <n v="539"/>
    <n v="6468"/>
    <x v="0"/>
    <b v="0"/>
    <b v="0"/>
    <b v="0"/>
    <x v="0"/>
    <b v="1"/>
  </r>
  <r>
    <s v="S-18b808"/>
    <s v="A-425e76"/>
    <d v="2024-08-13T00:00:00"/>
    <m/>
    <x v="0"/>
    <n v="9"/>
    <n v="1791"/>
    <n v="21492"/>
    <x v="0"/>
    <b v="0"/>
    <b v="0"/>
    <b v="0"/>
    <x v="1"/>
    <b v="1"/>
  </r>
  <r>
    <s v="S-d90f0a"/>
    <s v="A-e19ff6"/>
    <d v="2024-10-23T00:00:00"/>
    <m/>
    <x v="1"/>
    <n v="26"/>
    <n v="1274"/>
    <n v="15288"/>
    <x v="0"/>
    <b v="0"/>
    <b v="0"/>
    <b v="0"/>
    <x v="0"/>
    <b v="0"/>
  </r>
  <r>
    <s v="S-82be96"/>
    <s v="A-7920cc"/>
    <d v="2024-11-29T00:00:00"/>
    <m/>
    <x v="1"/>
    <n v="39"/>
    <n v="1911"/>
    <n v="22932"/>
    <x v="0"/>
    <b v="0"/>
    <b v="0"/>
    <b v="0"/>
    <x v="1"/>
    <b v="1"/>
  </r>
  <r>
    <s v="S-7bd2d7"/>
    <s v="A-9b9fe9"/>
    <d v="2024-11-28T00:00:00"/>
    <m/>
    <x v="0"/>
    <n v="50"/>
    <n v="9950"/>
    <n v="119400"/>
    <x v="0"/>
    <b v="0"/>
    <b v="0"/>
    <b v="0"/>
    <x v="0"/>
    <b v="1"/>
  </r>
  <r>
    <s v="S-5f3359"/>
    <s v="A-9174e0"/>
    <d v="2024-12-10T00:00:00"/>
    <m/>
    <x v="1"/>
    <n v="37"/>
    <n v="1813"/>
    <n v="21756"/>
    <x v="0"/>
    <b v="0"/>
    <b v="0"/>
    <b v="0"/>
    <x v="1"/>
    <b v="1"/>
  </r>
  <r>
    <s v="S-9d7c19"/>
    <s v="A-82d8a6"/>
    <d v="2024-12-31T00:00:00"/>
    <d v="2024-12-31T00:00:00"/>
    <x v="1"/>
    <n v="5"/>
    <n v="245"/>
    <n v="2940"/>
    <x v="0"/>
    <b v="0"/>
    <b v="0"/>
    <b v="1"/>
    <x v="1"/>
    <b v="1"/>
  </r>
  <r>
    <s v="S-2bc644"/>
    <s v="A-2d4502"/>
    <d v="2024-04-30T00:00:00"/>
    <m/>
    <x v="1"/>
    <n v="8"/>
    <n v="392"/>
    <n v="4704"/>
    <x v="0"/>
    <b v="0"/>
    <b v="0"/>
    <b v="0"/>
    <x v="1"/>
    <b v="1"/>
  </r>
  <r>
    <s v="S-ec8b34"/>
    <s v="A-de58ca"/>
    <d v="2023-10-09T00:00:00"/>
    <m/>
    <x v="0"/>
    <n v="62"/>
    <n v="12338"/>
    <n v="148056"/>
    <x v="0"/>
    <b v="0"/>
    <b v="0"/>
    <b v="0"/>
    <x v="1"/>
    <b v="0"/>
  </r>
  <r>
    <s v="S-1d2d00"/>
    <s v="A-a7bd4b"/>
    <d v="2024-09-18T00:00:00"/>
    <d v="2024-10-13T00:00:00"/>
    <x v="2"/>
    <n v="9"/>
    <n v="171"/>
    <n v="2052"/>
    <x v="0"/>
    <b v="0"/>
    <b v="0"/>
    <b v="1"/>
    <x v="0"/>
    <b v="1"/>
  </r>
  <r>
    <s v="S-9a44ec"/>
    <s v="A-bf7919"/>
    <d v="2024-12-21T00:00:00"/>
    <d v="2024-12-29T00:00:00"/>
    <x v="1"/>
    <n v="15"/>
    <n v="735"/>
    <n v="8820"/>
    <x v="0"/>
    <b v="0"/>
    <b v="0"/>
    <b v="1"/>
    <x v="1"/>
    <b v="1"/>
  </r>
  <r>
    <s v="S-6c109f"/>
    <s v="A-c42f1f"/>
    <d v="2024-10-13T00:00:00"/>
    <m/>
    <x v="0"/>
    <n v="12"/>
    <n v="2388"/>
    <n v="28656"/>
    <x v="0"/>
    <b v="0"/>
    <b v="0"/>
    <b v="0"/>
    <x v="1"/>
    <b v="1"/>
  </r>
  <r>
    <s v="S-f99f9e"/>
    <s v="A-dbc825"/>
    <d v="2024-10-19T00:00:00"/>
    <d v="2024-12-17T00:00:00"/>
    <x v="0"/>
    <n v="55"/>
    <n v="10945"/>
    <n v="131340"/>
    <x v="0"/>
    <b v="0"/>
    <b v="0"/>
    <b v="1"/>
    <x v="0"/>
    <b v="1"/>
  </r>
  <r>
    <s v="S-9dda85"/>
    <s v="A-462d45"/>
    <d v="2024-01-16T00:00:00"/>
    <d v="2024-05-29T00:00:00"/>
    <x v="2"/>
    <n v="89"/>
    <n v="1691"/>
    <n v="20292"/>
    <x v="0"/>
    <b v="0"/>
    <b v="0"/>
    <b v="1"/>
    <x v="1"/>
    <b v="0"/>
  </r>
  <r>
    <s v="S-94009b"/>
    <s v="A-9f0b68"/>
    <d v="2024-10-08T00:00:00"/>
    <m/>
    <x v="0"/>
    <n v="10"/>
    <n v="1990"/>
    <n v="23880"/>
    <x v="0"/>
    <b v="0"/>
    <b v="1"/>
    <b v="0"/>
    <x v="1"/>
    <b v="1"/>
  </r>
  <r>
    <s v="S-834097"/>
    <s v="A-9badbd"/>
    <d v="2024-12-03T00:00:00"/>
    <m/>
    <x v="0"/>
    <n v="5"/>
    <n v="995"/>
    <n v="11940"/>
    <x v="0"/>
    <b v="0"/>
    <b v="0"/>
    <b v="0"/>
    <x v="1"/>
    <b v="1"/>
  </r>
  <r>
    <s v="S-61efc1"/>
    <s v="A-05d3b3"/>
    <d v="2023-11-27T00:00:00"/>
    <m/>
    <x v="1"/>
    <n v="9"/>
    <n v="0"/>
    <n v="0"/>
    <x v="1"/>
    <b v="0"/>
    <b v="0"/>
    <b v="0"/>
    <x v="0"/>
    <b v="0"/>
  </r>
  <r>
    <s v="S-d1527e"/>
    <s v="A-956988"/>
    <d v="2024-12-07T00:00:00"/>
    <m/>
    <x v="1"/>
    <n v="26"/>
    <n v="1274"/>
    <n v="15288"/>
    <x v="0"/>
    <b v="0"/>
    <b v="0"/>
    <b v="0"/>
    <x v="1"/>
    <b v="1"/>
  </r>
  <r>
    <s v="S-caec41"/>
    <s v="A-55f257"/>
    <d v="2024-01-24T00:00:00"/>
    <m/>
    <x v="0"/>
    <n v="23"/>
    <n v="4577"/>
    <n v="54924"/>
    <x v="0"/>
    <b v="1"/>
    <b v="0"/>
    <b v="0"/>
    <x v="1"/>
    <b v="1"/>
  </r>
  <r>
    <s v="S-921dc3"/>
    <s v="A-a865bd"/>
    <d v="2024-05-22T00:00:00"/>
    <m/>
    <x v="0"/>
    <n v="38"/>
    <n v="7562"/>
    <n v="90744"/>
    <x v="0"/>
    <b v="0"/>
    <b v="0"/>
    <b v="0"/>
    <x v="1"/>
    <b v="0"/>
  </r>
  <r>
    <s v="S-038f6f"/>
    <s v="A-82d8a6"/>
    <d v="2024-12-14T00:00:00"/>
    <d v="2024-12-29T00:00:00"/>
    <x v="0"/>
    <n v="10"/>
    <n v="0"/>
    <n v="0"/>
    <x v="1"/>
    <b v="1"/>
    <b v="0"/>
    <b v="1"/>
    <x v="0"/>
    <b v="1"/>
  </r>
  <r>
    <s v="S-93dc0e"/>
    <s v="A-8e47ca"/>
    <d v="2024-11-03T00:00:00"/>
    <d v="2024-12-09T00:00:00"/>
    <x v="0"/>
    <n v="25"/>
    <n v="4975"/>
    <n v="59700"/>
    <x v="0"/>
    <b v="0"/>
    <b v="0"/>
    <b v="1"/>
    <x v="0"/>
    <b v="1"/>
  </r>
  <r>
    <s v="S-10702d"/>
    <s v="A-59f724"/>
    <d v="2024-03-14T00:00:00"/>
    <m/>
    <x v="2"/>
    <n v="3"/>
    <n v="0"/>
    <n v="0"/>
    <x v="1"/>
    <b v="0"/>
    <b v="0"/>
    <b v="0"/>
    <x v="0"/>
    <b v="1"/>
  </r>
  <r>
    <s v="S-737a28"/>
    <s v="A-a1bbb6"/>
    <d v="2024-02-26T00:00:00"/>
    <m/>
    <x v="1"/>
    <n v="8"/>
    <n v="392"/>
    <n v="4704"/>
    <x v="0"/>
    <b v="0"/>
    <b v="0"/>
    <b v="0"/>
    <x v="0"/>
    <b v="1"/>
  </r>
  <r>
    <s v="S-e77b1e"/>
    <s v="A-296d7c"/>
    <d v="2024-01-30T00:00:00"/>
    <m/>
    <x v="2"/>
    <n v="6"/>
    <n v="114"/>
    <n v="1368"/>
    <x v="0"/>
    <b v="0"/>
    <b v="0"/>
    <b v="0"/>
    <x v="1"/>
    <b v="1"/>
  </r>
  <r>
    <s v="S-d841e4"/>
    <s v="A-a1b80b"/>
    <d v="2024-06-28T00:00:00"/>
    <m/>
    <x v="0"/>
    <n v="16"/>
    <n v="3184"/>
    <n v="38208"/>
    <x v="0"/>
    <b v="1"/>
    <b v="0"/>
    <b v="0"/>
    <x v="1"/>
    <b v="1"/>
  </r>
  <r>
    <s v="S-c6dc67"/>
    <s v="A-9f2731"/>
    <d v="2024-11-10T00:00:00"/>
    <m/>
    <x v="1"/>
    <n v="33"/>
    <n v="1617"/>
    <n v="19404"/>
    <x v="0"/>
    <b v="0"/>
    <b v="0"/>
    <b v="0"/>
    <x v="0"/>
    <b v="1"/>
  </r>
  <r>
    <s v="S-aaf1d0"/>
    <s v="A-fd9422"/>
    <d v="2024-07-12T00:00:00"/>
    <m/>
    <x v="0"/>
    <n v="58"/>
    <n v="0"/>
    <n v="0"/>
    <x v="1"/>
    <b v="0"/>
    <b v="0"/>
    <b v="0"/>
    <x v="0"/>
    <b v="0"/>
  </r>
  <r>
    <s v="S-e77144"/>
    <s v="A-49b828"/>
    <d v="2023-08-09T00:00:00"/>
    <m/>
    <x v="0"/>
    <n v="25"/>
    <n v="4975"/>
    <n v="59700"/>
    <x v="0"/>
    <b v="1"/>
    <b v="0"/>
    <b v="0"/>
    <x v="0"/>
    <b v="1"/>
  </r>
  <r>
    <s v="S-9b8504"/>
    <s v="A-c37cab"/>
    <d v="2024-10-19T00:00:00"/>
    <m/>
    <x v="1"/>
    <n v="13"/>
    <n v="637"/>
    <n v="7644"/>
    <x v="0"/>
    <b v="0"/>
    <b v="1"/>
    <b v="0"/>
    <x v="1"/>
    <b v="1"/>
  </r>
  <r>
    <s v="S-504683"/>
    <s v="A-bbc346"/>
    <d v="2024-11-24T00:00:00"/>
    <m/>
    <x v="0"/>
    <n v="19"/>
    <n v="3781"/>
    <n v="45372"/>
    <x v="0"/>
    <b v="0"/>
    <b v="0"/>
    <b v="0"/>
    <x v="1"/>
    <b v="1"/>
  </r>
  <r>
    <s v="S-f3138f"/>
    <s v="A-3b5cd1"/>
    <d v="2024-06-11T00:00:00"/>
    <m/>
    <x v="0"/>
    <n v="55"/>
    <n v="0"/>
    <n v="0"/>
    <x v="1"/>
    <b v="1"/>
    <b v="0"/>
    <b v="0"/>
    <x v="1"/>
    <b v="1"/>
  </r>
  <r>
    <s v="S-73688c"/>
    <s v="A-d535f6"/>
    <d v="2024-09-21T00:00:00"/>
    <m/>
    <x v="2"/>
    <n v="12"/>
    <n v="0"/>
    <n v="0"/>
    <x v="1"/>
    <b v="0"/>
    <b v="0"/>
    <b v="0"/>
    <x v="0"/>
    <b v="1"/>
  </r>
  <r>
    <s v="S-6e5a3d"/>
    <s v="A-bb1486"/>
    <d v="2024-11-23T00:00:00"/>
    <m/>
    <x v="1"/>
    <n v="41"/>
    <n v="2009"/>
    <n v="24108"/>
    <x v="0"/>
    <b v="0"/>
    <b v="0"/>
    <b v="0"/>
    <x v="1"/>
    <b v="1"/>
  </r>
  <r>
    <s v="S-af6f53"/>
    <s v="A-410e86"/>
    <d v="2024-12-01T00:00:00"/>
    <m/>
    <x v="2"/>
    <n v="24"/>
    <n v="456"/>
    <n v="5472"/>
    <x v="0"/>
    <b v="0"/>
    <b v="0"/>
    <b v="0"/>
    <x v="0"/>
    <b v="0"/>
  </r>
  <r>
    <s v="S-134753"/>
    <s v="A-e83938"/>
    <d v="2024-02-08T00:00:00"/>
    <m/>
    <x v="0"/>
    <n v="16"/>
    <n v="3184"/>
    <n v="38208"/>
    <x v="0"/>
    <b v="1"/>
    <b v="0"/>
    <b v="0"/>
    <x v="0"/>
    <b v="1"/>
  </r>
  <r>
    <s v="S-3503b4"/>
    <s v="A-58b9ff"/>
    <d v="2024-07-18T00:00:00"/>
    <m/>
    <x v="0"/>
    <n v="2"/>
    <n v="398"/>
    <n v="4776"/>
    <x v="0"/>
    <b v="0"/>
    <b v="0"/>
    <b v="0"/>
    <x v="0"/>
    <b v="1"/>
  </r>
  <r>
    <s v="S-81e9f1"/>
    <s v="A-05d3b3"/>
    <d v="2024-09-10T00:00:00"/>
    <m/>
    <x v="2"/>
    <n v="9"/>
    <n v="171"/>
    <n v="2052"/>
    <x v="0"/>
    <b v="0"/>
    <b v="0"/>
    <b v="0"/>
    <x v="0"/>
    <b v="1"/>
  </r>
  <r>
    <s v="S-31e347"/>
    <s v="A-cb6cc6"/>
    <d v="2023-08-15T00:00:00"/>
    <m/>
    <x v="2"/>
    <n v="14"/>
    <n v="266"/>
    <n v="3192"/>
    <x v="0"/>
    <b v="1"/>
    <b v="0"/>
    <b v="0"/>
    <x v="1"/>
    <b v="0"/>
  </r>
  <r>
    <s v="S-102ebf"/>
    <s v="A-e60f9d"/>
    <d v="2024-11-13T00:00:00"/>
    <m/>
    <x v="0"/>
    <n v="29"/>
    <n v="5771"/>
    <n v="69252"/>
    <x v="0"/>
    <b v="0"/>
    <b v="0"/>
    <b v="0"/>
    <x v="1"/>
    <b v="0"/>
  </r>
  <r>
    <s v="S-a06b03"/>
    <s v="A-9b9fe9"/>
    <d v="2024-11-19T00:00:00"/>
    <m/>
    <x v="1"/>
    <n v="68"/>
    <n v="3332"/>
    <n v="39984"/>
    <x v="0"/>
    <b v="0"/>
    <b v="0"/>
    <b v="0"/>
    <x v="1"/>
    <b v="1"/>
  </r>
  <r>
    <s v="S-c14b9d"/>
    <s v="A-91e948"/>
    <d v="2023-12-06T00:00:00"/>
    <m/>
    <x v="2"/>
    <n v="41"/>
    <n v="779"/>
    <n v="9348"/>
    <x v="0"/>
    <b v="0"/>
    <b v="0"/>
    <b v="0"/>
    <x v="0"/>
    <b v="1"/>
  </r>
  <r>
    <s v="S-a5cf6d"/>
    <s v="A-e51ec7"/>
    <d v="2023-11-27T00:00:00"/>
    <m/>
    <x v="0"/>
    <n v="25"/>
    <n v="4975"/>
    <n v="59700"/>
    <x v="0"/>
    <b v="0"/>
    <b v="1"/>
    <b v="0"/>
    <x v="0"/>
    <b v="1"/>
  </r>
  <r>
    <s v="S-6d96c9"/>
    <s v="A-a33200"/>
    <d v="2024-10-14T00:00:00"/>
    <m/>
    <x v="1"/>
    <n v="29"/>
    <n v="1421"/>
    <n v="17052"/>
    <x v="0"/>
    <b v="0"/>
    <b v="0"/>
    <b v="0"/>
    <x v="0"/>
    <b v="1"/>
  </r>
  <r>
    <s v="S-d81959"/>
    <s v="A-039727"/>
    <d v="2024-11-10T00:00:00"/>
    <m/>
    <x v="2"/>
    <n v="25"/>
    <n v="475"/>
    <n v="5700"/>
    <x v="0"/>
    <b v="0"/>
    <b v="0"/>
    <b v="0"/>
    <x v="1"/>
    <b v="1"/>
  </r>
  <r>
    <s v="S-c77f0c"/>
    <s v="A-034368"/>
    <d v="2024-11-29T00:00:00"/>
    <m/>
    <x v="2"/>
    <n v="29"/>
    <n v="551"/>
    <n v="6612"/>
    <x v="0"/>
    <b v="0"/>
    <b v="0"/>
    <b v="0"/>
    <x v="0"/>
    <b v="0"/>
  </r>
  <r>
    <s v="S-6eb56d"/>
    <s v="A-10b8da"/>
    <d v="2024-09-14T00:00:00"/>
    <m/>
    <x v="1"/>
    <n v="34"/>
    <n v="1666"/>
    <n v="19992"/>
    <x v="0"/>
    <b v="0"/>
    <b v="0"/>
    <b v="0"/>
    <x v="0"/>
    <b v="1"/>
  </r>
  <r>
    <s v="S-b1dce0"/>
    <s v="A-fd7ad3"/>
    <d v="2024-11-07T00:00:00"/>
    <m/>
    <x v="2"/>
    <n v="12"/>
    <n v="228"/>
    <n v="2736"/>
    <x v="0"/>
    <b v="0"/>
    <b v="0"/>
    <b v="0"/>
    <x v="0"/>
    <b v="1"/>
  </r>
  <r>
    <s v="S-a07c46"/>
    <s v="A-e693b6"/>
    <d v="2023-09-23T00:00:00"/>
    <d v="2023-10-15T00:00:00"/>
    <x v="1"/>
    <n v="55"/>
    <n v="2695"/>
    <n v="32340"/>
    <x v="0"/>
    <b v="1"/>
    <b v="0"/>
    <b v="1"/>
    <x v="0"/>
    <b v="1"/>
  </r>
  <r>
    <s v="S-df91b0"/>
    <s v="A-ba6516"/>
    <d v="2024-10-04T00:00:00"/>
    <m/>
    <x v="2"/>
    <n v="27"/>
    <n v="513"/>
    <n v="6156"/>
    <x v="0"/>
    <b v="0"/>
    <b v="1"/>
    <b v="0"/>
    <x v="0"/>
    <b v="0"/>
  </r>
  <r>
    <s v="S-f16bb2"/>
    <s v="A-0f6450"/>
    <d v="2024-12-27T00:00:00"/>
    <m/>
    <x v="0"/>
    <n v="28"/>
    <n v="0"/>
    <n v="0"/>
    <x v="1"/>
    <b v="0"/>
    <b v="0"/>
    <b v="0"/>
    <x v="0"/>
    <b v="1"/>
  </r>
  <r>
    <s v="S-94cf13"/>
    <s v="A-8adedc"/>
    <d v="2024-05-23T00:00:00"/>
    <m/>
    <x v="2"/>
    <n v="5"/>
    <n v="95"/>
    <n v="1140"/>
    <x v="0"/>
    <b v="0"/>
    <b v="0"/>
    <b v="0"/>
    <x v="1"/>
    <b v="1"/>
  </r>
  <r>
    <s v="S-f9df40"/>
    <s v="A-956988"/>
    <d v="2024-12-05T00:00:00"/>
    <m/>
    <x v="2"/>
    <n v="70"/>
    <n v="1330"/>
    <n v="15960"/>
    <x v="0"/>
    <b v="0"/>
    <b v="0"/>
    <b v="0"/>
    <x v="1"/>
    <b v="1"/>
  </r>
  <r>
    <s v="S-f366b3"/>
    <s v="A-ac85cd"/>
    <d v="2024-12-26T00:00:00"/>
    <m/>
    <x v="1"/>
    <n v="85"/>
    <n v="4165"/>
    <n v="49980"/>
    <x v="0"/>
    <b v="0"/>
    <b v="0"/>
    <b v="0"/>
    <x v="1"/>
    <b v="1"/>
  </r>
  <r>
    <s v="S-c38acd"/>
    <s v="A-726cfa"/>
    <d v="2024-11-24T00:00:00"/>
    <m/>
    <x v="0"/>
    <n v="31"/>
    <n v="6169"/>
    <n v="74028"/>
    <x v="0"/>
    <b v="0"/>
    <b v="0"/>
    <b v="0"/>
    <x v="0"/>
    <b v="1"/>
  </r>
  <r>
    <s v="S-0d93fe"/>
    <s v="A-993085"/>
    <d v="2023-08-09T00:00:00"/>
    <m/>
    <x v="2"/>
    <n v="31"/>
    <n v="589"/>
    <n v="7068"/>
    <x v="0"/>
    <b v="0"/>
    <b v="0"/>
    <b v="0"/>
    <x v="0"/>
    <b v="1"/>
  </r>
  <r>
    <s v="S-8d8dd0"/>
    <s v="A-902ef7"/>
    <d v="2024-09-30T00:00:00"/>
    <m/>
    <x v="0"/>
    <n v="83"/>
    <n v="16517"/>
    <n v="198204"/>
    <x v="0"/>
    <b v="1"/>
    <b v="0"/>
    <b v="0"/>
    <x v="0"/>
    <b v="1"/>
  </r>
  <r>
    <s v="S-9395a2"/>
    <s v="A-0e966d"/>
    <d v="2024-09-05T00:00:00"/>
    <m/>
    <x v="2"/>
    <n v="11"/>
    <n v="209"/>
    <n v="2508"/>
    <x v="0"/>
    <b v="0"/>
    <b v="0"/>
    <b v="0"/>
    <x v="0"/>
    <b v="1"/>
  </r>
  <r>
    <s v="S-b1c57d"/>
    <s v="A-712533"/>
    <d v="2023-11-09T00:00:00"/>
    <m/>
    <x v="2"/>
    <n v="18"/>
    <n v="342"/>
    <n v="4104"/>
    <x v="0"/>
    <b v="0"/>
    <b v="0"/>
    <b v="0"/>
    <x v="1"/>
    <b v="1"/>
  </r>
  <r>
    <s v="S-f039f9"/>
    <s v="A-7a0d69"/>
    <d v="2024-12-10T00:00:00"/>
    <m/>
    <x v="0"/>
    <n v="16"/>
    <n v="3184"/>
    <n v="38208"/>
    <x v="0"/>
    <b v="0"/>
    <b v="0"/>
    <b v="0"/>
    <x v="0"/>
    <b v="1"/>
  </r>
  <r>
    <s v="S-76b43f"/>
    <s v="A-b48f73"/>
    <d v="2024-12-26T00:00:00"/>
    <m/>
    <x v="2"/>
    <n v="80"/>
    <n v="1520"/>
    <n v="18240"/>
    <x v="0"/>
    <b v="0"/>
    <b v="0"/>
    <b v="0"/>
    <x v="0"/>
    <b v="1"/>
  </r>
  <r>
    <s v="S-27552b"/>
    <s v="A-1d5444"/>
    <d v="2024-07-17T00:00:00"/>
    <m/>
    <x v="1"/>
    <n v="24"/>
    <n v="1176"/>
    <n v="14112"/>
    <x v="0"/>
    <b v="0"/>
    <b v="0"/>
    <b v="0"/>
    <x v="1"/>
    <b v="1"/>
  </r>
  <r>
    <s v="S-5bf2e5"/>
    <s v="A-484819"/>
    <d v="2024-07-31T00:00:00"/>
    <m/>
    <x v="2"/>
    <n v="22"/>
    <n v="418"/>
    <n v="5016"/>
    <x v="0"/>
    <b v="0"/>
    <b v="0"/>
    <b v="0"/>
    <x v="1"/>
    <b v="1"/>
  </r>
  <r>
    <s v="S-0c56e1"/>
    <s v="A-6f8ad2"/>
    <d v="2024-09-27T00:00:00"/>
    <m/>
    <x v="2"/>
    <n v="29"/>
    <n v="551"/>
    <n v="6612"/>
    <x v="0"/>
    <b v="0"/>
    <b v="0"/>
    <b v="0"/>
    <x v="1"/>
    <b v="0"/>
  </r>
  <r>
    <s v="S-47985c"/>
    <s v="A-1b707d"/>
    <d v="2024-12-27T00:00:00"/>
    <m/>
    <x v="2"/>
    <n v="2"/>
    <n v="0"/>
    <n v="0"/>
    <x v="1"/>
    <b v="0"/>
    <b v="0"/>
    <b v="0"/>
    <x v="1"/>
    <b v="0"/>
  </r>
  <r>
    <s v="S-43b137"/>
    <s v="A-756192"/>
    <d v="2024-06-14T00:00:00"/>
    <m/>
    <x v="0"/>
    <n v="39"/>
    <n v="7761"/>
    <n v="93132"/>
    <x v="0"/>
    <b v="0"/>
    <b v="0"/>
    <b v="0"/>
    <x v="1"/>
    <b v="1"/>
  </r>
  <r>
    <s v="S-8d2824"/>
    <s v="A-417d2f"/>
    <d v="2023-08-14T00:00:00"/>
    <m/>
    <x v="2"/>
    <n v="37"/>
    <n v="703"/>
    <n v="8436"/>
    <x v="0"/>
    <b v="0"/>
    <b v="0"/>
    <b v="0"/>
    <x v="1"/>
    <b v="0"/>
  </r>
  <r>
    <s v="S-2186ea"/>
    <s v="A-dbc825"/>
    <d v="2024-03-06T00:00:00"/>
    <m/>
    <x v="1"/>
    <n v="19"/>
    <n v="931"/>
    <n v="11172"/>
    <x v="0"/>
    <b v="0"/>
    <b v="0"/>
    <b v="0"/>
    <x v="1"/>
    <b v="1"/>
  </r>
  <r>
    <s v="S-2f8d64"/>
    <s v="A-ab438f"/>
    <d v="2024-11-28T00:00:00"/>
    <m/>
    <x v="0"/>
    <n v="13"/>
    <n v="2587"/>
    <n v="31044"/>
    <x v="0"/>
    <b v="0"/>
    <b v="0"/>
    <b v="0"/>
    <x v="1"/>
    <b v="0"/>
  </r>
  <r>
    <s v="S-7501c9"/>
    <s v="A-94c3cd"/>
    <d v="2024-11-23T00:00:00"/>
    <m/>
    <x v="1"/>
    <n v="32"/>
    <n v="0"/>
    <n v="0"/>
    <x v="1"/>
    <b v="0"/>
    <b v="0"/>
    <b v="0"/>
    <x v="0"/>
    <b v="1"/>
  </r>
  <r>
    <s v="S-718bf5"/>
    <s v="A-5a3eb9"/>
    <d v="2024-03-15T00:00:00"/>
    <m/>
    <x v="1"/>
    <n v="18"/>
    <n v="882"/>
    <n v="10584"/>
    <x v="0"/>
    <b v="0"/>
    <b v="0"/>
    <b v="0"/>
    <x v="1"/>
    <b v="1"/>
  </r>
  <r>
    <s v="S-96e431"/>
    <s v="A-8b25f2"/>
    <d v="2024-03-23T00:00:00"/>
    <m/>
    <x v="1"/>
    <n v="6"/>
    <n v="294"/>
    <n v="3528"/>
    <x v="0"/>
    <b v="0"/>
    <b v="0"/>
    <b v="0"/>
    <x v="1"/>
    <b v="1"/>
  </r>
  <r>
    <s v="S-084f4a"/>
    <s v="A-faa28c"/>
    <d v="2024-02-05T00:00:00"/>
    <d v="2024-10-13T00:00:00"/>
    <x v="0"/>
    <n v="48"/>
    <n v="9552"/>
    <n v="114624"/>
    <x v="0"/>
    <b v="0"/>
    <b v="0"/>
    <b v="1"/>
    <x v="0"/>
    <b v="0"/>
  </r>
  <r>
    <s v="S-fc8f09"/>
    <s v="A-68f37c"/>
    <d v="2024-10-05T00:00:00"/>
    <m/>
    <x v="0"/>
    <n v="4"/>
    <n v="796"/>
    <n v="9552"/>
    <x v="0"/>
    <b v="1"/>
    <b v="0"/>
    <b v="0"/>
    <x v="0"/>
    <b v="1"/>
  </r>
  <r>
    <s v="S-5abbac"/>
    <s v="A-94d3da"/>
    <d v="2023-09-26T00:00:00"/>
    <m/>
    <x v="1"/>
    <n v="41"/>
    <n v="0"/>
    <n v="0"/>
    <x v="1"/>
    <b v="0"/>
    <b v="0"/>
    <b v="0"/>
    <x v="1"/>
    <b v="1"/>
  </r>
  <r>
    <s v="S-5aff5f"/>
    <s v="A-d82ef9"/>
    <d v="2024-11-30T00:00:00"/>
    <m/>
    <x v="2"/>
    <n v="26"/>
    <n v="494"/>
    <n v="5928"/>
    <x v="0"/>
    <b v="0"/>
    <b v="0"/>
    <b v="0"/>
    <x v="0"/>
    <b v="1"/>
  </r>
  <r>
    <s v="S-43cd30"/>
    <s v="A-8145a0"/>
    <d v="2024-05-01T00:00:00"/>
    <m/>
    <x v="2"/>
    <n v="37"/>
    <n v="0"/>
    <n v="0"/>
    <x v="1"/>
    <b v="1"/>
    <b v="0"/>
    <b v="0"/>
    <x v="1"/>
    <b v="0"/>
  </r>
  <r>
    <s v="S-339fce"/>
    <s v="A-e888d1"/>
    <d v="2024-11-26T00:00:00"/>
    <m/>
    <x v="1"/>
    <n v="14"/>
    <n v="686"/>
    <n v="8232"/>
    <x v="0"/>
    <b v="0"/>
    <b v="0"/>
    <b v="0"/>
    <x v="0"/>
    <b v="1"/>
  </r>
  <r>
    <s v="S-9dcfb5"/>
    <s v="A-7d514c"/>
    <d v="2024-09-07T00:00:00"/>
    <m/>
    <x v="0"/>
    <n v="17"/>
    <n v="3383"/>
    <n v="40596"/>
    <x v="0"/>
    <b v="0"/>
    <b v="0"/>
    <b v="0"/>
    <x v="1"/>
    <b v="1"/>
  </r>
  <r>
    <s v="S-2fd650"/>
    <s v="A-019782"/>
    <d v="2024-12-04T00:00:00"/>
    <m/>
    <x v="0"/>
    <n v="15"/>
    <n v="0"/>
    <n v="0"/>
    <x v="1"/>
    <b v="0"/>
    <b v="0"/>
    <b v="0"/>
    <x v="1"/>
    <b v="0"/>
  </r>
  <r>
    <s v="S-50a388"/>
    <s v="A-089363"/>
    <d v="2024-06-18T00:00:00"/>
    <m/>
    <x v="1"/>
    <n v="34"/>
    <n v="0"/>
    <n v="0"/>
    <x v="1"/>
    <b v="1"/>
    <b v="0"/>
    <b v="0"/>
    <x v="1"/>
    <b v="1"/>
  </r>
  <r>
    <s v="S-1fd72a"/>
    <s v="A-09316c"/>
    <d v="2024-11-27T00:00:00"/>
    <m/>
    <x v="1"/>
    <n v="70"/>
    <n v="3430"/>
    <n v="41160"/>
    <x v="0"/>
    <b v="0"/>
    <b v="0"/>
    <b v="0"/>
    <x v="1"/>
    <b v="1"/>
  </r>
  <r>
    <s v="S-40cbc0"/>
    <s v="A-474ad4"/>
    <d v="2024-04-18T00:00:00"/>
    <m/>
    <x v="2"/>
    <n v="8"/>
    <n v="152"/>
    <n v="1824"/>
    <x v="0"/>
    <b v="0"/>
    <b v="0"/>
    <b v="0"/>
    <x v="1"/>
    <b v="1"/>
  </r>
  <r>
    <s v="S-0b831e"/>
    <s v="A-4c38bc"/>
    <d v="2024-05-10T00:00:00"/>
    <m/>
    <x v="1"/>
    <n v="36"/>
    <n v="1764"/>
    <n v="21168"/>
    <x v="0"/>
    <b v="0"/>
    <b v="0"/>
    <b v="0"/>
    <x v="1"/>
    <b v="1"/>
  </r>
  <r>
    <s v="S-b5035b"/>
    <s v="A-7c4956"/>
    <d v="2023-12-28T00:00:00"/>
    <m/>
    <x v="0"/>
    <n v="5"/>
    <n v="995"/>
    <n v="11940"/>
    <x v="0"/>
    <b v="0"/>
    <b v="0"/>
    <b v="0"/>
    <x v="0"/>
    <b v="1"/>
  </r>
  <r>
    <s v="S-1ac1b4"/>
    <s v="A-ac14bb"/>
    <d v="2023-10-28T00:00:00"/>
    <m/>
    <x v="0"/>
    <n v="21"/>
    <n v="4179"/>
    <n v="50148"/>
    <x v="0"/>
    <b v="0"/>
    <b v="0"/>
    <b v="0"/>
    <x v="0"/>
    <b v="1"/>
  </r>
  <r>
    <s v="S-86e226"/>
    <s v="A-58b9ff"/>
    <d v="2024-06-17T00:00:00"/>
    <m/>
    <x v="1"/>
    <n v="25"/>
    <n v="0"/>
    <n v="0"/>
    <x v="1"/>
    <b v="0"/>
    <b v="0"/>
    <b v="0"/>
    <x v="0"/>
    <b v="0"/>
  </r>
  <r>
    <s v="S-e60ba0"/>
    <s v="A-d26ab4"/>
    <d v="2024-11-18T00:00:00"/>
    <m/>
    <x v="1"/>
    <n v="62"/>
    <n v="0"/>
    <n v="0"/>
    <x v="1"/>
    <b v="0"/>
    <b v="0"/>
    <b v="0"/>
    <x v="1"/>
    <b v="0"/>
  </r>
  <r>
    <s v="S-377ced"/>
    <s v="A-432483"/>
    <d v="2023-12-13T00:00:00"/>
    <m/>
    <x v="0"/>
    <n v="60"/>
    <n v="11940"/>
    <n v="143280"/>
    <x v="0"/>
    <b v="0"/>
    <b v="0"/>
    <b v="0"/>
    <x v="0"/>
    <b v="0"/>
  </r>
  <r>
    <s v="S-72cf21"/>
    <s v="A-855a48"/>
    <d v="2024-01-30T00:00:00"/>
    <m/>
    <x v="0"/>
    <n v="40"/>
    <n v="7960"/>
    <n v="95520"/>
    <x v="0"/>
    <b v="0"/>
    <b v="1"/>
    <b v="0"/>
    <x v="1"/>
    <b v="0"/>
  </r>
  <r>
    <s v="S-d114e2"/>
    <s v="A-016043"/>
    <d v="2024-11-27T00:00:00"/>
    <m/>
    <x v="2"/>
    <n v="11"/>
    <n v="209"/>
    <n v="2508"/>
    <x v="0"/>
    <b v="0"/>
    <b v="0"/>
    <b v="0"/>
    <x v="1"/>
    <b v="0"/>
  </r>
  <r>
    <s v="S-5521a1"/>
    <s v="A-b7b7b7"/>
    <d v="2024-11-04T00:00:00"/>
    <m/>
    <x v="1"/>
    <n v="45"/>
    <n v="2205"/>
    <n v="26460"/>
    <x v="0"/>
    <b v="0"/>
    <b v="0"/>
    <b v="0"/>
    <x v="1"/>
    <b v="1"/>
  </r>
  <r>
    <s v="S-206227"/>
    <s v="A-4e960a"/>
    <d v="2024-07-10T00:00:00"/>
    <m/>
    <x v="0"/>
    <n v="12"/>
    <n v="2388"/>
    <n v="28656"/>
    <x v="0"/>
    <b v="0"/>
    <b v="1"/>
    <b v="0"/>
    <x v="0"/>
    <b v="1"/>
  </r>
  <r>
    <s v="S-eac553"/>
    <s v="A-ac9111"/>
    <d v="2024-09-06T00:00:00"/>
    <m/>
    <x v="2"/>
    <n v="28"/>
    <n v="532"/>
    <n v="6384"/>
    <x v="0"/>
    <b v="0"/>
    <b v="0"/>
    <b v="0"/>
    <x v="1"/>
    <b v="1"/>
  </r>
  <r>
    <s v="S-26191b"/>
    <s v="A-cbbe12"/>
    <d v="2023-07-21T00:00:00"/>
    <d v="2024-10-23T00:00:00"/>
    <x v="1"/>
    <n v="40"/>
    <n v="0"/>
    <n v="0"/>
    <x v="1"/>
    <b v="0"/>
    <b v="0"/>
    <b v="1"/>
    <x v="1"/>
    <b v="1"/>
  </r>
  <r>
    <s v="S-8c8315"/>
    <s v="A-34ea2f"/>
    <d v="2024-11-19T00:00:00"/>
    <m/>
    <x v="1"/>
    <n v="8"/>
    <n v="0"/>
    <n v="0"/>
    <x v="1"/>
    <b v="1"/>
    <b v="0"/>
    <b v="0"/>
    <x v="1"/>
    <b v="1"/>
  </r>
  <r>
    <s v="S-7af0d5"/>
    <s v="A-c4ea60"/>
    <d v="2023-04-11T00:00:00"/>
    <m/>
    <x v="2"/>
    <n v="48"/>
    <n v="912"/>
    <n v="10944"/>
    <x v="0"/>
    <b v="0"/>
    <b v="1"/>
    <b v="0"/>
    <x v="1"/>
    <b v="0"/>
  </r>
  <r>
    <s v="S-b45a45"/>
    <s v="A-bcbe98"/>
    <d v="2024-09-09T00:00:00"/>
    <m/>
    <x v="1"/>
    <n v="46"/>
    <n v="2254"/>
    <n v="27048"/>
    <x v="0"/>
    <b v="0"/>
    <b v="0"/>
    <b v="0"/>
    <x v="1"/>
    <b v="1"/>
  </r>
  <r>
    <s v="S-639d60"/>
    <s v="A-84ebe4"/>
    <d v="2024-01-25T00:00:00"/>
    <m/>
    <x v="0"/>
    <n v="18"/>
    <n v="0"/>
    <n v="0"/>
    <x v="1"/>
    <b v="0"/>
    <b v="0"/>
    <b v="0"/>
    <x v="1"/>
    <b v="1"/>
  </r>
  <r>
    <s v="S-aaeb34"/>
    <s v="A-90a8c8"/>
    <d v="2024-09-21T00:00:00"/>
    <m/>
    <x v="0"/>
    <n v="28"/>
    <n v="5572"/>
    <n v="66864"/>
    <x v="0"/>
    <b v="1"/>
    <b v="0"/>
    <b v="0"/>
    <x v="1"/>
    <b v="0"/>
  </r>
  <r>
    <s v="S-bef342"/>
    <s v="A-4814a3"/>
    <d v="2024-11-26T00:00:00"/>
    <m/>
    <x v="0"/>
    <n v="87"/>
    <n v="17313"/>
    <n v="207756"/>
    <x v="0"/>
    <b v="0"/>
    <b v="0"/>
    <b v="0"/>
    <x v="1"/>
    <b v="1"/>
  </r>
  <r>
    <s v="S-162d54"/>
    <s v="A-922109"/>
    <d v="2024-11-08T00:00:00"/>
    <m/>
    <x v="2"/>
    <n v="11"/>
    <n v="209"/>
    <n v="2508"/>
    <x v="0"/>
    <b v="0"/>
    <b v="0"/>
    <b v="0"/>
    <x v="0"/>
    <b v="1"/>
  </r>
  <r>
    <s v="S-cf44af"/>
    <s v="A-3be56b"/>
    <d v="2024-03-08T00:00:00"/>
    <m/>
    <x v="1"/>
    <n v="17"/>
    <n v="833"/>
    <n v="9996"/>
    <x v="0"/>
    <b v="0"/>
    <b v="0"/>
    <b v="0"/>
    <x v="1"/>
    <b v="1"/>
  </r>
  <r>
    <s v="S-2c3d7d"/>
    <s v="A-c62e55"/>
    <d v="2024-12-31T00:00:00"/>
    <m/>
    <x v="1"/>
    <n v="14"/>
    <n v="686"/>
    <n v="8232"/>
    <x v="0"/>
    <b v="0"/>
    <b v="0"/>
    <b v="0"/>
    <x v="1"/>
    <b v="1"/>
  </r>
  <r>
    <s v="S-92795b"/>
    <s v="A-e36807"/>
    <d v="2024-06-01T00:00:00"/>
    <m/>
    <x v="2"/>
    <n v="81"/>
    <n v="1539"/>
    <n v="18468"/>
    <x v="0"/>
    <b v="0"/>
    <b v="0"/>
    <b v="0"/>
    <x v="0"/>
    <b v="0"/>
  </r>
  <r>
    <s v="S-9cb1f7"/>
    <s v="A-118d55"/>
    <d v="2024-12-07T00:00:00"/>
    <m/>
    <x v="1"/>
    <n v="17"/>
    <n v="833"/>
    <n v="9996"/>
    <x v="0"/>
    <b v="0"/>
    <b v="1"/>
    <b v="0"/>
    <x v="0"/>
    <b v="1"/>
  </r>
  <r>
    <s v="S-ee994a"/>
    <s v="A-49b828"/>
    <d v="2024-04-18T00:00:00"/>
    <m/>
    <x v="1"/>
    <n v="25"/>
    <n v="1225"/>
    <n v="14700"/>
    <x v="0"/>
    <b v="0"/>
    <b v="0"/>
    <b v="0"/>
    <x v="0"/>
    <b v="1"/>
  </r>
  <r>
    <s v="S-97df3f"/>
    <s v="A-9123ac"/>
    <d v="2024-06-07T00:00:00"/>
    <m/>
    <x v="1"/>
    <n v="9"/>
    <n v="441"/>
    <n v="5292"/>
    <x v="0"/>
    <b v="0"/>
    <b v="0"/>
    <b v="0"/>
    <x v="1"/>
    <b v="1"/>
  </r>
  <r>
    <s v="S-c2b710"/>
    <s v="A-88c6ca"/>
    <d v="2024-11-01T00:00:00"/>
    <m/>
    <x v="0"/>
    <n v="5"/>
    <n v="995"/>
    <n v="11940"/>
    <x v="0"/>
    <b v="0"/>
    <b v="0"/>
    <b v="0"/>
    <x v="0"/>
    <b v="1"/>
  </r>
  <r>
    <s v="S-e768f5"/>
    <s v="A-1ac5e0"/>
    <d v="2024-11-19T00:00:00"/>
    <m/>
    <x v="0"/>
    <n v="33"/>
    <n v="6567"/>
    <n v="78804"/>
    <x v="0"/>
    <b v="0"/>
    <b v="0"/>
    <b v="0"/>
    <x v="1"/>
    <b v="1"/>
  </r>
  <r>
    <s v="S-6aa20b"/>
    <s v="A-a6d261"/>
    <d v="2024-01-11T00:00:00"/>
    <m/>
    <x v="0"/>
    <n v="9"/>
    <n v="0"/>
    <n v="0"/>
    <x v="1"/>
    <b v="0"/>
    <b v="0"/>
    <b v="0"/>
    <x v="0"/>
    <b v="1"/>
  </r>
  <r>
    <s v="S-feea3a"/>
    <s v="A-82d8a6"/>
    <d v="2024-12-17T00:00:00"/>
    <d v="2024-12-22T00:00:00"/>
    <x v="2"/>
    <n v="5"/>
    <n v="95"/>
    <n v="1140"/>
    <x v="0"/>
    <b v="0"/>
    <b v="1"/>
    <b v="1"/>
    <x v="0"/>
    <b v="1"/>
  </r>
  <r>
    <s v="S-f86bcf"/>
    <s v="A-592832"/>
    <d v="2024-12-02T00:00:00"/>
    <d v="2024-12-03T00:00:00"/>
    <x v="1"/>
    <n v="44"/>
    <n v="2156"/>
    <n v="25872"/>
    <x v="0"/>
    <b v="0"/>
    <b v="0"/>
    <b v="1"/>
    <x v="1"/>
    <b v="0"/>
  </r>
  <r>
    <s v="S-6608d9"/>
    <s v="A-c9bb3e"/>
    <d v="2024-10-26T00:00:00"/>
    <m/>
    <x v="0"/>
    <n v="18"/>
    <n v="3582"/>
    <n v="42984"/>
    <x v="0"/>
    <b v="0"/>
    <b v="0"/>
    <b v="0"/>
    <x v="1"/>
    <b v="1"/>
  </r>
  <r>
    <s v="S-f5efe4"/>
    <s v="A-313be3"/>
    <d v="2023-11-25T00:00:00"/>
    <m/>
    <x v="0"/>
    <n v="47"/>
    <n v="0"/>
    <n v="0"/>
    <x v="1"/>
    <b v="0"/>
    <b v="0"/>
    <b v="0"/>
    <x v="1"/>
    <b v="1"/>
  </r>
  <r>
    <s v="S-32b223"/>
    <s v="A-2edab2"/>
    <d v="2023-11-28T00:00:00"/>
    <m/>
    <x v="1"/>
    <n v="17"/>
    <n v="833"/>
    <n v="9996"/>
    <x v="0"/>
    <b v="0"/>
    <b v="0"/>
    <b v="0"/>
    <x v="1"/>
    <b v="1"/>
  </r>
  <r>
    <s v="S-155e15"/>
    <s v="A-b07b56"/>
    <d v="2024-12-02T00:00:00"/>
    <m/>
    <x v="1"/>
    <n v="30"/>
    <n v="1470"/>
    <n v="17640"/>
    <x v="0"/>
    <b v="0"/>
    <b v="0"/>
    <b v="0"/>
    <x v="0"/>
    <b v="1"/>
  </r>
  <r>
    <s v="S-a6010b"/>
    <s v="A-5a92e7"/>
    <d v="2024-10-14T00:00:00"/>
    <m/>
    <x v="2"/>
    <n v="6"/>
    <n v="0"/>
    <n v="0"/>
    <x v="1"/>
    <b v="0"/>
    <b v="0"/>
    <b v="0"/>
    <x v="0"/>
    <b v="1"/>
  </r>
  <r>
    <s v="S-e60306"/>
    <s v="A-f45426"/>
    <d v="2024-12-10T00:00:00"/>
    <m/>
    <x v="0"/>
    <n v="46"/>
    <n v="9154"/>
    <n v="109848"/>
    <x v="0"/>
    <b v="0"/>
    <b v="0"/>
    <b v="0"/>
    <x v="1"/>
    <b v="1"/>
  </r>
  <r>
    <s v="S-6bde88"/>
    <s v="A-157070"/>
    <d v="2024-09-18T00:00:00"/>
    <m/>
    <x v="1"/>
    <n v="49"/>
    <n v="0"/>
    <n v="0"/>
    <x v="1"/>
    <b v="0"/>
    <b v="0"/>
    <b v="0"/>
    <x v="1"/>
    <b v="1"/>
  </r>
  <r>
    <s v="S-6ca5ab"/>
    <s v="A-55f257"/>
    <d v="2024-07-31T00:00:00"/>
    <m/>
    <x v="2"/>
    <n v="14"/>
    <n v="0"/>
    <n v="0"/>
    <x v="1"/>
    <b v="0"/>
    <b v="0"/>
    <b v="0"/>
    <x v="1"/>
    <b v="1"/>
  </r>
  <r>
    <s v="S-eafea7"/>
    <s v="A-cbd1a3"/>
    <d v="2024-11-29T00:00:00"/>
    <m/>
    <x v="0"/>
    <n v="28"/>
    <n v="5572"/>
    <n v="66864"/>
    <x v="0"/>
    <b v="0"/>
    <b v="0"/>
    <b v="0"/>
    <x v="0"/>
    <b v="1"/>
  </r>
  <r>
    <s v="S-55db9e"/>
    <s v="A-8ae05d"/>
    <d v="2024-08-19T00:00:00"/>
    <m/>
    <x v="2"/>
    <n v="86"/>
    <n v="1634"/>
    <n v="19608"/>
    <x v="0"/>
    <b v="0"/>
    <b v="0"/>
    <b v="0"/>
    <x v="1"/>
    <b v="0"/>
  </r>
  <r>
    <s v="S-be079b"/>
    <s v="A-6da850"/>
    <d v="2024-04-29T00:00:00"/>
    <m/>
    <x v="2"/>
    <n v="5"/>
    <n v="0"/>
    <n v="0"/>
    <x v="1"/>
    <b v="0"/>
    <b v="1"/>
    <b v="0"/>
    <x v="0"/>
    <b v="0"/>
  </r>
  <r>
    <s v="S-bd5207"/>
    <s v="A-7cfe77"/>
    <d v="2024-12-05T00:00:00"/>
    <m/>
    <x v="2"/>
    <n v="69"/>
    <n v="1311"/>
    <n v="15732"/>
    <x v="0"/>
    <b v="0"/>
    <b v="0"/>
    <b v="0"/>
    <x v="1"/>
    <b v="1"/>
  </r>
  <r>
    <s v="S-f74bdd"/>
    <s v="A-c16101"/>
    <d v="2024-09-14T00:00:00"/>
    <m/>
    <x v="0"/>
    <n v="14"/>
    <n v="2786"/>
    <n v="33432"/>
    <x v="0"/>
    <b v="0"/>
    <b v="0"/>
    <b v="0"/>
    <x v="1"/>
    <b v="1"/>
  </r>
  <r>
    <s v="S-b3071c"/>
    <s v="A-cab532"/>
    <d v="2023-11-03T00:00:00"/>
    <d v="2024-12-14T00:00:00"/>
    <x v="1"/>
    <n v="31"/>
    <n v="1519"/>
    <n v="18228"/>
    <x v="0"/>
    <b v="0"/>
    <b v="0"/>
    <b v="1"/>
    <x v="0"/>
    <b v="1"/>
  </r>
  <r>
    <s v="S-ed1026"/>
    <s v="A-9a532a"/>
    <d v="2024-09-21T00:00:00"/>
    <m/>
    <x v="0"/>
    <n v="11"/>
    <n v="2189"/>
    <n v="26268"/>
    <x v="0"/>
    <b v="0"/>
    <b v="0"/>
    <b v="0"/>
    <x v="1"/>
    <b v="1"/>
  </r>
  <r>
    <s v="S-8cfa7f"/>
    <s v="A-d922bf"/>
    <d v="2024-08-12T00:00:00"/>
    <m/>
    <x v="0"/>
    <n v="15"/>
    <n v="0"/>
    <n v="0"/>
    <x v="1"/>
    <b v="0"/>
    <b v="0"/>
    <b v="0"/>
    <x v="1"/>
    <b v="1"/>
  </r>
  <r>
    <s v="S-2dbf11"/>
    <s v="A-e888d1"/>
    <d v="2024-05-25T00:00:00"/>
    <m/>
    <x v="1"/>
    <n v="14"/>
    <n v="686"/>
    <n v="8232"/>
    <x v="0"/>
    <b v="0"/>
    <b v="0"/>
    <b v="0"/>
    <x v="1"/>
    <b v="1"/>
  </r>
  <r>
    <s v="S-4311fb"/>
    <s v="A-2b9d3e"/>
    <d v="2024-11-12T00:00:00"/>
    <m/>
    <x v="1"/>
    <n v="14"/>
    <n v="686"/>
    <n v="8232"/>
    <x v="0"/>
    <b v="0"/>
    <b v="0"/>
    <b v="0"/>
    <x v="0"/>
    <b v="1"/>
  </r>
  <r>
    <s v="S-5d729e"/>
    <s v="A-4a267b"/>
    <d v="2024-05-09T00:00:00"/>
    <m/>
    <x v="0"/>
    <n v="29"/>
    <n v="5771"/>
    <n v="69252"/>
    <x v="0"/>
    <b v="0"/>
    <b v="0"/>
    <b v="0"/>
    <x v="0"/>
    <b v="1"/>
  </r>
  <r>
    <s v="S-50e517"/>
    <s v="A-e7a1e2"/>
    <d v="2024-10-28T00:00:00"/>
    <m/>
    <x v="2"/>
    <n v="12"/>
    <n v="228"/>
    <n v="2736"/>
    <x v="0"/>
    <b v="0"/>
    <b v="0"/>
    <b v="0"/>
    <x v="1"/>
    <b v="1"/>
  </r>
  <r>
    <s v="S-814624"/>
    <s v="A-671f31"/>
    <d v="2024-12-28T00:00:00"/>
    <m/>
    <x v="0"/>
    <n v="82"/>
    <n v="0"/>
    <n v="0"/>
    <x v="1"/>
    <b v="0"/>
    <b v="1"/>
    <b v="0"/>
    <x v="1"/>
    <b v="1"/>
  </r>
  <r>
    <s v="S-f2d47e"/>
    <s v="A-6dee43"/>
    <d v="2024-05-27T00:00:00"/>
    <m/>
    <x v="0"/>
    <n v="54"/>
    <n v="0"/>
    <n v="0"/>
    <x v="1"/>
    <b v="0"/>
    <b v="0"/>
    <b v="0"/>
    <x v="0"/>
    <b v="1"/>
  </r>
  <r>
    <s v="S-a405f7"/>
    <s v="A-0b0d6d"/>
    <d v="2024-12-30T00:00:00"/>
    <m/>
    <x v="1"/>
    <n v="22"/>
    <n v="1078"/>
    <n v="12936"/>
    <x v="0"/>
    <b v="0"/>
    <b v="0"/>
    <b v="0"/>
    <x v="1"/>
    <b v="1"/>
  </r>
  <r>
    <s v="S-0c46bb"/>
    <s v="A-c45b23"/>
    <d v="2024-04-09T00:00:00"/>
    <m/>
    <x v="2"/>
    <n v="12"/>
    <n v="228"/>
    <n v="2736"/>
    <x v="0"/>
    <b v="0"/>
    <b v="0"/>
    <b v="0"/>
    <x v="1"/>
    <b v="1"/>
  </r>
  <r>
    <s v="S-8b486a"/>
    <s v="A-59f724"/>
    <d v="2024-06-12T00:00:00"/>
    <m/>
    <x v="1"/>
    <n v="77"/>
    <n v="0"/>
    <n v="0"/>
    <x v="1"/>
    <b v="0"/>
    <b v="0"/>
    <b v="0"/>
    <x v="1"/>
    <b v="0"/>
  </r>
  <r>
    <s v="S-ddb09e"/>
    <s v="A-cc1d8d"/>
    <d v="2024-12-10T00:00:00"/>
    <m/>
    <x v="0"/>
    <n v="8"/>
    <n v="1592"/>
    <n v="19104"/>
    <x v="0"/>
    <b v="0"/>
    <b v="0"/>
    <b v="0"/>
    <x v="0"/>
    <b v="0"/>
  </r>
  <r>
    <s v="S-561e21"/>
    <s v="A-87aa7b"/>
    <d v="2024-08-29T00:00:00"/>
    <m/>
    <x v="1"/>
    <n v="24"/>
    <n v="0"/>
    <n v="0"/>
    <x v="1"/>
    <b v="1"/>
    <b v="0"/>
    <b v="0"/>
    <x v="1"/>
    <b v="1"/>
  </r>
  <r>
    <s v="S-8b1c37"/>
    <s v="A-acb7f7"/>
    <d v="2024-03-28T00:00:00"/>
    <m/>
    <x v="1"/>
    <n v="32"/>
    <n v="0"/>
    <n v="0"/>
    <x v="1"/>
    <b v="0"/>
    <b v="0"/>
    <b v="0"/>
    <x v="0"/>
    <b v="0"/>
  </r>
  <r>
    <s v="S-fc6cb4"/>
    <s v="A-34d880"/>
    <d v="2024-08-11T00:00:00"/>
    <d v="2024-09-18T00:00:00"/>
    <x v="2"/>
    <n v="41"/>
    <n v="779"/>
    <n v="9348"/>
    <x v="0"/>
    <b v="0"/>
    <b v="0"/>
    <b v="1"/>
    <x v="0"/>
    <b v="0"/>
  </r>
  <r>
    <s v="S-13dfe7"/>
    <s v="A-956988"/>
    <d v="2024-12-15T00:00:00"/>
    <m/>
    <x v="1"/>
    <n v="2"/>
    <n v="98"/>
    <n v="1176"/>
    <x v="0"/>
    <b v="0"/>
    <b v="0"/>
    <b v="0"/>
    <x v="1"/>
    <b v="1"/>
  </r>
  <r>
    <s v="S-14d060"/>
    <s v="A-bcf664"/>
    <d v="2024-12-12T00:00:00"/>
    <m/>
    <x v="1"/>
    <n v="47"/>
    <n v="2303"/>
    <n v="27636"/>
    <x v="0"/>
    <b v="0"/>
    <b v="0"/>
    <b v="0"/>
    <x v="1"/>
    <b v="1"/>
  </r>
  <r>
    <s v="S-43f9f8"/>
    <s v="A-712f1c"/>
    <d v="2024-01-03T00:00:00"/>
    <m/>
    <x v="2"/>
    <n v="24"/>
    <n v="456"/>
    <n v="5472"/>
    <x v="0"/>
    <b v="0"/>
    <b v="0"/>
    <b v="0"/>
    <x v="0"/>
    <b v="1"/>
  </r>
  <r>
    <s v="S-8c41e8"/>
    <s v="A-c16101"/>
    <d v="2024-09-23T00:00:00"/>
    <m/>
    <x v="2"/>
    <n v="16"/>
    <n v="304"/>
    <n v="3648"/>
    <x v="0"/>
    <b v="1"/>
    <b v="0"/>
    <b v="0"/>
    <x v="1"/>
    <b v="1"/>
  </r>
  <r>
    <s v="S-0a9660"/>
    <s v="A-c7e58b"/>
    <d v="2024-04-04T00:00:00"/>
    <m/>
    <x v="0"/>
    <n v="10"/>
    <n v="1990"/>
    <n v="23880"/>
    <x v="0"/>
    <b v="0"/>
    <b v="0"/>
    <b v="0"/>
    <x v="0"/>
    <b v="1"/>
  </r>
  <r>
    <s v="S-9c85b0"/>
    <s v="A-78f02b"/>
    <d v="2024-11-19T00:00:00"/>
    <m/>
    <x v="0"/>
    <n v="11"/>
    <n v="2189"/>
    <n v="26268"/>
    <x v="0"/>
    <b v="0"/>
    <b v="0"/>
    <b v="0"/>
    <x v="1"/>
    <b v="1"/>
  </r>
  <r>
    <s v="S-f09b6c"/>
    <s v="A-0f6450"/>
    <d v="2024-12-27T00:00:00"/>
    <m/>
    <x v="2"/>
    <n v="28"/>
    <n v="532"/>
    <n v="6384"/>
    <x v="0"/>
    <b v="0"/>
    <b v="0"/>
    <b v="0"/>
    <x v="0"/>
    <b v="1"/>
  </r>
  <r>
    <s v="S-a1e688"/>
    <s v="A-2f6a32"/>
    <d v="2024-11-10T00:00:00"/>
    <m/>
    <x v="2"/>
    <n v="47"/>
    <n v="893"/>
    <n v="10716"/>
    <x v="0"/>
    <b v="0"/>
    <b v="0"/>
    <b v="0"/>
    <x v="1"/>
    <b v="1"/>
  </r>
  <r>
    <s v="S-0b62cc"/>
    <s v="A-a09355"/>
    <d v="2024-11-11T00:00:00"/>
    <m/>
    <x v="0"/>
    <n v="17"/>
    <n v="3383"/>
    <n v="40596"/>
    <x v="0"/>
    <b v="0"/>
    <b v="0"/>
    <b v="0"/>
    <x v="0"/>
    <b v="1"/>
  </r>
  <r>
    <s v="S-e41941"/>
    <s v="A-aa9511"/>
    <d v="2024-12-12T00:00:00"/>
    <m/>
    <x v="0"/>
    <n v="30"/>
    <n v="5970"/>
    <n v="71640"/>
    <x v="0"/>
    <b v="0"/>
    <b v="0"/>
    <b v="0"/>
    <x v="0"/>
    <b v="0"/>
  </r>
  <r>
    <s v="S-b7deea"/>
    <s v="A-65aeb5"/>
    <d v="2024-03-22T00:00:00"/>
    <d v="2024-12-03T00:00:00"/>
    <x v="0"/>
    <n v="63"/>
    <n v="12537"/>
    <n v="150444"/>
    <x v="0"/>
    <b v="0"/>
    <b v="0"/>
    <b v="1"/>
    <x v="0"/>
    <b v="1"/>
  </r>
  <r>
    <s v="S-b81c97"/>
    <s v="A-0b0d6d"/>
    <d v="2024-12-31T00:00:00"/>
    <m/>
    <x v="1"/>
    <n v="18"/>
    <n v="882"/>
    <n v="10584"/>
    <x v="0"/>
    <b v="0"/>
    <b v="0"/>
    <b v="0"/>
    <x v="0"/>
    <b v="1"/>
  </r>
  <r>
    <s v="S-462547"/>
    <s v="A-e2cd1b"/>
    <d v="2024-12-07T00:00:00"/>
    <m/>
    <x v="2"/>
    <n v="119"/>
    <n v="2261"/>
    <n v="27132"/>
    <x v="0"/>
    <b v="0"/>
    <b v="0"/>
    <b v="0"/>
    <x v="1"/>
    <b v="1"/>
  </r>
  <r>
    <s v="S-38ac0c"/>
    <s v="A-794a0b"/>
    <d v="2024-07-05T00:00:00"/>
    <m/>
    <x v="0"/>
    <n v="31"/>
    <n v="6169"/>
    <n v="74028"/>
    <x v="0"/>
    <b v="0"/>
    <b v="0"/>
    <b v="0"/>
    <x v="0"/>
    <b v="1"/>
  </r>
  <r>
    <s v="S-4704e5"/>
    <s v="A-6dee43"/>
    <d v="2024-03-15T00:00:00"/>
    <m/>
    <x v="2"/>
    <n v="3"/>
    <n v="57"/>
    <n v="684"/>
    <x v="0"/>
    <b v="0"/>
    <b v="0"/>
    <b v="0"/>
    <x v="0"/>
    <b v="1"/>
  </r>
  <r>
    <s v="S-8b349c"/>
    <s v="A-32728c"/>
    <d v="2023-07-01T00:00:00"/>
    <d v="2024-04-07T00:00:00"/>
    <x v="2"/>
    <n v="20"/>
    <n v="380"/>
    <n v="4560"/>
    <x v="0"/>
    <b v="0"/>
    <b v="0"/>
    <b v="1"/>
    <x v="1"/>
    <b v="1"/>
  </r>
  <r>
    <s v="S-33472f"/>
    <s v="A-f03140"/>
    <d v="2024-03-31T00:00:00"/>
    <m/>
    <x v="0"/>
    <n v="27"/>
    <n v="5373"/>
    <n v="64476"/>
    <x v="0"/>
    <b v="0"/>
    <b v="0"/>
    <b v="0"/>
    <x v="0"/>
    <b v="1"/>
  </r>
  <r>
    <s v="S-70c369"/>
    <s v="A-4bfa33"/>
    <d v="2024-12-24T00:00:00"/>
    <m/>
    <x v="1"/>
    <n v="72"/>
    <n v="3528"/>
    <n v="42336"/>
    <x v="0"/>
    <b v="0"/>
    <b v="0"/>
    <b v="0"/>
    <x v="0"/>
    <b v="1"/>
  </r>
  <r>
    <s v="S-2a6e4a"/>
    <s v="A-17939a"/>
    <d v="2024-12-30T00:00:00"/>
    <m/>
    <x v="1"/>
    <n v="31"/>
    <n v="1519"/>
    <n v="18228"/>
    <x v="0"/>
    <b v="0"/>
    <b v="0"/>
    <b v="0"/>
    <x v="1"/>
    <b v="0"/>
  </r>
  <r>
    <s v="S-091a8d"/>
    <s v="A-098560"/>
    <d v="2024-02-24T00:00:00"/>
    <m/>
    <x v="1"/>
    <n v="23"/>
    <n v="0"/>
    <n v="0"/>
    <x v="1"/>
    <b v="0"/>
    <b v="0"/>
    <b v="0"/>
    <x v="0"/>
    <b v="1"/>
  </r>
  <r>
    <s v="S-a2afb0"/>
    <s v="A-139c3b"/>
    <d v="2024-12-21T00:00:00"/>
    <m/>
    <x v="0"/>
    <n v="18"/>
    <n v="3582"/>
    <n v="42984"/>
    <x v="0"/>
    <b v="0"/>
    <b v="0"/>
    <b v="0"/>
    <x v="1"/>
    <b v="0"/>
  </r>
  <r>
    <s v="S-85022b"/>
    <s v="A-d62e02"/>
    <d v="2024-11-06T00:00:00"/>
    <m/>
    <x v="2"/>
    <n v="6"/>
    <n v="114"/>
    <n v="1368"/>
    <x v="0"/>
    <b v="1"/>
    <b v="0"/>
    <b v="0"/>
    <x v="0"/>
    <b v="1"/>
  </r>
  <r>
    <s v="S-b71b3a"/>
    <s v="A-cd458b"/>
    <d v="2024-12-21T00:00:00"/>
    <m/>
    <x v="0"/>
    <n v="47"/>
    <n v="9353"/>
    <n v="112236"/>
    <x v="0"/>
    <b v="0"/>
    <b v="0"/>
    <b v="0"/>
    <x v="0"/>
    <b v="1"/>
  </r>
  <r>
    <s v="S-cc80ee"/>
    <s v="A-034368"/>
    <d v="2024-12-12T00:00:00"/>
    <m/>
    <x v="0"/>
    <n v="23"/>
    <n v="4577"/>
    <n v="54924"/>
    <x v="0"/>
    <b v="0"/>
    <b v="0"/>
    <b v="0"/>
    <x v="0"/>
    <b v="1"/>
  </r>
  <r>
    <s v="S-2e8409"/>
    <s v="A-029f69"/>
    <d v="2024-12-14T00:00:00"/>
    <m/>
    <x v="1"/>
    <n v="10"/>
    <n v="490"/>
    <n v="5880"/>
    <x v="0"/>
    <b v="0"/>
    <b v="0"/>
    <b v="0"/>
    <x v="1"/>
    <b v="0"/>
  </r>
  <r>
    <s v="S-de9b4b"/>
    <s v="A-600734"/>
    <d v="2024-11-06T00:00:00"/>
    <m/>
    <x v="1"/>
    <n v="36"/>
    <n v="1764"/>
    <n v="21168"/>
    <x v="0"/>
    <b v="0"/>
    <b v="0"/>
    <b v="0"/>
    <x v="0"/>
    <b v="1"/>
  </r>
  <r>
    <s v="S-e5efce"/>
    <s v="A-cea1f0"/>
    <d v="2024-08-06T00:00:00"/>
    <m/>
    <x v="1"/>
    <n v="8"/>
    <n v="392"/>
    <n v="4704"/>
    <x v="0"/>
    <b v="0"/>
    <b v="0"/>
    <b v="0"/>
    <x v="1"/>
    <b v="0"/>
  </r>
  <r>
    <s v="S-d925e2"/>
    <s v="A-ce550d"/>
    <d v="2024-12-16T00:00:00"/>
    <m/>
    <x v="1"/>
    <n v="35"/>
    <n v="1715"/>
    <n v="20580"/>
    <x v="0"/>
    <b v="0"/>
    <b v="0"/>
    <b v="0"/>
    <x v="1"/>
    <b v="1"/>
  </r>
  <r>
    <s v="S-0ab4e8"/>
    <s v="A-6a4e2d"/>
    <d v="2023-12-04T00:00:00"/>
    <m/>
    <x v="1"/>
    <n v="16"/>
    <n v="784"/>
    <n v="9408"/>
    <x v="0"/>
    <b v="0"/>
    <b v="0"/>
    <b v="0"/>
    <x v="0"/>
    <b v="1"/>
  </r>
  <r>
    <s v="S-585c3b"/>
    <s v="A-cc1d8d"/>
    <d v="2024-12-13T00:00:00"/>
    <m/>
    <x v="1"/>
    <n v="6"/>
    <n v="0"/>
    <n v="0"/>
    <x v="1"/>
    <b v="0"/>
    <b v="0"/>
    <b v="0"/>
    <x v="1"/>
    <b v="1"/>
  </r>
  <r>
    <s v="S-a4fd17"/>
    <s v="A-cbbe12"/>
    <d v="2024-05-11T00:00:00"/>
    <d v="2024-07-20T00:00:00"/>
    <x v="2"/>
    <n v="40"/>
    <n v="760"/>
    <n v="9120"/>
    <x v="0"/>
    <b v="0"/>
    <b v="1"/>
    <b v="1"/>
    <x v="0"/>
    <b v="0"/>
  </r>
  <r>
    <s v="S-68b261"/>
    <s v="A-d535f6"/>
    <d v="2024-12-11T00:00:00"/>
    <m/>
    <x v="1"/>
    <n v="19"/>
    <n v="931"/>
    <n v="11172"/>
    <x v="0"/>
    <b v="1"/>
    <b v="0"/>
    <b v="0"/>
    <x v="1"/>
    <b v="1"/>
  </r>
  <r>
    <s v="S-567afa"/>
    <s v="A-c16cf7"/>
    <d v="2024-12-07T00:00:00"/>
    <m/>
    <x v="1"/>
    <n v="18"/>
    <n v="882"/>
    <n v="10584"/>
    <x v="0"/>
    <b v="0"/>
    <b v="0"/>
    <b v="0"/>
    <x v="1"/>
    <b v="1"/>
  </r>
  <r>
    <s v="S-39b850"/>
    <s v="A-297a2d"/>
    <d v="2023-08-15T00:00:00"/>
    <m/>
    <x v="2"/>
    <n v="27"/>
    <n v="0"/>
    <n v="0"/>
    <x v="1"/>
    <b v="0"/>
    <b v="0"/>
    <b v="0"/>
    <x v="1"/>
    <b v="1"/>
  </r>
  <r>
    <s v="S-2a9676"/>
    <s v="A-92a3af"/>
    <d v="2024-07-23T00:00:00"/>
    <m/>
    <x v="1"/>
    <n v="25"/>
    <n v="1225"/>
    <n v="14700"/>
    <x v="0"/>
    <b v="0"/>
    <b v="0"/>
    <b v="0"/>
    <x v="1"/>
    <b v="1"/>
  </r>
  <r>
    <s v="S-fedcd9"/>
    <s v="A-65c341"/>
    <d v="2024-10-01T00:00:00"/>
    <m/>
    <x v="0"/>
    <n v="11"/>
    <n v="2189"/>
    <n v="26268"/>
    <x v="0"/>
    <b v="0"/>
    <b v="0"/>
    <b v="0"/>
    <x v="1"/>
    <b v="1"/>
  </r>
  <r>
    <s v="S-627697"/>
    <s v="A-977ca0"/>
    <d v="2023-03-20T00:00:00"/>
    <m/>
    <x v="2"/>
    <n v="26"/>
    <n v="494"/>
    <n v="5928"/>
    <x v="0"/>
    <b v="0"/>
    <b v="0"/>
    <b v="0"/>
    <x v="0"/>
    <b v="1"/>
  </r>
  <r>
    <s v="S-65e38d"/>
    <s v="A-eb1312"/>
    <d v="2024-11-11T00:00:00"/>
    <m/>
    <x v="0"/>
    <n v="25"/>
    <n v="4975"/>
    <n v="59700"/>
    <x v="0"/>
    <b v="1"/>
    <b v="0"/>
    <b v="0"/>
    <x v="0"/>
    <b v="1"/>
  </r>
  <r>
    <s v="S-8e5fd4"/>
    <s v="A-43a9e3"/>
    <d v="2024-03-09T00:00:00"/>
    <m/>
    <x v="2"/>
    <n v="27"/>
    <n v="513"/>
    <n v="6156"/>
    <x v="0"/>
    <b v="1"/>
    <b v="0"/>
    <b v="0"/>
    <x v="1"/>
    <b v="1"/>
  </r>
  <r>
    <s v="S-cf55da"/>
    <s v="A-2f6a32"/>
    <d v="2024-09-16T00:00:00"/>
    <m/>
    <x v="2"/>
    <n v="19"/>
    <n v="0"/>
    <n v="0"/>
    <x v="1"/>
    <b v="0"/>
    <b v="0"/>
    <b v="0"/>
    <x v="0"/>
    <b v="1"/>
  </r>
  <r>
    <s v="S-e8488d"/>
    <s v="A-52dd88"/>
    <d v="2024-08-02T00:00:00"/>
    <m/>
    <x v="0"/>
    <n v="26"/>
    <n v="5174"/>
    <n v="62088"/>
    <x v="0"/>
    <b v="0"/>
    <b v="0"/>
    <b v="0"/>
    <x v="0"/>
    <b v="0"/>
  </r>
  <r>
    <s v="S-344c0d"/>
    <s v="A-87aa7b"/>
    <d v="2024-10-15T00:00:00"/>
    <m/>
    <x v="0"/>
    <n v="24"/>
    <n v="4776"/>
    <n v="57312"/>
    <x v="0"/>
    <b v="0"/>
    <b v="0"/>
    <b v="0"/>
    <x v="1"/>
    <b v="1"/>
  </r>
  <r>
    <s v="S-3f0fb6"/>
    <s v="A-016043"/>
    <d v="2024-10-20T00:00:00"/>
    <m/>
    <x v="1"/>
    <n v="27"/>
    <n v="1323"/>
    <n v="15876"/>
    <x v="0"/>
    <b v="0"/>
    <b v="0"/>
    <b v="0"/>
    <x v="1"/>
    <b v="0"/>
  </r>
  <r>
    <s v="S-cd2085"/>
    <s v="A-7c83a1"/>
    <d v="2024-11-10T00:00:00"/>
    <d v="2024-11-26T00:00:00"/>
    <x v="2"/>
    <n v="12"/>
    <n v="228"/>
    <n v="2736"/>
    <x v="0"/>
    <b v="0"/>
    <b v="1"/>
    <b v="1"/>
    <x v="0"/>
    <b v="1"/>
  </r>
  <r>
    <s v="S-91419b"/>
    <s v="A-94c3cd"/>
    <d v="2024-07-19T00:00:00"/>
    <m/>
    <x v="1"/>
    <n v="37"/>
    <n v="1813"/>
    <n v="21756"/>
    <x v="0"/>
    <b v="0"/>
    <b v="0"/>
    <b v="0"/>
    <x v="1"/>
    <b v="0"/>
  </r>
  <r>
    <s v="S-a84c82"/>
    <s v="A-186a44"/>
    <d v="2023-11-01T00:00:00"/>
    <m/>
    <x v="1"/>
    <n v="20"/>
    <n v="980"/>
    <n v="11760"/>
    <x v="0"/>
    <b v="0"/>
    <b v="0"/>
    <b v="0"/>
    <x v="1"/>
    <b v="0"/>
  </r>
  <r>
    <s v="S-c9d323"/>
    <s v="A-3a7284"/>
    <d v="2024-12-12T00:00:00"/>
    <m/>
    <x v="1"/>
    <n v="31"/>
    <n v="1519"/>
    <n v="18228"/>
    <x v="0"/>
    <b v="0"/>
    <b v="0"/>
    <b v="0"/>
    <x v="0"/>
    <b v="1"/>
  </r>
  <r>
    <s v="S-404ecd"/>
    <s v="A-592832"/>
    <d v="2024-09-27T00:00:00"/>
    <d v="2024-12-18T00:00:00"/>
    <x v="0"/>
    <n v="18"/>
    <n v="3582"/>
    <n v="42984"/>
    <x v="0"/>
    <b v="0"/>
    <b v="0"/>
    <b v="1"/>
    <x v="0"/>
    <b v="1"/>
  </r>
  <r>
    <s v="S-d224a1"/>
    <s v="A-42b791"/>
    <d v="2024-06-11T00:00:00"/>
    <m/>
    <x v="1"/>
    <n v="29"/>
    <n v="1421"/>
    <n v="17052"/>
    <x v="0"/>
    <b v="0"/>
    <b v="0"/>
    <b v="0"/>
    <x v="0"/>
    <b v="1"/>
  </r>
  <r>
    <s v="S-a7ea10"/>
    <s v="A-96e141"/>
    <d v="2024-08-05T00:00:00"/>
    <d v="2024-08-17T00:00:00"/>
    <x v="2"/>
    <n v="15"/>
    <n v="285"/>
    <n v="3420"/>
    <x v="0"/>
    <b v="0"/>
    <b v="0"/>
    <b v="1"/>
    <x v="1"/>
    <b v="1"/>
  </r>
  <r>
    <s v="S-3d1043"/>
    <s v="A-e4144b"/>
    <d v="2024-12-15T00:00:00"/>
    <m/>
    <x v="0"/>
    <n v="41"/>
    <n v="8159"/>
    <n v="97908"/>
    <x v="0"/>
    <b v="0"/>
    <b v="0"/>
    <b v="0"/>
    <x v="1"/>
    <b v="0"/>
  </r>
  <r>
    <s v="S-7c1eb7"/>
    <s v="A-02cd81"/>
    <d v="2024-05-12T00:00:00"/>
    <m/>
    <x v="1"/>
    <n v="44"/>
    <n v="2156"/>
    <n v="25872"/>
    <x v="0"/>
    <b v="0"/>
    <b v="0"/>
    <b v="0"/>
    <x v="0"/>
    <b v="1"/>
  </r>
  <r>
    <s v="S-4eb120"/>
    <s v="A-e1b9cd"/>
    <d v="2024-09-28T00:00:00"/>
    <m/>
    <x v="2"/>
    <n v="40"/>
    <n v="760"/>
    <n v="9120"/>
    <x v="0"/>
    <b v="0"/>
    <b v="0"/>
    <b v="0"/>
    <x v="0"/>
    <b v="1"/>
  </r>
  <r>
    <s v="S-b11225"/>
    <s v="A-7cfe77"/>
    <d v="2024-11-21T00:00:00"/>
    <m/>
    <x v="1"/>
    <n v="69"/>
    <n v="3381"/>
    <n v="40572"/>
    <x v="0"/>
    <b v="0"/>
    <b v="0"/>
    <b v="0"/>
    <x v="1"/>
    <b v="1"/>
  </r>
  <r>
    <s v="S-dbceba"/>
    <s v="A-3cc791"/>
    <d v="2024-12-19T00:00:00"/>
    <m/>
    <x v="1"/>
    <n v="36"/>
    <n v="1764"/>
    <n v="21168"/>
    <x v="0"/>
    <b v="0"/>
    <b v="0"/>
    <b v="0"/>
    <x v="0"/>
    <b v="1"/>
  </r>
  <r>
    <s v="S-b89305"/>
    <s v="A-0aaf6e"/>
    <d v="2024-11-09T00:00:00"/>
    <m/>
    <x v="2"/>
    <n v="4"/>
    <n v="76"/>
    <n v="912"/>
    <x v="0"/>
    <b v="0"/>
    <b v="0"/>
    <b v="0"/>
    <x v="0"/>
    <b v="1"/>
  </r>
  <r>
    <s v="S-81b6ee"/>
    <s v="A-e1b9cd"/>
    <d v="2023-11-25T00:00:00"/>
    <m/>
    <x v="1"/>
    <n v="40"/>
    <n v="1960"/>
    <n v="23520"/>
    <x v="0"/>
    <b v="0"/>
    <b v="0"/>
    <b v="0"/>
    <x v="1"/>
    <b v="0"/>
  </r>
  <r>
    <s v="S-fbbd54"/>
    <s v="A-692f18"/>
    <d v="2024-06-02T00:00:00"/>
    <m/>
    <x v="1"/>
    <n v="5"/>
    <n v="0"/>
    <n v="0"/>
    <x v="1"/>
    <b v="0"/>
    <b v="0"/>
    <b v="0"/>
    <x v="0"/>
    <b v="1"/>
  </r>
  <r>
    <s v="S-f1fa8b"/>
    <s v="A-ffc04f"/>
    <d v="2024-07-31T00:00:00"/>
    <m/>
    <x v="1"/>
    <n v="55"/>
    <n v="2695"/>
    <n v="32340"/>
    <x v="0"/>
    <b v="0"/>
    <b v="0"/>
    <b v="0"/>
    <x v="0"/>
    <b v="0"/>
  </r>
  <r>
    <s v="S-c6d8ce"/>
    <s v="A-249769"/>
    <d v="2024-06-10T00:00:00"/>
    <m/>
    <x v="1"/>
    <n v="11"/>
    <n v="539"/>
    <n v="6468"/>
    <x v="0"/>
    <b v="0"/>
    <b v="0"/>
    <b v="0"/>
    <x v="0"/>
    <b v="1"/>
  </r>
  <r>
    <s v="S-226cf3"/>
    <s v="A-956988"/>
    <d v="2024-12-18T00:00:00"/>
    <m/>
    <x v="1"/>
    <n v="42"/>
    <n v="2058"/>
    <n v="24696"/>
    <x v="0"/>
    <b v="0"/>
    <b v="1"/>
    <b v="0"/>
    <x v="0"/>
    <b v="1"/>
  </r>
  <r>
    <s v="S-9e2c78"/>
    <s v="A-e4144b"/>
    <d v="2024-12-18T00:00:00"/>
    <m/>
    <x v="2"/>
    <n v="41"/>
    <n v="0"/>
    <n v="0"/>
    <x v="1"/>
    <b v="0"/>
    <b v="0"/>
    <b v="0"/>
    <x v="1"/>
    <b v="1"/>
  </r>
  <r>
    <s v="S-61bcfb"/>
    <s v="A-4e631b"/>
    <d v="2024-11-05T00:00:00"/>
    <m/>
    <x v="2"/>
    <n v="22"/>
    <n v="418"/>
    <n v="5016"/>
    <x v="0"/>
    <b v="0"/>
    <b v="0"/>
    <b v="0"/>
    <x v="0"/>
    <b v="1"/>
  </r>
  <r>
    <s v="S-96a469"/>
    <s v="A-e693b6"/>
    <d v="2023-10-08T00:00:00"/>
    <m/>
    <x v="1"/>
    <n v="55"/>
    <n v="2695"/>
    <n v="32340"/>
    <x v="0"/>
    <b v="0"/>
    <b v="0"/>
    <b v="0"/>
    <x v="1"/>
    <b v="1"/>
  </r>
  <r>
    <s v="S-5c2991"/>
    <s v="A-94c3cd"/>
    <d v="2024-01-06T00:00:00"/>
    <m/>
    <x v="0"/>
    <n v="32"/>
    <n v="0"/>
    <n v="0"/>
    <x v="1"/>
    <b v="0"/>
    <b v="0"/>
    <b v="0"/>
    <x v="1"/>
    <b v="1"/>
  </r>
  <r>
    <s v="S-771f7b"/>
    <s v="A-5c9849"/>
    <d v="2024-11-30T00:00:00"/>
    <m/>
    <x v="0"/>
    <n v="62"/>
    <n v="12338"/>
    <n v="148056"/>
    <x v="0"/>
    <b v="0"/>
    <b v="0"/>
    <b v="0"/>
    <x v="1"/>
    <b v="1"/>
  </r>
  <r>
    <s v="S-bdd5df"/>
    <s v="A-a45270"/>
    <d v="2024-07-18T00:00:00"/>
    <m/>
    <x v="0"/>
    <n v="25"/>
    <n v="4975"/>
    <n v="59700"/>
    <x v="0"/>
    <b v="0"/>
    <b v="0"/>
    <b v="0"/>
    <x v="0"/>
    <b v="0"/>
  </r>
  <r>
    <s v="S-c46499"/>
    <s v="A-00cac8"/>
    <d v="2024-03-03T00:00:00"/>
    <m/>
    <x v="2"/>
    <n v="8"/>
    <n v="152"/>
    <n v="1824"/>
    <x v="0"/>
    <b v="0"/>
    <b v="0"/>
    <b v="0"/>
    <x v="1"/>
    <b v="1"/>
  </r>
  <r>
    <s v="S-03a5b0"/>
    <s v="A-068fc6"/>
    <d v="2024-07-13T00:00:00"/>
    <m/>
    <x v="0"/>
    <n v="35"/>
    <n v="6965"/>
    <n v="83580"/>
    <x v="0"/>
    <b v="0"/>
    <b v="0"/>
    <b v="0"/>
    <x v="0"/>
    <b v="1"/>
  </r>
  <r>
    <s v="S-973e8e"/>
    <s v="A-0a282f"/>
    <d v="2024-09-28T00:00:00"/>
    <d v="2024-12-16T00:00:00"/>
    <x v="0"/>
    <n v="6"/>
    <n v="1194"/>
    <n v="14328"/>
    <x v="0"/>
    <b v="0"/>
    <b v="0"/>
    <b v="1"/>
    <x v="1"/>
    <b v="1"/>
  </r>
  <r>
    <s v="S-8c8905"/>
    <s v="A-ba6516"/>
    <d v="2024-05-18T00:00:00"/>
    <m/>
    <x v="0"/>
    <n v="27"/>
    <n v="5373"/>
    <n v="64476"/>
    <x v="0"/>
    <b v="0"/>
    <b v="0"/>
    <b v="0"/>
    <x v="1"/>
    <b v="1"/>
  </r>
  <r>
    <s v="S-6d09f2"/>
    <s v="A-f92792"/>
    <d v="2024-11-24T00:00:00"/>
    <m/>
    <x v="2"/>
    <n v="3"/>
    <n v="57"/>
    <n v="684"/>
    <x v="0"/>
    <b v="0"/>
    <b v="0"/>
    <b v="0"/>
    <x v="0"/>
    <b v="1"/>
  </r>
  <r>
    <s v="S-32d56d"/>
    <s v="A-9f9299"/>
    <d v="2023-11-27T00:00:00"/>
    <m/>
    <x v="0"/>
    <n v="28"/>
    <n v="5572"/>
    <n v="66864"/>
    <x v="0"/>
    <b v="0"/>
    <b v="0"/>
    <b v="0"/>
    <x v="1"/>
    <b v="1"/>
  </r>
  <r>
    <s v="S-54e8b2"/>
    <s v="A-19b2c8"/>
    <d v="2024-05-18T00:00:00"/>
    <m/>
    <x v="1"/>
    <n v="20"/>
    <n v="980"/>
    <n v="11760"/>
    <x v="0"/>
    <b v="0"/>
    <b v="0"/>
    <b v="0"/>
    <x v="0"/>
    <b v="1"/>
  </r>
  <r>
    <s v="S-2664e1"/>
    <s v="A-2d4502"/>
    <d v="2024-07-19T00:00:00"/>
    <m/>
    <x v="0"/>
    <n v="41"/>
    <n v="8159"/>
    <n v="97908"/>
    <x v="0"/>
    <b v="1"/>
    <b v="0"/>
    <b v="0"/>
    <x v="1"/>
    <b v="1"/>
  </r>
  <r>
    <s v="S-ceaff7"/>
    <s v="A-a8b49c"/>
    <d v="2024-02-16T00:00:00"/>
    <m/>
    <x v="2"/>
    <n v="16"/>
    <n v="304"/>
    <n v="3648"/>
    <x v="0"/>
    <b v="0"/>
    <b v="0"/>
    <b v="0"/>
    <x v="1"/>
    <b v="1"/>
  </r>
  <r>
    <s v="S-307b2b"/>
    <s v="A-4e44e8"/>
    <d v="2024-09-21T00:00:00"/>
    <d v="2024-10-26T00:00:00"/>
    <x v="1"/>
    <n v="8"/>
    <n v="392"/>
    <n v="4704"/>
    <x v="0"/>
    <b v="0"/>
    <b v="0"/>
    <b v="1"/>
    <x v="1"/>
    <b v="1"/>
  </r>
  <r>
    <s v="S-491216"/>
    <s v="A-b7ef83"/>
    <d v="2024-09-16T00:00:00"/>
    <m/>
    <x v="1"/>
    <n v="31"/>
    <n v="1519"/>
    <n v="18228"/>
    <x v="0"/>
    <b v="0"/>
    <b v="0"/>
    <b v="0"/>
    <x v="1"/>
    <b v="1"/>
  </r>
  <r>
    <s v="S-a70baa"/>
    <s v="A-883b7d"/>
    <d v="2024-08-10T00:00:00"/>
    <m/>
    <x v="0"/>
    <n v="17"/>
    <n v="3383"/>
    <n v="40596"/>
    <x v="0"/>
    <b v="0"/>
    <b v="0"/>
    <b v="0"/>
    <x v="1"/>
    <b v="1"/>
  </r>
  <r>
    <s v="S-b5337b"/>
    <s v="A-7c6b6b"/>
    <d v="2024-12-10T00:00:00"/>
    <m/>
    <x v="1"/>
    <n v="7"/>
    <n v="343"/>
    <n v="4116"/>
    <x v="0"/>
    <b v="0"/>
    <b v="0"/>
    <b v="0"/>
    <x v="1"/>
    <b v="1"/>
  </r>
  <r>
    <s v="S-b2b1b9"/>
    <s v="A-49b828"/>
    <d v="2023-10-06T00:00:00"/>
    <m/>
    <x v="0"/>
    <n v="49"/>
    <n v="9751"/>
    <n v="117012"/>
    <x v="0"/>
    <b v="1"/>
    <b v="0"/>
    <b v="0"/>
    <x v="1"/>
    <b v="1"/>
  </r>
  <r>
    <s v="S-6a02fe"/>
    <s v="A-35083d"/>
    <d v="2023-11-07T00:00:00"/>
    <m/>
    <x v="2"/>
    <n v="25"/>
    <n v="475"/>
    <n v="5700"/>
    <x v="0"/>
    <b v="0"/>
    <b v="0"/>
    <b v="0"/>
    <x v="0"/>
    <b v="1"/>
  </r>
  <r>
    <s v="S-0865f1"/>
    <s v="A-95b24a"/>
    <d v="2023-12-10T00:00:00"/>
    <m/>
    <x v="2"/>
    <n v="38"/>
    <n v="722"/>
    <n v="8664"/>
    <x v="0"/>
    <b v="0"/>
    <b v="0"/>
    <b v="0"/>
    <x v="1"/>
    <b v="1"/>
  </r>
  <r>
    <s v="S-4f21c1"/>
    <s v="A-9f9299"/>
    <d v="2023-11-24T00:00:00"/>
    <d v="2024-07-20T00:00:00"/>
    <x v="0"/>
    <n v="28"/>
    <n v="5572"/>
    <n v="66864"/>
    <x v="0"/>
    <b v="0"/>
    <b v="0"/>
    <b v="1"/>
    <x v="1"/>
    <b v="1"/>
  </r>
  <r>
    <s v="S-0ce88b"/>
    <s v="A-9ee962"/>
    <d v="2024-07-18T00:00:00"/>
    <m/>
    <x v="2"/>
    <n v="9"/>
    <n v="171"/>
    <n v="2052"/>
    <x v="0"/>
    <b v="0"/>
    <b v="0"/>
    <b v="0"/>
    <x v="1"/>
    <b v="1"/>
  </r>
  <r>
    <s v="S-446c54"/>
    <s v="A-296d7c"/>
    <d v="2024-11-05T00:00:00"/>
    <m/>
    <x v="0"/>
    <n v="2"/>
    <n v="398"/>
    <n v="4776"/>
    <x v="0"/>
    <b v="0"/>
    <b v="0"/>
    <b v="0"/>
    <x v="1"/>
    <b v="1"/>
  </r>
  <r>
    <s v="S-55aafd"/>
    <s v="A-e89151"/>
    <d v="2024-05-23T00:00:00"/>
    <m/>
    <x v="2"/>
    <n v="8"/>
    <n v="152"/>
    <n v="1824"/>
    <x v="0"/>
    <b v="1"/>
    <b v="0"/>
    <b v="0"/>
    <x v="0"/>
    <b v="1"/>
  </r>
  <r>
    <s v="S-f4caa8"/>
    <s v="A-9badbd"/>
    <d v="2024-09-16T00:00:00"/>
    <d v="2024-10-12T00:00:00"/>
    <x v="2"/>
    <n v="23"/>
    <n v="437"/>
    <n v="5244"/>
    <x v="0"/>
    <b v="0"/>
    <b v="0"/>
    <b v="1"/>
    <x v="1"/>
    <b v="1"/>
  </r>
  <r>
    <s v="S-7c24f6"/>
    <s v="A-f25509"/>
    <d v="2024-06-16T00:00:00"/>
    <m/>
    <x v="0"/>
    <n v="32"/>
    <n v="0"/>
    <n v="0"/>
    <x v="1"/>
    <b v="0"/>
    <b v="0"/>
    <b v="0"/>
    <x v="1"/>
    <b v="0"/>
  </r>
  <r>
    <s v="S-c555c4"/>
    <s v="A-bcf87c"/>
    <d v="2024-12-13T00:00:00"/>
    <m/>
    <x v="0"/>
    <n v="17"/>
    <n v="3383"/>
    <n v="40596"/>
    <x v="0"/>
    <b v="0"/>
    <b v="0"/>
    <b v="0"/>
    <x v="0"/>
    <b v="1"/>
  </r>
  <r>
    <s v="S-503afa"/>
    <s v="A-4e631b"/>
    <d v="2024-03-18T00:00:00"/>
    <m/>
    <x v="0"/>
    <n v="40"/>
    <n v="7960"/>
    <n v="95520"/>
    <x v="0"/>
    <b v="0"/>
    <b v="0"/>
    <b v="0"/>
    <x v="0"/>
    <b v="0"/>
  </r>
  <r>
    <s v="S-98f176"/>
    <s v="A-05d3b3"/>
    <d v="2023-08-14T00:00:00"/>
    <m/>
    <x v="2"/>
    <n v="55"/>
    <n v="0"/>
    <n v="0"/>
    <x v="1"/>
    <b v="0"/>
    <b v="0"/>
    <b v="0"/>
    <x v="1"/>
    <b v="1"/>
  </r>
  <r>
    <s v="S-de473d"/>
    <s v="A-e6afc1"/>
    <d v="2023-05-31T00:00:00"/>
    <m/>
    <x v="1"/>
    <n v="6"/>
    <n v="294"/>
    <n v="3528"/>
    <x v="0"/>
    <b v="0"/>
    <b v="0"/>
    <b v="0"/>
    <x v="0"/>
    <b v="1"/>
  </r>
  <r>
    <s v="S-1876fb"/>
    <s v="A-4f18f0"/>
    <d v="2024-10-12T00:00:00"/>
    <m/>
    <x v="0"/>
    <n v="59"/>
    <n v="11741"/>
    <n v="140892"/>
    <x v="0"/>
    <b v="0"/>
    <b v="0"/>
    <b v="0"/>
    <x v="0"/>
    <b v="0"/>
  </r>
  <r>
    <s v="S-8fd22d"/>
    <s v="A-354f12"/>
    <d v="2024-08-01T00:00:00"/>
    <m/>
    <x v="0"/>
    <n v="1"/>
    <n v="199"/>
    <n v="2388"/>
    <x v="0"/>
    <b v="0"/>
    <b v="0"/>
    <b v="0"/>
    <x v="0"/>
    <b v="1"/>
  </r>
  <r>
    <s v="S-7ded4d"/>
    <s v="A-0f3e88"/>
    <d v="2024-06-18T00:00:00"/>
    <m/>
    <x v="2"/>
    <n v="17"/>
    <n v="323"/>
    <n v="3876"/>
    <x v="0"/>
    <b v="0"/>
    <b v="0"/>
    <b v="0"/>
    <x v="0"/>
    <b v="1"/>
  </r>
  <r>
    <s v="S-2cb298"/>
    <s v="A-9077b0"/>
    <d v="2024-12-20T00:00:00"/>
    <m/>
    <x v="0"/>
    <n v="2"/>
    <n v="398"/>
    <n v="4776"/>
    <x v="0"/>
    <b v="1"/>
    <b v="0"/>
    <b v="0"/>
    <x v="1"/>
    <b v="1"/>
  </r>
  <r>
    <s v="S-dfbd79"/>
    <s v="A-977ca0"/>
    <d v="2024-11-24T00:00:00"/>
    <d v="2024-11-24T00:00:00"/>
    <x v="1"/>
    <n v="14"/>
    <n v="686"/>
    <n v="8232"/>
    <x v="0"/>
    <b v="0"/>
    <b v="0"/>
    <b v="1"/>
    <x v="1"/>
    <b v="1"/>
  </r>
  <r>
    <s v="S-162e73"/>
    <s v="A-55f257"/>
    <d v="2024-01-12T00:00:00"/>
    <m/>
    <x v="0"/>
    <n v="38"/>
    <n v="0"/>
    <n v="0"/>
    <x v="1"/>
    <b v="0"/>
    <b v="0"/>
    <b v="0"/>
    <x v="1"/>
    <b v="1"/>
  </r>
  <r>
    <s v="S-f0c747"/>
    <s v="A-5b1bcd"/>
    <d v="2024-09-24T00:00:00"/>
    <m/>
    <x v="0"/>
    <n v="73"/>
    <n v="14527"/>
    <n v="174324"/>
    <x v="0"/>
    <b v="0"/>
    <b v="0"/>
    <b v="0"/>
    <x v="0"/>
    <b v="1"/>
  </r>
  <r>
    <s v="S-cf72c8"/>
    <s v="A-2e3bad"/>
    <d v="2024-10-27T00:00:00"/>
    <m/>
    <x v="2"/>
    <n v="61"/>
    <n v="1159"/>
    <n v="13908"/>
    <x v="0"/>
    <b v="0"/>
    <b v="0"/>
    <b v="0"/>
    <x v="1"/>
    <b v="1"/>
  </r>
  <r>
    <s v="S-befdba"/>
    <s v="A-ff79f2"/>
    <d v="2024-11-15T00:00:00"/>
    <d v="2024-11-19T00:00:00"/>
    <x v="2"/>
    <n v="36"/>
    <n v="684"/>
    <n v="8208"/>
    <x v="0"/>
    <b v="0"/>
    <b v="0"/>
    <b v="1"/>
    <x v="1"/>
    <b v="0"/>
  </r>
  <r>
    <s v="S-921f19"/>
    <s v="A-eb7c38"/>
    <d v="2024-09-16T00:00:00"/>
    <m/>
    <x v="1"/>
    <n v="39"/>
    <n v="0"/>
    <n v="0"/>
    <x v="1"/>
    <b v="0"/>
    <b v="0"/>
    <b v="0"/>
    <x v="0"/>
    <b v="1"/>
  </r>
  <r>
    <s v="S-e9395e"/>
    <s v="A-180abf"/>
    <d v="2024-12-20T00:00:00"/>
    <m/>
    <x v="1"/>
    <n v="64"/>
    <n v="3136"/>
    <n v="37632"/>
    <x v="0"/>
    <b v="1"/>
    <b v="0"/>
    <b v="0"/>
    <x v="0"/>
    <b v="1"/>
  </r>
  <r>
    <s v="S-24cdb5"/>
    <s v="A-592832"/>
    <d v="2024-10-21T00:00:00"/>
    <m/>
    <x v="2"/>
    <n v="35"/>
    <n v="665"/>
    <n v="7980"/>
    <x v="0"/>
    <b v="0"/>
    <b v="0"/>
    <b v="0"/>
    <x v="1"/>
    <b v="1"/>
  </r>
  <r>
    <s v="S-5aa4ba"/>
    <s v="A-2d1036"/>
    <d v="2024-09-25T00:00:00"/>
    <m/>
    <x v="1"/>
    <n v="69"/>
    <n v="3381"/>
    <n v="40572"/>
    <x v="0"/>
    <b v="0"/>
    <b v="0"/>
    <b v="0"/>
    <x v="0"/>
    <b v="1"/>
  </r>
  <r>
    <s v="S-207046"/>
    <s v="A-94d3da"/>
    <d v="2024-03-03T00:00:00"/>
    <m/>
    <x v="1"/>
    <n v="41"/>
    <n v="0"/>
    <n v="0"/>
    <x v="1"/>
    <b v="0"/>
    <b v="0"/>
    <b v="0"/>
    <x v="1"/>
    <b v="1"/>
  </r>
  <r>
    <s v="S-0d6ea4"/>
    <s v="A-f44180"/>
    <d v="2023-12-27T00:00:00"/>
    <d v="2024-10-30T00:00:00"/>
    <x v="0"/>
    <n v="9"/>
    <n v="1791"/>
    <n v="21492"/>
    <x v="0"/>
    <b v="0"/>
    <b v="0"/>
    <b v="1"/>
    <x v="0"/>
    <b v="0"/>
  </r>
  <r>
    <s v="S-5de79e"/>
    <s v="A-1619f8"/>
    <d v="2024-11-06T00:00:00"/>
    <m/>
    <x v="2"/>
    <n v="29"/>
    <n v="551"/>
    <n v="6612"/>
    <x v="0"/>
    <b v="1"/>
    <b v="0"/>
    <b v="0"/>
    <x v="1"/>
    <b v="0"/>
  </r>
  <r>
    <s v="S-a04ec4"/>
    <s v="A-4ef964"/>
    <d v="2024-06-17T00:00:00"/>
    <m/>
    <x v="1"/>
    <n v="17"/>
    <n v="833"/>
    <n v="9996"/>
    <x v="0"/>
    <b v="0"/>
    <b v="0"/>
    <b v="0"/>
    <x v="1"/>
    <b v="1"/>
  </r>
  <r>
    <s v="S-33deb8"/>
    <s v="A-427b69"/>
    <d v="2024-11-30T00:00:00"/>
    <m/>
    <x v="1"/>
    <n v="17"/>
    <n v="833"/>
    <n v="9996"/>
    <x v="0"/>
    <b v="0"/>
    <b v="0"/>
    <b v="0"/>
    <x v="1"/>
    <b v="1"/>
  </r>
  <r>
    <s v="S-08f8d3"/>
    <s v="A-bcf87c"/>
    <d v="2024-11-27T00:00:00"/>
    <m/>
    <x v="1"/>
    <n v="21"/>
    <n v="1029"/>
    <n v="12348"/>
    <x v="0"/>
    <b v="0"/>
    <b v="0"/>
    <b v="0"/>
    <x v="0"/>
    <b v="1"/>
  </r>
  <r>
    <s v="S-292c06"/>
    <s v="A-089363"/>
    <d v="2024-07-11T00:00:00"/>
    <m/>
    <x v="1"/>
    <n v="26"/>
    <n v="1274"/>
    <n v="15288"/>
    <x v="0"/>
    <b v="0"/>
    <b v="0"/>
    <b v="0"/>
    <x v="0"/>
    <b v="1"/>
  </r>
  <r>
    <s v="S-0e9334"/>
    <s v="A-8ed5dd"/>
    <d v="2024-09-07T00:00:00"/>
    <m/>
    <x v="2"/>
    <n v="23"/>
    <n v="437"/>
    <n v="5244"/>
    <x v="0"/>
    <b v="0"/>
    <b v="0"/>
    <b v="0"/>
    <x v="0"/>
    <b v="1"/>
  </r>
  <r>
    <s v="S-6a7c79"/>
    <s v="A-4ef964"/>
    <d v="2024-08-28T00:00:00"/>
    <m/>
    <x v="1"/>
    <n v="17"/>
    <n v="0"/>
    <n v="0"/>
    <x v="1"/>
    <b v="0"/>
    <b v="0"/>
    <b v="0"/>
    <x v="0"/>
    <b v="1"/>
  </r>
  <r>
    <s v="S-1cfab2"/>
    <s v="A-712f1c"/>
    <d v="2024-12-01T00:00:00"/>
    <m/>
    <x v="0"/>
    <n v="37"/>
    <n v="7363"/>
    <n v="88356"/>
    <x v="0"/>
    <b v="0"/>
    <b v="0"/>
    <b v="0"/>
    <x v="0"/>
    <b v="1"/>
  </r>
  <r>
    <s v="S-0c0691"/>
    <s v="A-19b2c8"/>
    <d v="2024-10-25T00:00:00"/>
    <m/>
    <x v="0"/>
    <n v="20"/>
    <n v="3980"/>
    <n v="47760"/>
    <x v="0"/>
    <b v="0"/>
    <b v="0"/>
    <b v="0"/>
    <x v="0"/>
    <b v="1"/>
  </r>
  <r>
    <s v="S-b18ae9"/>
    <s v="A-b78bf8"/>
    <d v="2024-12-14T00:00:00"/>
    <m/>
    <x v="1"/>
    <n v="33"/>
    <n v="1617"/>
    <n v="19404"/>
    <x v="0"/>
    <b v="0"/>
    <b v="0"/>
    <b v="0"/>
    <x v="0"/>
    <b v="1"/>
  </r>
  <r>
    <s v="S-a0abcf"/>
    <s v="A-42b791"/>
    <d v="2024-12-11T00:00:00"/>
    <m/>
    <x v="1"/>
    <n v="14"/>
    <n v="686"/>
    <n v="8232"/>
    <x v="0"/>
    <b v="0"/>
    <b v="0"/>
    <b v="0"/>
    <x v="1"/>
    <b v="0"/>
  </r>
  <r>
    <s v="S-567f8f"/>
    <s v="A-02cd81"/>
    <d v="2024-06-01T00:00:00"/>
    <m/>
    <x v="0"/>
    <n v="44"/>
    <n v="8756"/>
    <n v="105072"/>
    <x v="0"/>
    <b v="0"/>
    <b v="0"/>
    <b v="0"/>
    <x v="1"/>
    <b v="1"/>
  </r>
  <r>
    <s v="S-3673f2"/>
    <s v="A-cd458b"/>
    <d v="2024-08-17T00:00:00"/>
    <m/>
    <x v="0"/>
    <n v="47"/>
    <n v="9353"/>
    <n v="112236"/>
    <x v="0"/>
    <b v="0"/>
    <b v="0"/>
    <b v="0"/>
    <x v="1"/>
    <b v="1"/>
  </r>
  <r>
    <s v="S-3ff7bb"/>
    <s v="A-10b8f2"/>
    <d v="2024-08-15T00:00:00"/>
    <m/>
    <x v="2"/>
    <n v="47"/>
    <n v="0"/>
    <n v="0"/>
    <x v="1"/>
    <b v="1"/>
    <b v="0"/>
    <b v="0"/>
    <x v="0"/>
    <b v="1"/>
  </r>
  <r>
    <s v="S-b9d674"/>
    <s v="A-cc98bc"/>
    <d v="2023-07-09T00:00:00"/>
    <m/>
    <x v="0"/>
    <n v="32"/>
    <n v="6368"/>
    <n v="76416"/>
    <x v="0"/>
    <b v="0"/>
    <b v="0"/>
    <b v="0"/>
    <x v="0"/>
    <b v="1"/>
  </r>
  <r>
    <s v="S-381917"/>
    <s v="A-474ad4"/>
    <d v="2024-07-02T00:00:00"/>
    <m/>
    <x v="1"/>
    <n v="17"/>
    <n v="833"/>
    <n v="9996"/>
    <x v="0"/>
    <b v="0"/>
    <b v="0"/>
    <b v="0"/>
    <x v="0"/>
    <b v="1"/>
  </r>
  <r>
    <s v="S-67c1d8"/>
    <s v="A-328bd0"/>
    <d v="2024-12-18T00:00:00"/>
    <m/>
    <x v="1"/>
    <n v="18"/>
    <n v="882"/>
    <n v="10584"/>
    <x v="0"/>
    <b v="0"/>
    <b v="1"/>
    <b v="0"/>
    <x v="1"/>
    <b v="1"/>
  </r>
  <r>
    <s v="S-c85c63"/>
    <s v="A-5c046d"/>
    <d v="2024-12-02T00:00:00"/>
    <m/>
    <x v="2"/>
    <n v="93"/>
    <n v="1767"/>
    <n v="21204"/>
    <x v="0"/>
    <b v="0"/>
    <b v="0"/>
    <b v="0"/>
    <x v="0"/>
    <b v="0"/>
  </r>
  <r>
    <s v="S-8dd1cf"/>
    <s v="A-4d1e75"/>
    <d v="2024-12-17T00:00:00"/>
    <m/>
    <x v="2"/>
    <n v="20"/>
    <n v="380"/>
    <n v="4560"/>
    <x v="0"/>
    <b v="1"/>
    <b v="0"/>
    <b v="0"/>
    <x v="0"/>
    <b v="0"/>
  </r>
  <r>
    <s v="S-3741b9"/>
    <s v="A-c16b88"/>
    <d v="2024-06-20T00:00:00"/>
    <d v="2024-07-11T00:00:00"/>
    <x v="2"/>
    <n v="23"/>
    <n v="0"/>
    <n v="0"/>
    <x v="1"/>
    <b v="0"/>
    <b v="0"/>
    <b v="1"/>
    <x v="1"/>
    <b v="1"/>
  </r>
  <r>
    <s v="S-90dd19"/>
    <s v="A-297a2d"/>
    <d v="2024-03-04T00:00:00"/>
    <m/>
    <x v="1"/>
    <n v="27"/>
    <n v="1323"/>
    <n v="15876"/>
    <x v="0"/>
    <b v="1"/>
    <b v="0"/>
    <b v="0"/>
    <x v="1"/>
    <b v="1"/>
  </r>
  <r>
    <s v="S-d62a15"/>
    <s v="A-089363"/>
    <d v="2024-08-08T00:00:00"/>
    <m/>
    <x v="0"/>
    <n v="10"/>
    <n v="1990"/>
    <n v="23880"/>
    <x v="0"/>
    <b v="0"/>
    <b v="0"/>
    <b v="0"/>
    <x v="1"/>
    <b v="1"/>
  </r>
  <r>
    <s v="S-2a928c"/>
    <s v="A-fa3095"/>
    <d v="2024-12-16T00:00:00"/>
    <m/>
    <x v="2"/>
    <n v="70"/>
    <n v="1330"/>
    <n v="15960"/>
    <x v="0"/>
    <b v="0"/>
    <b v="0"/>
    <b v="0"/>
    <x v="0"/>
    <b v="1"/>
  </r>
  <r>
    <s v="S-be86e3"/>
    <s v="A-3a5ad8"/>
    <d v="2024-01-14T00:00:00"/>
    <m/>
    <x v="0"/>
    <n v="11"/>
    <n v="2189"/>
    <n v="26268"/>
    <x v="0"/>
    <b v="0"/>
    <b v="1"/>
    <b v="0"/>
    <x v="1"/>
    <b v="1"/>
  </r>
  <r>
    <s v="S-3dc46b"/>
    <s v="A-5790f4"/>
    <d v="2024-12-23T00:00:00"/>
    <m/>
    <x v="1"/>
    <n v="12"/>
    <n v="588"/>
    <n v="7056"/>
    <x v="0"/>
    <b v="0"/>
    <b v="0"/>
    <b v="0"/>
    <x v="0"/>
    <b v="0"/>
  </r>
  <r>
    <s v="S-d6106b"/>
    <s v="A-0a282f"/>
    <d v="2024-10-16T00:00:00"/>
    <m/>
    <x v="2"/>
    <n v="6"/>
    <n v="114"/>
    <n v="1368"/>
    <x v="0"/>
    <b v="0"/>
    <b v="0"/>
    <b v="0"/>
    <x v="0"/>
    <b v="1"/>
  </r>
  <r>
    <s v="S-c5a75d"/>
    <s v="A-66224b"/>
    <d v="2024-12-18T00:00:00"/>
    <m/>
    <x v="1"/>
    <n v="92"/>
    <n v="4508"/>
    <n v="54096"/>
    <x v="0"/>
    <b v="0"/>
    <b v="0"/>
    <b v="0"/>
    <x v="1"/>
    <b v="1"/>
  </r>
  <r>
    <s v="S-2f11bb"/>
    <s v="A-82d8a6"/>
    <d v="2024-12-29T00:00:00"/>
    <m/>
    <x v="1"/>
    <n v="5"/>
    <n v="245"/>
    <n v="2940"/>
    <x v="0"/>
    <b v="0"/>
    <b v="0"/>
    <b v="0"/>
    <x v="1"/>
    <b v="1"/>
  </r>
  <r>
    <s v="S-8f2b13"/>
    <s v="A-034368"/>
    <d v="2024-10-14T00:00:00"/>
    <m/>
    <x v="0"/>
    <n v="28"/>
    <n v="5572"/>
    <n v="66864"/>
    <x v="0"/>
    <b v="0"/>
    <b v="0"/>
    <b v="0"/>
    <x v="1"/>
    <b v="1"/>
  </r>
  <r>
    <s v="S-4047a8"/>
    <s v="A-e19ff6"/>
    <d v="2024-06-01T00:00:00"/>
    <m/>
    <x v="2"/>
    <n v="1"/>
    <n v="19"/>
    <n v="228"/>
    <x v="0"/>
    <b v="0"/>
    <b v="0"/>
    <b v="0"/>
    <x v="0"/>
    <b v="0"/>
  </r>
  <r>
    <s v="S-969c1d"/>
    <s v="A-5b4ebb"/>
    <d v="2024-07-13T00:00:00"/>
    <m/>
    <x v="2"/>
    <n v="29"/>
    <n v="551"/>
    <n v="6612"/>
    <x v="0"/>
    <b v="0"/>
    <b v="0"/>
    <b v="0"/>
    <x v="0"/>
    <b v="1"/>
  </r>
  <r>
    <s v="S-f41a31"/>
    <s v="A-659280"/>
    <d v="2023-11-25T00:00:00"/>
    <m/>
    <x v="0"/>
    <n v="13"/>
    <n v="2587"/>
    <n v="31044"/>
    <x v="0"/>
    <b v="0"/>
    <b v="0"/>
    <b v="0"/>
    <x v="0"/>
    <b v="0"/>
  </r>
  <r>
    <s v="S-7a36ee"/>
    <s v="A-b11cd0"/>
    <d v="2023-02-16T00:00:00"/>
    <d v="2024-06-22T00:00:00"/>
    <x v="2"/>
    <n v="26"/>
    <n v="494"/>
    <n v="5928"/>
    <x v="0"/>
    <b v="0"/>
    <b v="0"/>
    <b v="1"/>
    <x v="0"/>
    <b v="1"/>
  </r>
  <r>
    <s v="S-b1d153"/>
    <s v="A-3793ee"/>
    <d v="2023-11-23T00:00:00"/>
    <d v="2024-10-08T00:00:00"/>
    <x v="1"/>
    <n v="49"/>
    <n v="2401"/>
    <n v="28812"/>
    <x v="0"/>
    <b v="0"/>
    <b v="0"/>
    <b v="1"/>
    <x v="0"/>
    <b v="1"/>
  </r>
  <r>
    <s v="S-515485"/>
    <s v="A-f3ff05"/>
    <d v="2024-09-21T00:00:00"/>
    <m/>
    <x v="1"/>
    <n v="35"/>
    <n v="1715"/>
    <n v="20580"/>
    <x v="0"/>
    <b v="0"/>
    <b v="0"/>
    <b v="0"/>
    <x v="0"/>
    <b v="1"/>
  </r>
  <r>
    <s v="S-fe910d"/>
    <s v="A-241e75"/>
    <d v="2024-10-19T00:00:00"/>
    <m/>
    <x v="2"/>
    <n v="5"/>
    <n v="95"/>
    <n v="1140"/>
    <x v="0"/>
    <b v="0"/>
    <b v="0"/>
    <b v="0"/>
    <x v="0"/>
    <b v="1"/>
  </r>
  <r>
    <s v="S-cd74b9"/>
    <s v="A-157070"/>
    <d v="2024-01-26T00:00:00"/>
    <m/>
    <x v="0"/>
    <n v="16"/>
    <n v="3184"/>
    <n v="38208"/>
    <x v="0"/>
    <b v="1"/>
    <b v="0"/>
    <b v="0"/>
    <x v="1"/>
    <b v="1"/>
  </r>
  <r>
    <s v="S-604bd0"/>
    <s v="A-0e966d"/>
    <d v="2024-10-27T00:00:00"/>
    <m/>
    <x v="1"/>
    <n v="57"/>
    <n v="2793"/>
    <n v="33516"/>
    <x v="0"/>
    <b v="0"/>
    <b v="0"/>
    <b v="0"/>
    <x v="0"/>
    <b v="0"/>
  </r>
  <r>
    <s v="S-cea51e"/>
    <s v="A-cc1d8d"/>
    <d v="2024-12-22T00:00:00"/>
    <m/>
    <x v="0"/>
    <n v="20"/>
    <n v="0"/>
    <n v="0"/>
    <x v="1"/>
    <b v="0"/>
    <b v="0"/>
    <b v="0"/>
    <x v="0"/>
    <b v="1"/>
  </r>
  <r>
    <s v="S-1d63bf"/>
    <s v="A-69fad4"/>
    <d v="2024-02-01T00:00:00"/>
    <d v="2024-08-19T00:00:00"/>
    <x v="0"/>
    <n v="22"/>
    <n v="4378"/>
    <n v="52536"/>
    <x v="0"/>
    <b v="0"/>
    <b v="0"/>
    <b v="1"/>
    <x v="0"/>
    <b v="1"/>
  </r>
  <r>
    <s v="S-951c06"/>
    <s v="A-0532a9"/>
    <d v="2024-09-26T00:00:00"/>
    <m/>
    <x v="2"/>
    <n v="19"/>
    <n v="361"/>
    <n v="4332"/>
    <x v="0"/>
    <b v="0"/>
    <b v="0"/>
    <b v="0"/>
    <x v="1"/>
    <b v="1"/>
  </r>
  <r>
    <s v="S-6e780e"/>
    <s v="A-de58ca"/>
    <d v="2024-09-01T00:00:00"/>
    <m/>
    <x v="0"/>
    <n v="36"/>
    <n v="7164"/>
    <n v="85968"/>
    <x v="0"/>
    <b v="0"/>
    <b v="0"/>
    <b v="0"/>
    <x v="1"/>
    <b v="1"/>
  </r>
  <r>
    <s v="S-501046"/>
    <s v="A-c4ea60"/>
    <d v="2024-07-20T00:00:00"/>
    <m/>
    <x v="1"/>
    <n v="18"/>
    <n v="882"/>
    <n v="10584"/>
    <x v="0"/>
    <b v="0"/>
    <b v="0"/>
    <b v="0"/>
    <x v="1"/>
    <b v="1"/>
  </r>
  <r>
    <s v="S-d88f58"/>
    <s v="A-4ef964"/>
    <d v="2024-11-11T00:00:00"/>
    <m/>
    <x v="2"/>
    <n v="17"/>
    <n v="323"/>
    <n v="3876"/>
    <x v="0"/>
    <b v="0"/>
    <b v="0"/>
    <b v="0"/>
    <x v="0"/>
    <b v="1"/>
  </r>
  <r>
    <s v="S-3012fa"/>
    <s v="A-902ef7"/>
    <d v="2024-09-05T00:00:00"/>
    <m/>
    <x v="1"/>
    <n v="83"/>
    <n v="4067"/>
    <n v="48804"/>
    <x v="0"/>
    <b v="0"/>
    <b v="0"/>
    <b v="0"/>
    <x v="1"/>
    <b v="1"/>
  </r>
  <r>
    <s v="S-936e80"/>
    <s v="A-5a3eb9"/>
    <d v="2023-09-21T00:00:00"/>
    <m/>
    <x v="1"/>
    <n v="18"/>
    <n v="882"/>
    <n v="10584"/>
    <x v="0"/>
    <b v="0"/>
    <b v="0"/>
    <b v="0"/>
    <x v="1"/>
    <b v="1"/>
  </r>
  <r>
    <s v="S-7bebc1"/>
    <s v="A-054577"/>
    <d v="2024-08-27T00:00:00"/>
    <m/>
    <x v="2"/>
    <n v="24"/>
    <n v="456"/>
    <n v="5472"/>
    <x v="0"/>
    <b v="0"/>
    <b v="0"/>
    <b v="0"/>
    <x v="1"/>
    <b v="1"/>
  </r>
  <r>
    <s v="S-cd8a6a"/>
    <s v="A-96215d"/>
    <d v="2024-11-04T00:00:00"/>
    <m/>
    <x v="1"/>
    <n v="10"/>
    <n v="490"/>
    <n v="5880"/>
    <x v="0"/>
    <b v="0"/>
    <b v="0"/>
    <b v="0"/>
    <x v="1"/>
    <b v="0"/>
  </r>
  <r>
    <s v="S-810a67"/>
    <s v="A-592832"/>
    <d v="2024-10-15T00:00:00"/>
    <m/>
    <x v="1"/>
    <n v="18"/>
    <n v="882"/>
    <n v="10584"/>
    <x v="0"/>
    <b v="0"/>
    <b v="0"/>
    <b v="0"/>
    <x v="0"/>
    <b v="1"/>
  </r>
  <r>
    <s v="S-370135"/>
    <s v="A-e693b6"/>
    <d v="2024-05-11T00:00:00"/>
    <m/>
    <x v="1"/>
    <n v="55"/>
    <n v="2695"/>
    <n v="32340"/>
    <x v="0"/>
    <b v="0"/>
    <b v="0"/>
    <b v="0"/>
    <x v="0"/>
    <b v="0"/>
  </r>
  <r>
    <s v="S-1ad030"/>
    <s v="A-92a3af"/>
    <d v="2024-09-01T00:00:00"/>
    <m/>
    <x v="0"/>
    <n v="25"/>
    <n v="4975"/>
    <n v="59700"/>
    <x v="0"/>
    <b v="0"/>
    <b v="0"/>
    <b v="0"/>
    <x v="1"/>
    <b v="0"/>
  </r>
  <r>
    <s v="S-fc155b"/>
    <s v="A-ccabf0"/>
    <d v="2024-09-09T00:00:00"/>
    <m/>
    <x v="0"/>
    <n v="1"/>
    <n v="199"/>
    <n v="2388"/>
    <x v="0"/>
    <b v="0"/>
    <b v="0"/>
    <b v="0"/>
    <x v="1"/>
    <b v="1"/>
  </r>
  <r>
    <s v="S-9c23e1"/>
    <s v="A-f92792"/>
    <d v="2024-09-17T00:00:00"/>
    <m/>
    <x v="0"/>
    <n v="18"/>
    <n v="3582"/>
    <n v="42984"/>
    <x v="0"/>
    <b v="0"/>
    <b v="0"/>
    <b v="0"/>
    <x v="1"/>
    <b v="1"/>
  </r>
  <r>
    <s v="S-af5a51"/>
    <s v="A-ccb686"/>
    <d v="2024-08-22T00:00:00"/>
    <m/>
    <x v="0"/>
    <n v="53"/>
    <n v="10547"/>
    <n v="126564"/>
    <x v="0"/>
    <b v="1"/>
    <b v="0"/>
    <b v="0"/>
    <x v="1"/>
    <b v="1"/>
  </r>
  <r>
    <s v="S-7e86a2"/>
    <s v="A-7c5768"/>
    <d v="2024-10-29T00:00:00"/>
    <m/>
    <x v="2"/>
    <n v="3"/>
    <n v="57"/>
    <n v="684"/>
    <x v="0"/>
    <b v="0"/>
    <b v="0"/>
    <b v="0"/>
    <x v="0"/>
    <b v="1"/>
  </r>
  <r>
    <s v="S-12902a"/>
    <s v="A-3932db"/>
    <d v="2024-09-21T00:00:00"/>
    <m/>
    <x v="0"/>
    <n v="19"/>
    <n v="3781"/>
    <n v="45372"/>
    <x v="0"/>
    <b v="1"/>
    <b v="0"/>
    <b v="0"/>
    <x v="0"/>
    <b v="1"/>
  </r>
  <r>
    <s v="S-7d4240"/>
    <s v="A-09316c"/>
    <d v="2024-11-11T00:00:00"/>
    <m/>
    <x v="2"/>
    <n v="70"/>
    <n v="1330"/>
    <n v="15960"/>
    <x v="0"/>
    <b v="0"/>
    <b v="0"/>
    <b v="0"/>
    <x v="0"/>
    <b v="1"/>
  </r>
  <r>
    <s v="S-a94f54"/>
    <s v="A-e888d1"/>
    <d v="2023-09-04T00:00:00"/>
    <d v="2024-05-12T00:00:00"/>
    <x v="0"/>
    <n v="16"/>
    <n v="3184"/>
    <n v="38208"/>
    <x v="0"/>
    <b v="1"/>
    <b v="0"/>
    <b v="1"/>
    <x v="0"/>
    <b v="1"/>
  </r>
  <r>
    <s v="S-64b181"/>
    <s v="A-bbe56f"/>
    <d v="2024-04-16T00:00:00"/>
    <m/>
    <x v="1"/>
    <n v="21"/>
    <n v="1029"/>
    <n v="12348"/>
    <x v="0"/>
    <b v="0"/>
    <b v="0"/>
    <b v="0"/>
    <x v="1"/>
    <b v="1"/>
  </r>
  <r>
    <s v="S-239429"/>
    <s v="A-65aeb5"/>
    <d v="2024-05-11T00:00:00"/>
    <m/>
    <x v="0"/>
    <n v="9"/>
    <n v="0"/>
    <n v="0"/>
    <x v="1"/>
    <b v="0"/>
    <b v="0"/>
    <b v="0"/>
    <x v="0"/>
    <b v="1"/>
  </r>
  <r>
    <s v="S-c1ad26"/>
    <s v="A-10b8da"/>
    <d v="2024-05-09T00:00:00"/>
    <m/>
    <x v="1"/>
    <n v="14"/>
    <n v="686"/>
    <n v="8232"/>
    <x v="0"/>
    <b v="0"/>
    <b v="0"/>
    <b v="0"/>
    <x v="1"/>
    <b v="1"/>
  </r>
  <r>
    <s v="S-02b3a1"/>
    <s v="A-e6afc1"/>
    <d v="2023-08-05T00:00:00"/>
    <m/>
    <x v="2"/>
    <n v="18"/>
    <n v="342"/>
    <n v="4104"/>
    <x v="0"/>
    <b v="0"/>
    <b v="0"/>
    <b v="0"/>
    <x v="0"/>
    <b v="1"/>
  </r>
  <r>
    <s v="S-83b45d"/>
    <s v="A-5a92e7"/>
    <d v="2024-06-27T00:00:00"/>
    <m/>
    <x v="1"/>
    <n v="5"/>
    <n v="0"/>
    <n v="0"/>
    <x v="1"/>
    <b v="0"/>
    <b v="0"/>
    <b v="0"/>
    <x v="1"/>
    <b v="1"/>
  </r>
  <r>
    <s v="S-43aa0e"/>
    <s v="A-4d1e75"/>
    <d v="2024-10-18T00:00:00"/>
    <m/>
    <x v="2"/>
    <n v="36"/>
    <n v="0"/>
    <n v="0"/>
    <x v="1"/>
    <b v="0"/>
    <b v="0"/>
    <b v="0"/>
    <x v="0"/>
    <b v="1"/>
  </r>
  <r>
    <s v="S-ab06f4"/>
    <s v="A-90a8c8"/>
    <d v="2024-10-29T00:00:00"/>
    <m/>
    <x v="1"/>
    <n v="15"/>
    <n v="735"/>
    <n v="8820"/>
    <x v="0"/>
    <b v="0"/>
    <b v="0"/>
    <b v="0"/>
    <x v="1"/>
    <b v="1"/>
  </r>
  <r>
    <s v="S-4d2011"/>
    <s v="A-751c58"/>
    <d v="2024-07-29T00:00:00"/>
    <m/>
    <x v="0"/>
    <n v="15"/>
    <n v="2985"/>
    <n v="35820"/>
    <x v="0"/>
    <b v="0"/>
    <b v="0"/>
    <b v="0"/>
    <x v="1"/>
    <b v="0"/>
  </r>
  <r>
    <s v="S-dc28c6"/>
    <s v="A-e7beab"/>
    <d v="2024-01-05T00:00:00"/>
    <m/>
    <x v="0"/>
    <n v="58"/>
    <n v="0"/>
    <n v="0"/>
    <x v="1"/>
    <b v="0"/>
    <b v="0"/>
    <b v="0"/>
    <x v="0"/>
    <b v="1"/>
  </r>
  <r>
    <s v="S-709b46"/>
    <s v="A-ed510f"/>
    <d v="2023-03-09T00:00:00"/>
    <m/>
    <x v="1"/>
    <n v="42"/>
    <n v="2058"/>
    <n v="24696"/>
    <x v="0"/>
    <b v="0"/>
    <b v="0"/>
    <b v="0"/>
    <x v="1"/>
    <b v="0"/>
  </r>
  <r>
    <s v="S-05eff5"/>
    <s v="A-118f1c"/>
    <d v="2024-12-23T00:00:00"/>
    <m/>
    <x v="2"/>
    <n v="32"/>
    <n v="608"/>
    <n v="7296"/>
    <x v="0"/>
    <b v="0"/>
    <b v="0"/>
    <b v="0"/>
    <x v="0"/>
    <b v="1"/>
  </r>
  <r>
    <s v="S-e11cde"/>
    <s v="A-0f6450"/>
    <d v="2024-12-31T00:00:00"/>
    <m/>
    <x v="0"/>
    <n v="28"/>
    <n v="5572"/>
    <n v="66864"/>
    <x v="0"/>
    <b v="0"/>
    <b v="0"/>
    <b v="0"/>
    <x v="0"/>
    <b v="0"/>
  </r>
  <r>
    <s v="S-db47af"/>
    <s v="A-d535f6"/>
    <d v="2024-11-13T00:00:00"/>
    <m/>
    <x v="2"/>
    <n v="54"/>
    <n v="1026"/>
    <n v="12312"/>
    <x v="0"/>
    <b v="0"/>
    <b v="0"/>
    <b v="0"/>
    <x v="0"/>
    <b v="1"/>
  </r>
  <r>
    <s v="S-9af385"/>
    <s v="A-157070"/>
    <d v="2024-09-26T00:00:00"/>
    <m/>
    <x v="2"/>
    <n v="27"/>
    <n v="513"/>
    <n v="6156"/>
    <x v="0"/>
    <b v="0"/>
    <b v="0"/>
    <b v="0"/>
    <x v="0"/>
    <b v="1"/>
  </r>
  <r>
    <s v="S-491caf"/>
    <s v="A-6f50ae"/>
    <d v="2024-03-24T00:00:00"/>
    <m/>
    <x v="2"/>
    <n v="19"/>
    <n v="361"/>
    <n v="4332"/>
    <x v="0"/>
    <b v="0"/>
    <b v="1"/>
    <b v="0"/>
    <x v="1"/>
    <b v="0"/>
  </r>
  <r>
    <s v="S-6bd30a"/>
    <s v="A-5c9849"/>
    <d v="2024-12-01T00:00:00"/>
    <d v="2024-12-16T00:00:00"/>
    <x v="0"/>
    <n v="91"/>
    <n v="18109"/>
    <n v="217308"/>
    <x v="0"/>
    <b v="0"/>
    <b v="0"/>
    <b v="1"/>
    <x v="0"/>
    <b v="1"/>
  </r>
  <r>
    <s v="S-6cdfb7"/>
    <s v="A-432483"/>
    <d v="2024-11-29T00:00:00"/>
    <m/>
    <x v="1"/>
    <n v="31"/>
    <n v="1519"/>
    <n v="18228"/>
    <x v="0"/>
    <b v="0"/>
    <b v="0"/>
    <b v="0"/>
    <x v="1"/>
    <b v="1"/>
  </r>
  <r>
    <s v="S-2b7664"/>
    <s v="A-cb6cc6"/>
    <d v="2023-08-22T00:00:00"/>
    <m/>
    <x v="2"/>
    <n v="13"/>
    <n v="247"/>
    <n v="2964"/>
    <x v="0"/>
    <b v="0"/>
    <b v="0"/>
    <b v="0"/>
    <x v="0"/>
    <b v="1"/>
  </r>
  <r>
    <s v="S-e6b35a"/>
    <s v="A-3c1a3f"/>
    <d v="2024-03-25T00:00:00"/>
    <m/>
    <x v="2"/>
    <n v="4"/>
    <n v="76"/>
    <n v="912"/>
    <x v="0"/>
    <b v="0"/>
    <b v="0"/>
    <b v="0"/>
    <x v="0"/>
    <b v="1"/>
  </r>
  <r>
    <s v="S-221db6"/>
    <s v="A-1d5444"/>
    <d v="2024-09-16T00:00:00"/>
    <m/>
    <x v="1"/>
    <n v="24"/>
    <n v="0"/>
    <n v="0"/>
    <x v="1"/>
    <b v="0"/>
    <b v="0"/>
    <b v="0"/>
    <x v="1"/>
    <b v="1"/>
  </r>
  <r>
    <s v="S-408c2f"/>
    <s v="A-993085"/>
    <d v="2023-11-23T00:00:00"/>
    <m/>
    <x v="2"/>
    <n v="31"/>
    <n v="589"/>
    <n v="7068"/>
    <x v="0"/>
    <b v="0"/>
    <b v="0"/>
    <b v="0"/>
    <x v="1"/>
    <b v="1"/>
  </r>
  <r>
    <s v="S-f690b4"/>
    <s v="A-dfbd31"/>
    <d v="2024-12-04T00:00:00"/>
    <m/>
    <x v="1"/>
    <n v="35"/>
    <n v="1715"/>
    <n v="20580"/>
    <x v="0"/>
    <b v="0"/>
    <b v="1"/>
    <b v="0"/>
    <x v="1"/>
    <b v="1"/>
  </r>
  <r>
    <s v="S-f4dc54"/>
    <s v="A-eb1312"/>
    <d v="2024-12-10T00:00:00"/>
    <m/>
    <x v="2"/>
    <n v="25"/>
    <n v="475"/>
    <n v="5700"/>
    <x v="0"/>
    <b v="0"/>
    <b v="0"/>
    <b v="0"/>
    <x v="0"/>
    <b v="1"/>
  </r>
  <r>
    <s v="S-5717da"/>
    <s v="A-54d94a"/>
    <d v="2024-10-24T00:00:00"/>
    <m/>
    <x v="1"/>
    <n v="27"/>
    <n v="1323"/>
    <n v="15876"/>
    <x v="0"/>
    <b v="0"/>
    <b v="0"/>
    <b v="0"/>
    <x v="0"/>
    <b v="1"/>
  </r>
  <r>
    <s v="S-36c07b"/>
    <s v="A-2922b6"/>
    <d v="2024-12-11T00:00:00"/>
    <m/>
    <x v="1"/>
    <n v="15"/>
    <n v="735"/>
    <n v="8820"/>
    <x v="0"/>
    <b v="0"/>
    <b v="0"/>
    <b v="0"/>
    <x v="1"/>
    <b v="1"/>
  </r>
  <r>
    <s v="S-01afa4"/>
    <s v="A-a09355"/>
    <d v="2024-12-05T00:00:00"/>
    <m/>
    <x v="0"/>
    <n v="14"/>
    <n v="2786"/>
    <n v="33432"/>
    <x v="0"/>
    <b v="0"/>
    <b v="1"/>
    <b v="0"/>
    <x v="1"/>
    <b v="1"/>
  </r>
  <r>
    <s v="S-f7234f"/>
    <s v="A-5f7781"/>
    <d v="2024-08-27T00:00:00"/>
    <m/>
    <x v="1"/>
    <n v="85"/>
    <n v="0"/>
    <n v="0"/>
    <x v="1"/>
    <b v="0"/>
    <b v="0"/>
    <b v="0"/>
    <x v="0"/>
    <b v="0"/>
  </r>
  <r>
    <s v="S-dd1d46"/>
    <s v="A-72799b"/>
    <d v="2023-11-18T00:00:00"/>
    <m/>
    <x v="0"/>
    <n v="20"/>
    <n v="0"/>
    <n v="0"/>
    <x v="1"/>
    <b v="0"/>
    <b v="0"/>
    <b v="0"/>
    <x v="0"/>
    <b v="1"/>
  </r>
  <r>
    <s v="S-fa0094"/>
    <s v="A-2bc93d"/>
    <d v="2024-02-23T00:00:00"/>
    <m/>
    <x v="1"/>
    <n v="14"/>
    <n v="686"/>
    <n v="8232"/>
    <x v="0"/>
    <b v="0"/>
    <b v="0"/>
    <b v="0"/>
    <x v="1"/>
    <b v="1"/>
  </r>
  <r>
    <s v="S-bf89e6"/>
    <s v="A-812c5b"/>
    <d v="2024-05-19T00:00:00"/>
    <m/>
    <x v="1"/>
    <n v="130"/>
    <n v="6370"/>
    <n v="76440"/>
    <x v="0"/>
    <b v="0"/>
    <b v="0"/>
    <b v="0"/>
    <x v="0"/>
    <b v="1"/>
  </r>
  <r>
    <s v="S-078c2b"/>
    <s v="A-354f12"/>
    <d v="2024-11-08T00:00:00"/>
    <m/>
    <x v="2"/>
    <n v="7"/>
    <n v="133"/>
    <n v="1596"/>
    <x v="0"/>
    <b v="0"/>
    <b v="0"/>
    <b v="0"/>
    <x v="0"/>
    <b v="1"/>
  </r>
  <r>
    <s v="S-496c1e"/>
    <s v="A-f19b24"/>
    <d v="2024-08-20T00:00:00"/>
    <m/>
    <x v="2"/>
    <n v="29"/>
    <n v="551"/>
    <n v="6612"/>
    <x v="0"/>
    <b v="0"/>
    <b v="0"/>
    <b v="0"/>
    <x v="1"/>
    <b v="1"/>
  </r>
  <r>
    <s v="S-40dcf4"/>
    <s v="A-249769"/>
    <d v="2024-08-05T00:00:00"/>
    <m/>
    <x v="0"/>
    <n v="56"/>
    <n v="11144"/>
    <n v="133728"/>
    <x v="0"/>
    <b v="0"/>
    <b v="0"/>
    <b v="0"/>
    <x v="1"/>
    <b v="1"/>
  </r>
  <r>
    <s v="S-4cd678"/>
    <s v="A-40de06"/>
    <d v="2024-03-24T00:00:00"/>
    <m/>
    <x v="1"/>
    <n v="28"/>
    <n v="1372"/>
    <n v="16464"/>
    <x v="0"/>
    <b v="0"/>
    <b v="0"/>
    <b v="0"/>
    <x v="0"/>
    <b v="0"/>
  </r>
  <r>
    <s v="S-f981fe"/>
    <s v="A-3cc791"/>
    <d v="2024-06-01T00:00:00"/>
    <m/>
    <x v="0"/>
    <n v="22"/>
    <n v="4378"/>
    <n v="52536"/>
    <x v="0"/>
    <b v="0"/>
    <b v="0"/>
    <b v="0"/>
    <x v="0"/>
    <b v="1"/>
  </r>
  <r>
    <s v="S-5da6e7"/>
    <s v="A-5a215a"/>
    <d v="2024-07-29T00:00:00"/>
    <d v="2024-09-19T00:00:00"/>
    <x v="1"/>
    <n v="87"/>
    <n v="4263"/>
    <n v="51156"/>
    <x v="0"/>
    <b v="0"/>
    <b v="0"/>
    <b v="1"/>
    <x v="1"/>
    <b v="1"/>
  </r>
  <r>
    <s v="S-1a5fa7"/>
    <s v="A-1f559b"/>
    <d v="2024-02-27T00:00:00"/>
    <m/>
    <x v="0"/>
    <n v="26"/>
    <n v="5174"/>
    <n v="62088"/>
    <x v="0"/>
    <b v="0"/>
    <b v="0"/>
    <b v="0"/>
    <x v="1"/>
    <b v="0"/>
  </r>
  <r>
    <s v="S-067edc"/>
    <s v="A-075038"/>
    <d v="2023-11-30T00:00:00"/>
    <m/>
    <x v="1"/>
    <n v="23"/>
    <n v="0"/>
    <n v="0"/>
    <x v="1"/>
    <b v="1"/>
    <b v="0"/>
    <b v="0"/>
    <x v="0"/>
    <b v="1"/>
  </r>
  <r>
    <s v="S-16ce94"/>
    <s v="A-c4ea60"/>
    <d v="2024-09-09T00:00:00"/>
    <m/>
    <x v="1"/>
    <n v="18"/>
    <n v="882"/>
    <n v="10584"/>
    <x v="0"/>
    <b v="0"/>
    <b v="0"/>
    <b v="0"/>
    <x v="1"/>
    <b v="1"/>
  </r>
  <r>
    <s v="S-f2710b"/>
    <s v="A-309e54"/>
    <d v="2024-12-13T00:00:00"/>
    <m/>
    <x v="0"/>
    <n v="46"/>
    <n v="0"/>
    <n v="0"/>
    <x v="1"/>
    <b v="0"/>
    <b v="0"/>
    <b v="0"/>
    <x v="1"/>
    <b v="1"/>
  </r>
  <r>
    <s v="S-709f67"/>
    <s v="A-484819"/>
    <d v="2023-05-27T00:00:00"/>
    <m/>
    <x v="0"/>
    <n v="18"/>
    <n v="3582"/>
    <n v="42984"/>
    <x v="0"/>
    <b v="0"/>
    <b v="0"/>
    <b v="0"/>
    <x v="1"/>
    <b v="1"/>
  </r>
  <r>
    <s v="S-1bc5a4"/>
    <s v="A-560d27"/>
    <d v="2024-07-31T00:00:00"/>
    <m/>
    <x v="0"/>
    <n v="23"/>
    <n v="4577"/>
    <n v="54924"/>
    <x v="0"/>
    <b v="0"/>
    <b v="0"/>
    <b v="0"/>
    <x v="0"/>
    <b v="0"/>
  </r>
  <r>
    <s v="S-4d5623"/>
    <s v="A-d40bf7"/>
    <d v="2024-11-09T00:00:00"/>
    <m/>
    <x v="0"/>
    <n v="59"/>
    <n v="11741"/>
    <n v="140892"/>
    <x v="0"/>
    <b v="0"/>
    <b v="0"/>
    <b v="0"/>
    <x v="1"/>
    <b v="1"/>
  </r>
  <r>
    <s v="S-91b63c"/>
    <s v="A-f17767"/>
    <d v="2023-12-07T00:00:00"/>
    <m/>
    <x v="0"/>
    <n v="39"/>
    <n v="7761"/>
    <n v="93132"/>
    <x v="0"/>
    <b v="0"/>
    <b v="0"/>
    <b v="0"/>
    <x v="1"/>
    <b v="1"/>
  </r>
  <r>
    <s v="S-f5bef8"/>
    <s v="A-993085"/>
    <d v="2023-09-22T00:00:00"/>
    <m/>
    <x v="0"/>
    <n v="40"/>
    <n v="7960"/>
    <n v="95520"/>
    <x v="0"/>
    <b v="0"/>
    <b v="1"/>
    <b v="0"/>
    <x v="0"/>
    <b v="1"/>
  </r>
  <r>
    <s v="S-e6c900"/>
    <s v="A-cd458b"/>
    <d v="2024-09-18T00:00:00"/>
    <m/>
    <x v="1"/>
    <n v="10"/>
    <n v="490"/>
    <n v="5880"/>
    <x v="0"/>
    <b v="0"/>
    <b v="0"/>
    <b v="0"/>
    <x v="1"/>
    <b v="1"/>
  </r>
  <r>
    <s v="S-3c9115"/>
    <s v="A-9badbd"/>
    <d v="2024-07-01T00:00:00"/>
    <m/>
    <x v="0"/>
    <n v="30"/>
    <n v="5970"/>
    <n v="71640"/>
    <x v="0"/>
    <b v="0"/>
    <b v="0"/>
    <b v="0"/>
    <x v="0"/>
    <b v="0"/>
  </r>
  <r>
    <s v="S-79af01"/>
    <s v="A-4ae22a"/>
    <d v="2024-07-24T00:00:00"/>
    <m/>
    <x v="0"/>
    <n v="6"/>
    <n v="1194"/>
    <n v="14328"/>
    <x v="0"/>
    <b v="0"/>
    <b v="0"/>
    <b v="0"/>
    <x v="0"/>
    <b v="1"/>
  </r>
  <r>
    <s v="S-9fa738"/>
    <s v="A-977ca0"/>
    <d v="2024-02-02T00:00:00"/>
    <m/>
    <x v="2"/>
    <n v="10"/>
    <n v="0"/>
    <n v="0"/>
    <x v="1"/>
    <b v="0"/>
    <b v="0"/>
    <b v="0"/>
    <x v="0"/>
    <b v="0"/>
  </r>
  <r>
    <s v="S-786ead"/>
    <s v="A-88c6ca"/>
    <d v="2024-12-02T00:00:00"/>
    <m/>
    <x v="1"/>
    <n v="8"/>
    <n v="392"/>
    <n v="4704"/>
    <x v="0"/>
    <b v="0"/>
    <b v="0"/>
    <b v="0"/>
    <x v="0"/>
    <b v="1"/>
  </r>
  <r>
    <s v="S-9b5be4"/>
    <s v="A-ffdfd5"/>
    <d v="2024-10-23T00:00:00"/>
    <m/>
    <x v="0"/>
    <n v="4"/>
    <n v="796"/>
    <n v="9552"/>
    <x v="0"/>
    <b v="0"/>
    <b v="0"/>
    <b v="0"/>
    <x v="0"/>
    <b v="0"/>
  </r>
  <r>
    <s v="S-3a4336"/>
    <s v="A-c1dfe1"/>
    <d v="2024-07-07T00:00:00"/>
    <m/>
    <x v="0"/>
    <n v="26"/>
    <n v="5174"/>
    <n v="62088"/>
    <x v="0"/>
    <b v="0"/>
    <b v="1"/>
    <b v="0"/>
    <x v="0"/>
    <b v="1"/>
  </r>
  <r>
    <s v="S-9a410c"/>
    <s v="A-d535f6"/>
    <d v="2024-12-11T00:00:00"/>
    <m/>
    <x v="1"/>
    <n v="46"/>
    <n v="2254"/>
    <n v="27048"/>
    <x v="0"/>
    <b v="0"/>
    <b v="1"/>
    <b v="0"/>
    <x v="1"/>
    <b v="1"/>
  </r>
  <r>
    <s v="S-cd3f49"/>
    <s v="A-b2225d"/>
    <d v="2024-05-22T00:00:00"/>
    <m/>
    <x v="0"/>
    <n v="47"/>
    <n v="0"/>
    <n v="0"/>
    <x v="1"/>
    <b v="0"/>
    <b v="0"/>
    <b v="0"/>
    <x v="1"/>
    <b v="1"/>
  </r>
  <r>
    <s v="S-896293"/>
    <s v="A-337bc1"/>
    <d v="2024-09-12T00:00:00"/>
    <m/>
    <x v="2"/>
    <n v="30"/>
    <n v="0"/>
    <n v="0"/>
    <x v="1"/>
    <b v="1"/>
    <b v="0"/>
    <b v="0"/>
    <x v="0"/>
    <b v="1"/>
  </r>
  <r>
    <s v="S-643ccd"/>
    <s v="A-45ce7a"/>
    <d v="2024-09-30T00:00:00"/>
    <m/>
    <x v="2"/>
    <n v="16"/>
    <n v="304"/>
    <n v="3648"/>
    <x v="0"/>
    <b v="0"/>
    <b v="0"/>
    <b v="0"/>
    <x v="1"/>
    <b v="0"/>
  </r>
  <r>
    <s v="S-34f8ad"/>
    <s v="A-484819"/>
    <d v="2024-05-22T00:00:00"/>
    <m/>
    <x v="2"/>
    <n v="18"/>
    <n v="342"/>
    <n v="4104"/>
    <x v="0"/>
    <b v="0"/>
    <b v="0"/>
    <b v="0"/>
    <x v="1"/>
    <b v="1"/>
  </r>
  <r>
    <s v="S-d85c2f"/>
    <s v="A-e6afc1"/>
    <d v="2024-08-15T00:00:00"/>
    <m/>
    <x v="1"/>
    <n v="85"/>
    <n v="4165"/>
    <n v="49980"/>
    <x v="0"/>
    <b v="0"/>
    <b v="0"/>
    <b v="0"/>
    <x v="1"/>
    <b v="1"/>
  </r>
  <r>
    <s v="S-826d19"/>
    <s v="A-5790f4"/>
    <d v="2024-12-26T00:00:00"/>
    <d v="2024-12-29T00:00:00"/>
    <x v="0"/>
    <n v="8"/>
    <n v="1592"/>
    <n v="19104"/>
    <x v="0"/>
    <b v="0"/>
    <b v="0"/>
    <b v="1"/>
    <x v="1"/>
    <b v="1"/>
  </r>
  <r>
    <s v="S-323f3e"/>
    <s v="A-b48f73"/>
    <d v="2024-12-27T00:00:00"/>
    <m/>
    <x v="1"/>
    <n v="80"/>
    <n v="3920"/>
    <n v="47040"/>
    <x v="0"/>
    <b v="0"/>
    <b v="0"/>
    <b v="0"/>
    <x v="1"/>
    <b v="0"/>
  </r>
  <r>
    <s v="S-202695"/>
    <s v="A-d535f6"/>
    <d v="2024-09-23T00:00:00"/>
    <m/>
    <x v="2"/>
    <n v="12"/>
    <n v="228"/>
    <n v="2736"/>
    <x v="0"/>
    <b v="0"/>
    <b v="0"/>
    <b v="0"/>
    <x v="0"/>
    <b v="1"/>
  </r>
  <r>
    <s v="S-905752"/>
    <s v="A-bcf664"/>
    <d v="2024-08-29T00:00:00"/>
    <m/>
    <x v="2"/>
    <n v="30"/>
    <n v="570"/>
    <n v="6840"/>
    <x v="0"/>
    <b v="0"/>
    <b v="0"/>
    <b v="0"/>
    <x v="0"/>
    <b v="1"/>
  </r>
  <r>
    <s v="S-e53224"/>
    <s v="A-d82ef9"/>
    <d v="2024-08-25T00:00:00"/>
    <m/>
    <x v="1"/>
    <n v="26"/>
    <n v="0"/>
    <n v="0"/>
    <x v="1"/>
    <b v="0"/>
    <b v="1"/>
    <b v="0"/>
    <x v="1"/>
    <b v="1"/>
  </r>
  <r>
    <s v="S-040422"/>
    <s v="A-463db0"/>
    <d v="2024-12-28T00:00:00"/>
    <m/>
    <x v="2"/>
    <n v="15"/>
    <n v="285"/>
    <n v="3420"/>
    <x v="0"/>
    <b v="0"/>
    <b v="0"/>
    <b v="0"/>
    <x v="1"/>
    <b v="1"/>
  </r>
  <r>
    <s v="S-aef80b"/>
    <s v="A-ccabf0"/>
    <d v="2024-01-05T00:00:00"/>
    <m/>
    <x v="0"/>
    <n v="13"/>
    <n v="2587"/>
    <n v="31044"/>
    <x v="0"/>
    <b v="0"/>
    <b v="0"/>
    <b v="0"/>
    <x v="1"/>
    <b v="1"/>
  </r>
  <r>
    <s v="S-dda23d"/>
    <s v="A-1b707d"/>
    <d v="2023-11-14T00:00:00"/>
    <m/>
    <x v="1"/>
    <n v="7"/>
    <n v="343"/>
    <n v="4116"/>
    <x v="0"/>
    <b v="0"/>
    <b v="0"/>
    <b v="0"/>
    <x v="1"/>
    <b v="0"/>
  </r>
  <r>
    <s v="S-d29830"/>
    <s v="A-684255"/>
    <d v="2024-07-01T00:00:00"/>
    <m/>
    <x v="2"/>
    <n v="9"/>
    <n v="171"/>
    <n v="2052"/>
    <x v="0"/>
    <b v="0"/>
    <b v="0"/>
    <b v="0"/>
    <x v="1"/>
    <b v="1"/>
  </r>
  <r>
    <s v="S-fc86d6"/>
    <s v="A-038089"/>
    <d v="2024-06-27T00:00:00"/>
    <m/>
    <x v="1"/>
    <n v="5"/>
    <n v="245"/>
    <n v="2940"/>
    <x v="0"/>
    <b v="0"/>
    <b v="0"/>
    <b v="0"/>
    <x v="1"/>
    <b v="1"/>
  </r>
  <r>
    <s v="S-7179fd"/>
    <s v="A-bcf664"/>
    <d v="2023-06-16T00:00:00"/>
    <m/>
    <x v="2"/>
    <n v="59"/>
    <n v="1121"/>
    <n v="13452"/>
    <x v="0"/>
    <b v="0"/>
    <b v="0"/>
    <b v="0"/>
    <x v="0"/>
    <b v="1"/>
  </r>
  <r>
    <s v="S-01daf5"/>
    <s v="A-9affe6"/>
    <d v="2024-11-14T00:00:00"/>
    <m/>
    <x v="1"/>
    <n v="23"/>
    <n v="1127"/>
    <n v="13524"/>
    <x v="0"/>
    <b v="0"/>
    <b v="0"/>
    <b v="0"/>
    <x v="0"/>
    <b v="1"/>
  </r>
  <r>
    <s v="S-916876"/>
    <s v="A-5ed98d"/>
    <d v="2024-09-08T00:00:00"/>
    <m/>
    <x v="1"/>
    <n v="24"/>
    <n v="1176"/>
    <n v="14112"/>
    <x v="0"/>
    <b v="0"/>
    <b v="0"/>
    <b v="0"/>
    <x v="0"/>
    <b v="1"/>
  </r>
  <r>
    <s v="S-4eef1a"/>
    <s v="A-3a7284"/>
    <d v="2024-12-18T00:00:00"/>
    <m/>
    <x v="2"/>
    <n v="31"/>
    <n v="589"/>
    <n v="7068"/>
    <x v="0"/>
    <b v="0"/>
    <b v="0"/>
    <b v="0"/>
    <x v="0"/>
    <b v="1"/>
  </r>
  <r>
    <s v="S-166024"/>
    <s v="A-443b7c"/>
    <d v="2024-10-20T00:00:00"/>
    <m/>
    <x v="2"/>
    <n v="24"/>
    <n v="456"/>
    <n v="5472"/>
    <x v="0"/>
    <b v="0"/>
    <b v="0"/>
    <b v="0"/>
    <x v="0"/>
    <b v="1"/>
  </r>
  <r>
    <s v="S-3ee288"/>
    <s v="A-05d3b3"/>
    <d v="2024-10-01T00:00:00"/>
    <m/>
    <x v="0"/>
    <n v="19"/>
    <n v="3781"/>
    <n v="45372"/>
    <x v="0"/>
    <b v="0"/>
    <b v="0"/>
    <b v="0"/>
    <x v="1"/>
    <b v="1"/>
  </r>
  <r>
    <s v="S-4da04b"/>
    <s v="A-54ecc2"/>
    <d v="2024-09-16T00:00:00"/>
    <m/>
    <x v="1"/>
    <n v="7"/>
    <n v="343"/>
    <n v="4116"/>
    <x v="0"/>
    <b v="0"/>
    <b v="1"/>
    <b v="0"/>
    <x v="1"/>
    <b v="1"/>
  </r>
  <r>
    <s v="S-2d494e"/>
    <s v="A-922109"/>
    <d v="2024-12-01T00:00:00"/>
    <m/>
    <x v="2"/>
    <n v="5"/>
    <n v="0"/>
    <n v="0"/>
    <x v="1"/>
    <b v="0"/>
    <b v="0"/>
    <b v="0"/>
    <x v="0"/>
    <b v="1"/>
  </r>
  <r>
    <s v="S-a80511"/>
    <s v="A-993085"/>
    <d v="2024-09-14T00:00:00"/>
    <m/>
    <x v="1"/>
    <n v="31"/>
    <n v="1519"/>
    <n v="18228"/>
    <x v="0"/>
    <b v="0"/>
    <b v="0"/>
    <b v="0"/>
    <x v="1"/>
    <b v="1"/>
  </r>
  <r>
    <s v="S-bc4da7"/>
    <s v="A-02cd81"/>
    <d v="2024-09-10T00:00:00"/>
    <m/>
    <x v="2"/>
    <n v="44"/>
    <n v="0"/>
    <n v="0"/>
    <x v="1"/>
    <b v="0"/>
    <b v="0"/>
    <b v="0"/>
    <x v="1"/>
    <b v="1"/>
  </r>
  <r>
    <s v="S-149409"/>
    <s v="A-0cc442"/>
    <d v="2024-09-15T00:00:00"/>
    <d v="2024-10-28T00:00:00"/>
    <x v="1"/>
    <n v="45"/>
    <n v="0"/>
    <n v="0"/>
    <x v="1"/>
    <b v="1"/>
    <b v="1"/>
    <b v="1"/>
    <x v="0"/>
    <b v="1"/>
  </r>
  <r>
    <s v="S-5488ba"/>
    <s v="A-d3c88e"/>
    <d v="2024-12-13T00:00:00"/>
    <m/>
    <x v="0"/>
    <n v="16"/>
    <n v="3184"/>
    <n v="38208"/>
    <x v="0"/>
    <b v="0"/>
    <b v="0"/>
    <b v="0"/>
    <x v="1"/>
    <b v="1"/>
  </r>
  <r>
    <s v="S-d5ce9f"/>
    <s v="A-acb7f7"/>
    <d v="2024-02-20T00:00:00"/>
    <m/>
    <x v="2"/>
    <n v="39"/>
    <n v="741"/>
    <n v="8892"/>
    <x v="0"/>
    <b v="0"/>
    <b v="0"/>
    <b v="0"/>
    <x v="0"/>
    <b v="1"/>
  </r>
  <r>
    <s v="S-680dbe"/>
    <s v="A-b07b56"/>
    <d v="2024-12-18T00:00:00"/>
    <m/>
    <x v="0"/>
    <n v="25"/>
    <n v="4975"/>
    <n v="59700"/>
    <x v="0"/>
    <b v="0"/>
    <b v="0"/>
    <b v="0"/>
    <x v="1"/>
    <b v="1"/>
  </r>
  <r>
    <s v="S-129a62"/>
    <s v="A-8bde0c"/>
    <d v="2024-12-15T00:00:00"/>
    <m/>
    <x v="2"/>
    <n v="34"/>
    <n v="0"/>
    <n v="0"/>
    <x v="1"/>
    <b v="0"/>
    <b v="0"/>
    <b v="0"/>
    <x v="0"/>
    <b v="0"/>
  </r>
  <r>
    <s v="S-b821f4"/>
    <s v="A-adc1f3"/>
    <d v="2024-12-21T00:00:00"/>
    <m/>
    <x v="0"/>
    <n v="5"/>
    <n v="995"/>
    <n v="11940"/>
    <x v="0"/>
    <b v="0"/>
    <b v="0"/>
    <b v="0"/>
    <x v="0"/>
    <b v="1"/>
  </r>
  <r>
    <s v="S-b5d3cc"/>
    <s v="A-d3c88e"/>
    <d v="2024-12-29T00:00:00"/>
    <m/>
    <x v="0"/>
    <n v="16"/>
    <n v="3184"/>
    <n v="38208"/>
    <x v="0"/>
    <b v="0"/>
    <b v="0"/>
    <b v="0"/>
    <x v="0"/>
    <b v="1"/>
  </r>
  <r>
    <s v="S-115510"/>
    <s v="A-3b37d9"/>
    <d v="2024-05-28T00:00:00"/>
    <m/>
    <x v="0"/>
    <n v="23"/>
    <n v="0"/>
    <n v="0"/>
    <x v="1"/>
    <b v="0"/>
    <b v="0"/>
    <b v="0"/>
    <x v="0"/>
    <b v="1"/>
  </r>
  <r>
    <s v="S-244df8"/>
    <s v="A-94d3da"/>
    <d v="2024-10-28T00:00:00"/>
    <m/>
    <x v="2"/>
    <n v="41"/>
    <n v="779"/>
    <n v="9348"/>
    <x v="0"/>
    <b v="0"/>
    <b v="0"/>
    <b v="0"/>
    <x v="0"/>
    <b v="1"/>
  </r>
  <r>
    <s v="S-688851"/>
    <s v="A-50f3f7"/>
    <d v="2024-04-05T00:00:00"/>
    <m/>
    <x v="2"/>
    <n v="51"/>
    <n v="969"/>
    <n v="11628"/>
    <x v="0"/>
    <b v="0"/>
    <b v="0"/>
    <b v="0"/>
    <x v="1"/>
    <b v="1"/>
  </r>
  <r>
    <s v="S-36aedb"/>
    <s v="A-2bc93d"/>
    <d v="2024-09-10T00:00:00"/>
    <m/>
    <x v="0"/>
    <n v="14"/>
    <n v="2786"/>
    <n v="33432"/>
    <x v="0"/>
    <b v="1"/>
    <b v="0"/>
    <b v="0"/>
    <x v="1"/>
    <b v="0"/>
  </r>
  <r>
    <s v="S-642365"/>
    <s v="A-bd4513"/>
    <d v="2024-12-13T00:00:00"/>
    <m/>
    <x v="2"/>
    <n v="50"/>
    <n v="950"/>
    <n v="11400"/>
    <x v="0"/>
    <b v="0"/>
    <b v="0"/>
    <b v="0"/>
    <x v="1"/>
    <b v="1"/>
  </r>
  <r>
    <s v="S-4d47e3"/>
    <s v="A-7f4db3"/>
    <d v="2023-03-28T00:00:00"/>
    <d v="2024-06-17T00:00:00"/>
    <x v="1"/>
    <n v="4"/>
    <n v="196"/>
    <n v="2352"/>
    <x v="0"/>
    <b v="0"/>
    <b v="0"/>
    <b v="1"/>
    <x v="0"/>
    <b v="1"/>
  </r>
  <r>
    <s v="S-69b3ac"/>
    <s v="A-de58ca"/>
    <d v="2023-05-07T00:00:00"/>
    <m/>
    <x v="0"/>
    <n v="80"/>
    <n v="0"/>
    <n v="0"/>
    <x v="1"/>
    <b v="0"/>
    <b v="0"/>
    <b v="0"/>
    <x v="1"/>
    <b v="0"/>
  </r>
  <r>
    <s v="S-650c13"/>
    <s v="A-692f18"/>
    <d v="2024-08-06T00:00:00"/>
    <m/>
    <x v="2"/>
    <n v="6"/>
    <n v="114"/>
    <n v="1368"/>
    <x v="0"/>
    <b v="0"/>
    <b v="0"/>
    <b v="0"/>
    <x v="0"/>
    <b v="1"/>
  </r>
  <r>
    <s v="S-380617"/>
    <s v="A-b2225d"/>
    <d v="2024-12-10T00:00:00"/>
    <m/>
    <x v="2"/>
    <n v="47"/>
    <n v="893"/>
    <n v="10716"/>
    <x v="0"/>
    <b v="0"/>
    <b v="0"/>
    <b v="0"/>
    <x v="1"/>
    <b v="1"/>
  </r>
  <r>
    <s v="S-a1874c"/>
    <s v="A-9174e0"/>
    <d v="2024-12-09T00:00:00"/>
    <m/>
    <x v="1"/>
    <n v="37"/>
    <n v="1813"/>
    <n v="21756"/>
    <x v="0"/>
    <b v="0"/>
    <b v="0"/>
    <b v="0"/>
    <x v="0"/>
    <b v="1"/>
  </r>
  <r>
    <s v="S-26dbbf"/>
    <s v="A-432483"/>
    <d v="2023-12-17T00:00:00"/>
    <m/>
    <x v="1"/>
    <n v="19"/>
    <n v="931"/>
    <n v="11172"/>
    <x v="0"/>
    <b v="0"/>
    <b v="0"/>
    <b v="0"/>
    <x v="0"/>
    <b v="1"/>
  </r>
  <r>
    <s v="S-467918"/>
    <s v="A-396e5f"/>
    <d v="2024-12-19T00:00:00"/>
    <m/>
    <x v="1"/>
    <n v="34"/>
    <n v="1666"/>
    <n v="19992"/>
    <x v="0"/>
    <b v="0"/>
    <b v="0"/>
    <b v="0"/>
    <x v="0"/>
    <b v="0"/>
  </r>
  <r>
    <s v="S-5a4fb5"/>
    <s v="A-462d45"/>
    <d v="2024-02-13T00:00:00"/>
    <m/>
    <x v="1"/>
    <n v="13"/>
    <n v="637"/>
    <n v="7644"/>
    <x v="0"/>
    <b v="1"/>
    <b v="0"/>
    <b v="0"/>
    <x v="1"/>
    <b v="1"/>
  </r>
  <r>
    <s v="S-023f5f"/>
    <s v="A-b2225d"/>
    <d v="2024-08-18T00:00:00"/>
    <m/>
    <x v="2"/>
    <n v="47"/>
    <n v="893"/>
    <n v="10716"/>
    <x v="0"/>
    <b v="0"/>
    <b v="0"/>
    <b v="0"/>
    <x v="1"/>
    <b v="1"/>
  </r>
  <r>
    <s v="S-4793bb"/>
    <s v="A-0f7d77"/>
    <d v="2024-12-08T00:00:00"/>
    <m/>
    <x v="1"/>
    <n v="3"/>
    <n v="147"/>
    <n v="1764"/>
    <x v="0"/>
    <b v="0"/>
    <b v="0"/>
    <b v="0"/>
    <x v="1"/>
    <b v="0"/>
  </r>
  <r>
    <s v="S-0da8be"/>
    <s v="A-cc8c8f"/>
    <d v="2024-07-16T00:00:00"/>
    <d v="2024-09-05T00:00:00"/>
    <x v="2"/>
    <n v="23"/>
    <n v="0"/>
    <n v="0"/>
    <x v="1"/>
    <b v="0"/>
    <b v="0"/>
    <b v="1"/>
    <x v="0"/>
    <b v="1"/>
  </r>
  <r>
    <s v="S-6d6ab6"/>
    <s v="A-54d94a"/>
    <d v="2024-12-21T00:00:00"/>
    <m/>
    <x v="2"/>
    <n v="27"/>
    <n v="513"/>
    <n v="6156"/>
    <x v="0"/>
    <b v="0"/>
    <b v="0"/>
    <b v="0"/>
    <x v="1"/>
    <b v="1"/>
  </r>
  <r>
    <s v="S-c033fa"/>
    <s v="A-151c9a"/>
    <d v="2024-06-26T00:00:00"/>
    <m/>
    <x v="1"/>
    <n v="52"/>
    <n v="2548"/>
    <n v="30576"/>
    <x v="0"/>
    <b v="0"/>
    <b v="0"/>
    <b v="0"/>
    <x v="0"/>
    <b v="0"/>
  </r>
  <r>
    <s v="S-330989"/>
    <s v="A-671f31"/>
    <d v="2024-11-27T00:00:00"/>
    <m/>
    <x v="1"/>
    <n v="59"/>
    <n v="2891"/>
    <n v="34692"/>
    <x v="0"/>
    <b v="0"/>
    <b v="0"/>
    <b v="0"/>
    <x v="1"/>
    <b v="1"/>
  </r>
  <r>
    <s v="S-2632a2"/>
    <s v="A-5a3eb9"/>
    <d v="2024-03-15T00:00:00"/>
    <m/>
    <x v="2"/>
    <n v="18"/>
    <n v="342"/>
    <n v="4104"/>
    <x v="0"/>
    <b v="0"/>
    <b v="1"/>
    <b v="0"/>
    <x v="1"/>
    <b v="1"/>
  </r>
  <r>
    <s v="S-e195f5"/>
    <s v="A-956988"/>
    <d v="2024-12-26T00:00:00"/>
    <m/>
    <x v="0"/>
    <n v="12"/>
    <n v="2388"/>
    <n v="28656"/>
    <x v="0"/>
    <b v="0"/>
    <b v="0"/>
    <b v="0"/>
    <x v="0"/>
    <b v="1"/>
  </r>
  <r>
    <s v="S-132103"/>
    <s v="A-a2485e"/>
    <d v="2024-08-08T00:00:00"/>
    <m/>
    <x v="1"/>
    <n v="9"/>
    <n v="441"/>
    <n v="5292"/>
    <x v="0"/>
    <b v="0"/>
    <b v="0"/>
    <b v="0"/>
    <x v="0"/>
    <b v="1"/>
  </r>
  <r>
    <s v="S-53361d"/>
    <s v="A-1ac5e0"/>
    <d v="2024-12-30T00:00:00"/>
    <m/>
    <x v="0"/>
    <n v="33"/>
    <n v="0"/>
    <n v="0"/>
    <x v="1"/>
    <b v="0"/>
    <b v="0"/>
    <b v="0"/>
    <x v="0"/>
    <b v="0"/>
  </r>
  <r>
    <s v="S-0c42bc"/>
    <s v="A-712426"/>
    <d v="2024-12-16T00:00:00"/>
    <m/>
    <x v="1"/>
    <n v="9"/>
    <n v="441"/>
    <n v="5292"/>
    <x v="0"/>
    <b v="0"/>
    <b v="0"/>
    <b v="0"/>
    <x v="1"/>
    <b v="1"/>
  </r>
  <r>
    <s v="S-b2cfac"/>
    <s v="A-7f8241"/>
    <d v="2024-12-24T00:00:00"/>
    <m/>
    <x v="0"/>
    <n v="34"/>
    <n v="6766"/>
    <n v="81192"/>
    <x v="0"/>
    <b v="0"/>
    <b v="0"/>
    <b v="0"/>
    <x v="0"/>
    <b v="0"/>
  </r>
  <r>
    <s v="S-fe2139"/>
    <s v="A-0f6450"/>
    <d v="2024-12-28T00:00:00"/>
    <m/>
    <x v="1"/>
    <n v="28"/>
    <n v="1372"/>
    <n v="16464"/>
    <x v="0"/>
    <b v="0"/>
    <b v="0"/>
    <b v="0"/>
    <x v="0"/>
    <b v="1"/>
  </r>
  <r>
    <s v="S-0386c2"/>
    <s v="A-0f6450"/>
    <d v="2024-12-28T00:00:00"/>
    <m/>
    <x v="0"/>
    <n v="28"/>
    <n v="5572"/>
    <n v="66864"/>
    <x v="0"/>
    <b v="0"/>
    <b v="0"/>
    <b v="0"/>
    <x v="1"/>
    <b v="1"/>
  </r>
  <r>
    <s v="S-3fb8f4"/>
    <s v="A-118f1c"/>
    <d v="2024-12-28T00:00:00"/>
    <m/>
    <x v="0"/>
    <n v="32"/>
    <n v="6368"/>
    <n v="76416"/>
    <x v="0"/>
    <b v="0"/>
    <b v="0"/>
    <b v="0"/>
    <x v="1"/>
    <b v="0"/>
  </r>
  <r>
    <s v="S-022a1e"/>
    <s v="A-c42f1f"/>
    <d v="2024-07-28T00:00:00"/>
    <m/>
    <x v="1"/>
    <n v="11"/>
    <n v="539"/>
    <n v="6468"/>
    <x v="0"/>
    <b v="0"/>
    <b v="0"/>
    <b v="0"/>
    <x v="1"/>
    <b v="1"/>
  </r>
  <r>
    <s v="S-a7a7c7"/>
    <s v="A-2ebb4b"/>
    <d v="2023-11-02T00:00:00"/>
    <m/>
    <x v="2"/>
    <n v="41"/>
    <n v="0"/>
    <n v="0"/>
    <x v="1"/>
    <b v="0"/>
    <b v="0"/>
    <b v="0"/>
    <x v="0"/>
    <b v="1"/>
  </r>
  <r>
    <s v="S-89d586"/>
    <s v="A-970c97"/>
    <d v="2024-11-02T00:00:00"/>
    <m/>
    <x v="1"/>
    <n v="29"/>
    <n v="1421"/>
    <n v="17052"/>
    <x v="0"/>
    <b v="0"/>
    <b v="0"/>
    <b v="0"/>
    <x v="1"/>
    <b v="1"/>
  </r>
  <r>
    <s v="S-fdc127"/>
    <s v="A-7641d3"/>
    <d v="2024-03-11T00:00:00"/>
    <m/>
    <x v="1"/>
    <n v="76"/>
    <n v="0"/>
    <n v="0"/>
    <x v="1"/>
    <b v="0"/>
    <b v="0"/>
    <b v="0"/>
    <x v="0"/>
    <b v="1"/>
  </r>
  <r>
    <s v="S-5fb9ab"/>
    <s v="A-7f6b86"/>
    <d v="2024-10-27T00:00:00"/>
    <m/>
    <x v="0"/>
    <n v="45"/>
    <n v="0"/>
    <n v="0"/>
    <x v="1"/>
    <b v="0"/>
    <b v="0"/>
    <b v="0"/>
    <x v="1"/>
    <b v="0"/>
  </r>
  <r>
    <s v="S-e36ccb"/>
    <s v="A-30b4ca"/>
    <d v="2024-06-30T00:00:00"/>
    <m/>
    <x v="0"/>
    <n v="86"/>
    <n v="17114"/>
    <n v="205368"/>
    <x v="0"/>
    <b v="0"/>
    <b v="0"/>
    <b v="0"/>
    <x v="0"/>
    <b v="1"/>
  </r>
  <r>
    <s v="S-88bc66"/>
    <s v="A-544d0a"/>
    <d v="2024-05-24T00:00:00"/>
    <m/>
    <x v="1"/>
    <n v="43"/>
    <n v="2107"/>
    <n v="25284"/>
    <x v="0"/>
    <b v="0"/>
    <b v="0"/>
    <b v="0"/>
    <x v="0"/>
    <b v="0"/>
  </r>
  <r>
    <s v="S-6aa72f"/>
    <s v="A-58b9ff"/>
    <d v="2024-07-05T00:00:00"/>
    <m/>
    <x v="0"/>
    <n v="3"/>
    <n v="0"/>
    <n v="0"/>
    <x v="1"/>
    <b v="0"/>
    <b v="0"/>
    <b v="0"/>
    <x v="1"/>
    <b v="0"/>
  </r>
  <r>
    <s v="S-029065"/>
    <s v="A-4c56c9"/>
    <d v="2024-07-28T00:00:00"/>
    <m/>
    <x v="2"/>
    <n v="11"/>
    <n v="0"/>
    <n v="0"/>
    <x v="1"/>
    <b v="0"/>
    <b v="0"/>
    <b v="0"/>
    <x v="1"/>
    <b v="1"/>
  </r>
  <r>
    <s v="S-7070de"/>
    <s v="A-bcbe98"/>
    <d v="2024-10-24T00:00:00"/>
    <m/>
    <x v="0"/>
    <n v="46"/>
    <n v="9154"/>
    <n v="109848"/>
    <x v="0"/>
    <b v="0"/>
    <b v="0"/>
    <b v="0"/>
    <x v="1"/>
    <b v="1"/>
  </r>
  <r>
    <s v="S-76b06c"/>
    <s v="A-54d94a"/>
    <d v="2024-08-06T00:00:00"/>
    <m/>
    <x v="1"/>
    <n v="27"/>
    <n v="1323"/>
    <n v="15876"/>
    <x v="0"/>
    <b v="0"/>
    <b v="0"/>
    <b v="0"/>
    <x v="0"/>
    <b v="1"/>
  </r>
  <r>
    <s v="S-a102aa"/>
    <s v="A-ccc747"/>
    <d v="2024-06-24T00:00:00"/>
    <m/>
    <x v="1"/>
    <n v="37"/>
    <n v="1813"/>
    <n v="21756"/>
    <x v="0"/>
    <b v="1"/>
    <b v="0"/>
    <b v="0"/>
    <x v="0"/>
    <b v="0"/>
  </r>
  <r>
    <s v="S-79c82e"/>
    <s v="A-40906c"/>
    <d v="2024-09-11T00:00:00"/>
    <m/>
    <x v="2"/>
    <n v="92"/>
    <n v="1748"/>
    <n v="20976"/>
    <x v="0"/>
    <b v="0"/>
    <b v="0"/>
    <b v="0"/>
    <x v="0"/>
    <b v="1"/>
  </r>
  <r>
    <s v="S-af4059"/>
    <s v="A-acb7f7"/>
    <d v="2024-01-07T00:00:00"/>
    <m/>
    <x v="0"/>
    <n v="32"/>
    <n v="6368"/>
    <n v="76416"/>
    <x v="0"/>
    <b v="0"/>
    <b v="0"/>
    <b v="0"/>
    <x v="1"/>
    <b v="1"/>
  </r>
  <r>
    <s v="S-22eb3c"/>
    <s v="A-0a282f"/>
    <d v="2024-12-20T00:00:00"/>
    <m/>
    <x v="2"/>
    <n v="60"/>
    <n v="1140"/>
    <n v="13680"/>
    <x v="0"/>
    <b v="0"/>
    <b v="0"/>
    <b v="0"/>
    <x v="0"/>
    <b v="1"/>
  </r>
  <r>
    <s v="S-4e0220"/>
    <s v="A-fa2041"/>
    <d v="2024-10-18T00:00:00"/>
    <m/>
    <x v="0"/>
    <n v="15"/>
    <n v="2985"/>
    <n v="35820"/>
    <x v="0"/>
    <b v="0"/>
    <b v="0"/>
    <b v="0"/>
    <x v="1"/>
    <b v="1"/>
  </r>
  <r>
    <s v="S-0ecec7"/>
    <s v="A-756192"/>
    <d v="2024-07-17T00:00:00"/>
    <m/>
    <x v="0"/>
    <n v="19"/>
    <n v="3781"/>
    <n v="45372"/>
    <x v="0"/>
    <b v="0"/>
    <b v="0"/>
    <b v="0"/>
    <x v="0"/>
    <b v="1"/>
  </r>
  <r>
    <s v="S-1b8454"/>
    <s v="A-d4e0d4"/>
    <d v="2024-10-27T00:00:00"/>
    <m/>
    <x v="0"/>
    <n v="117"/>
    <n v="23283"/>
    <n v="279396"/>
    <x v="0"/>
    <b v="0"/>
    <b v="0"/>
    <b v="0"/>
    <x v="0"/>
    <b v="1"/>
  </r>
  <r>
    <s v="S-ad8055"/>
    <s v="A-bc87bc"/>
    <d v="2024-11-07T00:00:00"/>
    <m/>
    <x v="0"/>
    <n v="3"/>
    <n v="597"/>
    <n v="7164"/>
    <x v="0"/>
    <b v="0"/>
    <b v="0"/>
    <b v="0"/>
    <x v="0"/>
    <b v="1"/>
  </r>
  <r>
    <s v="S-f762a3"/>
    <s v="A-158f4e"/>
    <d v="2024-03-22T00:00:00"/>
    <m/>
    <x v="0"/>
    <n v="61"/>
    <n v="12139"/>
    <n v="145668"/>
    <x v="0"/>
    <b v="0"/>
    <b v="0"/>
    <b v="0"/>
    <x v="1"/>
    <b v="1"/>
  </r>
  <r>
    <s v="S-d29575"/>
    <s v="A-0cc442"/>
    <d v="2024-09-01T00:00:00"/>
    <m/>
    <x v="0"/>
    <n v="45"/>
    <n v="8955"/>
    <n v="107460"/>
    <x v="0"/>
    <b v="0"/>
    <b v="0"/>
    <b v="0"/>
    <x v="0"/>
    <b v="1"/>
  </r>
  <r>
    <s v="S-0756ce"/>
    <s v="A-9badbd"/>
    <d v="2024-10-15T00:00:00"/>
    <m/>
    <x v="1"/>
    <n v="77"/>
    <n v="3773"/>
    <n v="45276"/>
    <x v="0"/>
    <b v="0"/>
    <b v="0"/>
    <b v="0"/>
    <x v="0"/>
    <b v="1"/>
  </r>
  <r>
    <s v="S-f6bb38"/>
    <s v="A-b2af2e"/>
    <d v="2024-08-26T00:00:00"/>
    <m/>
    <x v="2"/>
    <n v="11"/>
    <n v="209"/>
    <n v="2508"/>
    <x v="0"/>
    <b v="0"/>
    <b v="0"/>
    <b v="0"/>
    <x v="0"/>
    <b v="0"/>
  </r>
  <r>
    <s v="S-5685bf"/>
    <s v="A-524364"/>
    <d v="2024-12-31T00:00:00"/>
    <m/>
    <x v="0"/>
    <n v="108"/>
    <n v="0"/>
    <n v="0"/>
    <x v="1"/>
    <b v="0"/>
    <b v="0"/>
    <b v="0"/>
    <x v="1"/>
    <b v="1"/>
  </r>
  <r>
    <s v="S-7c727c"/>
    <s v="A-adc1f3"/>
    <d v="2024-08-28T00:00:00"/>
    <m/>
    <x v="0"/>
    <n v="8"/>
    <n v="1592"/>
    <n v="19104"/>
    <x v="0"/>
    <b v="0"/>
    <b v="0"/>
    <b v="0"/>
    <x v="1"/>
    <b v="0"/>
  </r>
  <r>
    <s v="S-1c643d"/>
    <s v="A-5a92e7"/>
    <d v="2024-12-11T00:00:00"/>
    <m/>
    <x v="2"/>
    <n v="6"/>
    <n v="114"/>
    <n v="1368"/>
    <x v="0"/>
    <b v="0"/>
    <b v="0"/>
    <b v="0"/>
    <x v="0"/>
    <b v="1"/>
  </r>
  <r>
    <s v="S-7c633c"/>
    <s v="A-dbc825"/>
    <d v="2024-07-10T00:00:00"/>
    <m/>
    <x v="2"/>
    <n v="19"/>
    <n v="0"/>
    <n v="0"/>
    <x v="1"/>
    <b v="0"/>
    <b v="0"/>
    <b v="0"/>
    <x v="1"/>
    <b v="1"/>
  </r>
  <r>
    <s v="S-5de583"/>
    <s v="A-dbc825"/>
    <d v="2024-11-12T00:00:00"/>
    <m/>
    <x v="2"/>
    <n v="19"/>
    <n v="361"/>
    <n v="4332"/>
    <x v="0"/>
    <b v="0"/>
    <b v="0"/>
    <b v="0"/>
    <x v="0"/>
    <b v="1"/>
  </r>
  <r>
    <s v="S-80af53"/>
    <s v="A-fd7ad3"/>
    <d v="2024-12-23T00:00:00"/>
    <d v="2024-12-29T00:00:00"/>
    <x v="0"/>
    <n v="12"/>
    <n v="2388"/>
    <n v="28656"/>
    <x v="0"/>
    <b v="1"/>
    <b v="0"/>
    <b v="1"/>
    <x v="0"/>
    <b v="1"/>
  </r>
  <r>
    <s v="S-9210e7"/>
    <s v="A-dec005"/>
    <d v="2024-03-03T00:00:00"/>
    <m/>
    <x v="0"/>
    <n v="21"/>
    <n v="4179"/>
    <n v="50148"/>
    <x v="0"/>
    <b v="0"/>
    <b v="0"/>
    <b v="0"/>
    <x v="1"/>
    <b v="1"/>
  </r>
  <r>
    <s v="S-f9bd62"/>
    <s v="A-66224b"/>
    <d v="2024-12-27T00:00:00"/>
    <m/>
    <x v="2"/>
    <n v="92"/>
    <n v="0"/>
    <n v="0"/>
    <x v="1"/>
    <b v="0"/>
    <b v="0"/>
    <b v="0"/>
    <x v="0"/>
    <b v="1"/>
  </r>
  <r>
    <s v="S-d7c21d"/>
    <s v="A-8145a0"/>
    <d v="2024-12-17T00:00:00"/>
    <m/>
    <x v="2"/>
    <n v="15"/>
    <n v="285"/>
    <n v="3420"/>
    <x v="0"/>
    <b v="0"/>
    <b v="0"/>
    <b v="0"/>
    <x v="0"/>
    <b v="1"/>
  </r>
  <r>
    <s v="S-0b73bd"/>
    <s v="A-118d55"/>
    <d v="2024-11-24T00:00:00"/>
    <m/>
    <x v="0"/>
    <n v="16"/>
    <n v="3184"/>
    <n v="38208"/>
    <x v="0"/>
    <b v="0"/>
    <b v="1"/>
    <b v="0"/>
    <x v="0"/>
    <b v="0"/>
  </r>
  <r>
    <s v="S-9a8a30"/>
    <s v="A-4a267b"/>
    <d v="2024-09-15T00:00:00"/>
    <d v="2024-12-24T00:00:00"/>
    <x v="0"/>
    <n v="25"/>
    <n v="4975"/>
    <n v="59700"/>
    <x v="0"/>
    <b v="0"/>
    <b v="0"/>
    <b v="1"/>
    <x v="1"/>
    <b v="1"/>
  </r>
  <r>
    <s v="S-50e9f3"/>
    <s v="A-adc1f3"/>
    <d v="2024-08-10T00:00:00"/>
    <m/>
    <x v="0"/>
    <n v="6"/>
    <n v="1194"/>
    <n v="14328"/>
    <x v="0"/>
    <b v="0"/>
    <b v="0"/>
    <b v="0"/>
    <x v="1"/>
    <b v="1"/>
  </r>
  <r>
    <s v="S-f5f01f"/>
    <s v="A-b179bf"/>
    <d v="2024-12-24T00:00:00"/>
    <m/>
    <x v="2"/>
    <n v="43"/>
    <n v="817"/>
    <n v="9804"/>
    <x v="0"/>
    <b v="0"/>
    <b v="0"/>
    <b v="0"/>
    <x v="1"/>
    <b v="1"/>
  </r>
  <r>
    <s v="S-0ec1d3"/>
    <s v="A-86fc1d"/>
    <d v="2024-08-08T00:00:00"/>
    <m/>
    <x v="1"/>
    <n v="56"/>
    <n v="2744"/>
    <n v="32928"/>
    <x v="0"/>
    <b v="0"/>
    <b v="0"/>
    <b v="0"/>
    <x v="1"/>
    <b v="1"/>
  </r>
  <r>
    <s v="S-b784a1"/>
    <s v="A-59f724"/>
    <d v="2024-05-29T00:00:00"/>
    <m/>
    <x v="1"/>
    <n v="6"/>
    <n v="294"/>
    <n v="3528"/>
    <x v="0"/>
    <b v="0"/>
    <b v="0"/>
    <b v="0"/>
    <x v="0"/>
    <b v="1"/>
  </r>
  <r>
    <s v="S-01ae7f"/>
    <s v="A-b179bf"/>
    <d v="2024-12-25T00:00:00"/>
    <m/>
    <x v="1"/>
    <n v="43"/>
    <n v="0"/>
    <n v="0"/>
    <x v="1"/>
    <b v="0"/>
    <b v="0"/>
    <b v="0"/>
    <x v="1"/>
    <b v="1"/>
  </r>
  <r>
    <s v="S-1fabe5"/>
    <s v="A-0baac2"/>
    <d v="2024-12-10T00:00:00"/>
    <m/>
    <x v="2"/>
    <n v="19"/>
    <n v="361"/>
    <n v="4332"/>
    <x v="0"/>
    <b v="0"/>
    <b v="0"/>
    <b v="0"/>
    <x v="0"/>
    <b v="1"/>
  </r>
  <r>
    <s v="S-2b8a8b"/>
    <s v="A-9f2731"/>
    <d v="2024-11-08T00:00:00"/>
    <m/>
    <x v="1"/>
    <n v="13"/>
    <n v="637"/>
    <n v="7644"/>
    <x v="0"/>
    <b v="0"/>
    <b v="0"/>
    <b v="0"/>
    <x v="1"/>
    <b v="1"/>
  </r>
  <r>
    <s v="S-c455ec"/>
    <s v="A-856b1e"/>
    <d v="2023-11-02T00:00:00"/>
    <m/>
    <x v="1"/>
    <n v="19"/>
    <n v="931"/>
    <n v="11172"/>
    <x v="0"/>
    <b v="0"/>
    <b v="0"/>
    <b v="0"/>
    <x v="0"/>
    <b v="1"/>
  </r>
  <r>
    <s v="S-f4d491"/>
    <s v="A-9779ad"/>
    <d v="2024-05-09T00:00:00"/>
    <m/>
    <x v="0"/>
    <n v="40"/>
    <n v="7960"/>
    <n v="95520"/>
    <x v="0"/>
    <b v="0"/>
    <b v="0"/>
    <b v="0"/>
    <x v="0"/>
    <b v="1"/>
  </r>
  <r>
    <s v="S-30bb47"/>
    <s v="A-c16cf7"/>
    <d v="2024-11-13T00:00:00"/>
    <m/>
    <x v="0"/>
    <n v="13"/>
    <n v="2587"/>
    <n v="31044"/>
    <x v="0"/>
    <b v="0"/>
    <b v="0"/>
    <b v="0"/>
    <x v="1"/>
    <b v="0"/>
  </r>
  <r>
    <s v="S-9dbe8c"/>
    <s v="A-d3c88e"/>
    <d v="2024-10-27T00:00:00"/>
    <m/>
    <x v="2"/>
    <n v="16"/>
    <n v="0"/>
    <n v="0"/>
    <x v="1"/>
    <b v="0"/>
    <b v="0"/>
    <b v="0"/>
    <x v="0"/>
    <b v="1"/>
  </r>
  <r>
    <s v="S-679c73"/>
    <s v="A-271f46"/>
    <d v="2024-01-12T00:00:00"/>
    <m/>
    <x v="1"/>
    <n v="38"/>
    <n v="0"/>
    <n v="0"/>
    <x v="1"/>
    <b v="0"/>
    <b v="0"/>
    <b v="0"/>
    <x v="0"/>
    <b v="1"/>
  </r>
  <r>
    <s v="S-d9f26e"/>
    <s v="A-b7724f"/>
    <d v="2024-12-27T00:00:00"/>
    <m/>
    <x v="2"/>
    <n v="29"/>
    <n v="551"/>
    <n v="6612"/>
    <x v="0"/>
    <b v="0"/>
    <b v="0"/>
    <b v="0"/>
    <x v="0"/>
    <b v="1"/>
  </r>
  <r>
    <s v="S-e6c842"/>
    <s v="A-8b0451"/>
    <d v="2024-11-10T00:00:00"/>
    <m/>
    <x v="2"/>
    <n v="41"/>
    <n v="779"/>
    <n v="9348"/>
    <x v="0"/>
    <b v="0"/>
    <b v="0"/>
    <b v="0"/>
    <x v="1"/>
    <b v="1"/>
  </r>
  <r>
    <s v="S-b53850"/>
    <s v="A-cd458b"/>
    <d v="2024-08-18T00:00:00"/>
    <d v="2024-09-14T00:00:00"/>
    <x v="2"/>
    <n v="29"/>
    <n v="551"/>
    <n v="6612"/>
    <x v="0"/>
    <b v="0"/>
    <b v="0"/>
    <b v="1"/>
    <x v="1"/>
    <b v="1"/>
  </r>
  <r>
    <s v="S-0aba5b"/>
    <s v="A-180abf"/>
    <d v="2024-12-16T00:00:00"/>
    <m/>
    <x v="1"/>
    <n v="64"/>
    <n v="0"/>
    <n v="0"/>
    <x v="1"/>
    <b v="0"/>
    <b v="0"/>
    <b v="0"/>
    <x v="0"/>
    <b v="1"/>
  </r>
  <r>
    <s v="S-99271f"/>
    <s v="A-d62e02"/>
    <d v="2024-11-13T00:00:00"/>
    <m/>
    <x v="0"/>
    <n v="27"/>
    <n v="5373"/>
    <n v="64476"/>
    <x v="0"/>
    <b v="0"/>
    <b v="0"/>
    <b v="0"/>
    <x v="0"/>
    <b v="0"/>
  </r>
  <r>
    <s v="S-b8a352"/>
    <s v="A-5f7781"/>
    <d v="2024-09-07T00:00:00"/>
    <m/>
    <x v="0"/>
    <n v="22"/>
    <n v="4378"/>
    <n v="52536"/>
    <x v="0"/>
    <b v="0"/>
    <b v="0"/>
    <b v="0"/>
    <x v="1"/>
    <b v="1"/>
  </r>
  <r>
    <s v="S-be509c"/>
    <s v="A-49b828"/>
    <d v="2023-08-10T00:00:00"/>
    <m/>
    <x v="0"/>
    <n v="6"/>
    <n v="0"/>
    <n v="0"/>
    <x v="1"/>
    <b v="0"/>
    <b v="0"/>
    <b v="0"/>
    <x v="1"/>
    <b v="1"/>
  </r>
  <r>
    <s v="S-07c2c2"/>
    <s v="A-f1f639"/>
    <d v="2023-07-03T00:00:00"/>
    <m/>
    <x v="2"/>
    <n v="5"/>
    <n v="95"/>
    <n v="1140"/>
    <x v="0"/>
    <b v="0"/>
    <b v="0"/>
    <b v="0"/>
    <x v="0"/>
    <b v="1"/>
  </r>
  <r>
    <s v="S-0e057d"/>
    <s v="A-cc98bc"/>
    <d v="2023-06-27T00:00:00"/>
    <m/>
    <x v="1"/>
    <n v="57"/>
    <n v="2793"/>
    <n v="33516"/>
    <x v="0"/>
    <b v="0"/>
    <b v="0"/>
    <b v="0"/>
    <x v="1"/>
    <b v="1"/>
  </r>
  <r>
    <s v="S-606d6d"/>
    <s v="A-054577"/>
    <d v="2024-12-01T00:00:00"/>
    <m/>
    <x v="0"/>
    <n v="14"/>
    <n v="2786"/>
    <n v="33432"/>
    <x v="0"/>
    <b v="0"/>
    <b v="0"/>
    <b v="0"/>
    <x v="0"/>
    <b v="1"/>
  </r>
  <r>
    <s v="S-2ae21d"/>
    <s v="A-0f6450"/>
    <d v="2024-12-28T00:00:00"/>
    <m/>
    <x v="2"/>
    <n v="28"/>
    <n v="532"/>
    <n v="6384"/>
    <x v="0"/>
    <b v="0"/>
    <b v="0"/>
    <b v="0"/>
    <x v="1"/>
    <b v="1"/>
  </r>
  <r>
    <s v="S-e60f46"/>
    <s v="A-eb7fac"/>
    <d v="2024-03-30T00:00:00"/>
    <m/>
    <x v="0"/>
    <n v="7"/>
    <n v="1393"/>
    <n v="16716"/>
    <x v="0"/>
    <b v="0"/>
    <b v="0"/>
    <b v="0"/>
    <x v="1"/>
    <b v="1"/>
  </r>
  <r>
    <s v="S-87e8d3"/>
    <s v="A-8145a0"/>
    <d v="2023-08-07T00:00:00"/>
    <m/>
    <x v="0"/>
    <n v="4"/>
    <n v="796"/>
    <n v="9552"/>
    <x v="0"/>
    <b v="0"/>
    <b v="0"/>
    <b v="0"/>
    <x v="0"/>
    <b v="1"/>
  </r>
  <r>
    <s v="S-b409d1"/>
    <s v="A-e98302"/>
    <d v="2024-01-21T00:00:00"/>
    <m/>
    <x v="1"/>
    <n v="18"/>
    <n v="882"/>
    <n v="10584"/>
    <x v="0"/>
    <b v="0"/>
    <b v="0"/>
    <b v="0"/>
    <x v="1"/>
    <b v="1"/>
  </r>
  <r>
    <s v="S-fb6734"/>
    <s v="A-bd4513"/>
    <d v="2024-11-12T00:00:00"/>
    <m/>
    <x v="0"/>
    <n v="50"/>
    <n v="9950"/>
    <n v="119400"/>
    <x v="0"/>
    <b v="0"/>
    <b v="0"/>
    <b v="0"/>
    <x v="1"/>
    <b v="1"/>
  </r>
  <r>
    <s v="S-8a46fe"/>
    <s v="A-7d514c"/>
    <d v="2024-12-05T00:00:00"/>
    <m/>
    <x v="0"/>
    <n v="17"/>
    <n v="3383"/>
    <n v="40596"/>
    <x v="0"/>
    <b v="0"/>
    <b v="0"/>
    <b v="0"/>
    <x v="0"/>
    <b v="1"/>
  </r>
  <r>
    <s v="S-ee3fa2"/>
    <s v="A-977ca0"/>
    <d v="2024-03-19T00:00:00"/>
    <m/>
    <x v="1"/>
    <n v="6"/>
    <n v="294"/>
    <n v="3528"/>
    <x v="0"/>
    <b v="0"/>
    <b v="0"/>
    <b v="0"/>
    <x v="1"/>
    <b v="1"/>
  </r>
  <r>
    <s v="S-8bf576"/>
    <s v="A-cbbe12"/>
    <d v="2024-12-16T00:00:00"/>
    <m/>
    <x v="0"/>
    <n v="40"/>
    <n v="7960"/>
    <n v="95520"/>
    <x v="0"/>
    <b v="0"/>
    <b v="0"/>
    <b v="0"/>
    <x v="0"/>
    <b v="1"/>
  </r>
  <r>
    <s v="S-9fa080"/>
    <s v="A-c1e51e"/>
    <d v="2024-12-24T00:00:00"/>
    <m/>
    <x v="0"/>
    <n v="29"/>
    <n v="5771"/>
    <n v="69252"/>
    <x v="0"/>
    <b v="1"/>
    <b v="0"/>
    <b v="0"/>
    <x v="0"/>
    <b v="1"/>
  </r>
  <r>
    <s v="S-30e0c1"/>
    <s v="A-977ca0"/>
    <d v="2024-08-02T00:00:00"/>
    <m/>
    <x v="1"/>
    <n v="35"/>
    <n v="1715"/>
    <n v="20580"/>
    <x v="0"/>
    <b v="0"/>
    <b v="0"/>
    <b v="0"/>
    <x v="0"/>
    <b v="1"/>
  </r>
  <r>
    <s v="S-9eb13e"/>
    <s v="A-4c38bc"/>
    <d v="2024-04-30T00:00:00"/>
    <m/>
    <x v="2"/>
    <n v="36"/>
    <n v="684"/>
    <n v="8208"/>
    <x v="0"/>
    <b v="0"/>
    <b v="0"/>
    <b v="0"/>
    <x v="0"/>
    <b v="1"/>
  </r>
  <r>
    <s v="S-d1b062"/>
    <s v="A-a6d261"/>
    <d v="2024-03-07T00:00:00"/>
    <m/>
    <x v="0"/>
    <n v="14"/>
    <n v="2786"/>
    <n v="33432"/>
    <x v="0"/>
    <b v="0"/>
    <b v="0"/>
    <b v="0"/>
    <x v="0"/>
    <b v="1"/>
  </r>
  <r>
    <s v="S-9ffb31"/>
    <s v="A-a8d89d"/>
    <d v="2024-08-24T00:00:00"/>
    <m/>
    <x v="1"/>
    <n v="13"/>
    <n v="637"/>
    <n v="7644"/>
    <x v="0"/>
    <b v="0"/>
    <b v="0"/>
    <b v="0"/>
    <x v="1"/>
    <b v="1"/>
  </r>
  <r>
    <s v="S-9e2819"/>
    <s v="A-e43bf7"/>
    <d v="2024-07-28T00:00:00"/>
    <m/>
    <x v="0"/>
    <n v="44"/>
    <n v="8756"/>
    <n v="105072"/>
    <x v="0"/>
    <b v="0"/>
    <b v="0"/>
    <b v="0"/>
    <x v="1"/>
    <b v="1"/>
  </r>
  <r>
    <s v="S-f9b1d0"/>
    <s v="A-65a46c"/>
    <d v="2024-03-07T00:00:00"/>
    <m/>
    <x v="2"/>
    <n v="18"/>
    <n v="342"/>
    <n v="4104"/>
    <x v="0"/>
    <b v="0"/>
    <b v="0"/>
    <b v="0"/>
    <x v="0"/>
    <b v="1"/>
  </r>
  <r>
    <s v="S-7f28f3"/>
    <s v="A-396e5f"/>
    <d v="2024-10-18T00:00:00"/>
    <m/>
    <x v="1"/>
    <n v="10"/>
    <n v="490"/>
    <n v="5880"/>
    <x v="0"/>
    <b v="1"/>
    <b v="1"/>
    <b v="0"/>
    <x v="1"/>
    <b v="1"/>
  </r>
  <r>
    <s v="S-c1164e"/>
    <s v="A-4ef964"/>
    <d v="2024-09-06T00:00:00"/>
    <m/>
    <x v="1"/>
    <n v="70"/>
    <n v="3430"/>
    <n v="41160"/>
    <x v="0"/>
    <b v="0"/>
    <b v="0"/>
    <b v="0"/>
    <x v="0"/>
    <b v="0"/>
  </r>
  <r>
    <s v="S-a9fb74"/>
    <s v="A-c45b23"/>
    <d v="2024-08-04T00:00:00"/>
    <m/>
    <x v="1"/>
    <n v="5"/>
    <n v="0"/>
    <n v="0"/>
    <x v="1"/>
    <b v="0"/>
    <b v="0"/>
    <b v="0"/>
    <x v="1"/>
    <b v="1"/>
  </r>
  <r>
    <s v="S-3e5a20"/>
    <s v="A-eafc6e"/>
    <d v="2024-07-17T00:00:00"/>
    <m/>
    <x v="2"/>
    <n v="76"/>
    <n v="1444"/>
    <n v="17328"/>
    <x v="0"/>
    <b v="0"/>
    <b v="0"/>
    <b v="0"/>
    <x v="0"/>
    <b v="0"/>
  </r>
  <r>
    <s v="S-78da0b"/>
    <s v="A-b20d99"/>
    <d v="2024-01-26T00:00:00"/>
    <m/>
    <x v="0"/>
    <n v="20"/>
    <n v="3980"/>
    <n v="47760"/>
    <x v="0"/>
    <b v="0"/>
    <b v="0"/>
    <b v="0"/>
    <x v="0"/>
    <b v="1"/>
  </r>
  <r>
    <s v="S-e9bcb2"/>
    <s v="A-eb2fdc"/>
    <d v="2024-05-15T00:00:00"/>
    <m/>
    <x v="2"/>
    <n v="43"/>
    <n v="817"/>
    <n v="9804"/>
    <x v="0"/>
    <b v="0"/>
    <b v="0"/>
    <b v="0"/>
    <x v="0"/>
    <b v="1"/>
  </r>
  <r>
    <s v="S-4d30ba"/>
    <s v="A-600734"/>
    <d v="2024-02-25T00:00:00"/>
    <m/>
    <x v="2"/>
    <n v="29"/>
    <n v="551"/>
    <n v="6612"/>
    <x v="0"/>
    <b v="0"/>
    <b v="0"/>
    <b v="0"/>
    <x v="1"/>
    <b v="1"/>
  </r>
  <r>
    <s v="S-654529"/>
    <s v="A-8b25f2"/>
    <d v="2024-10-17T00:00:00"/>
    <m/>
    <x v="0"/>
    <n v="6"/>
    <n v="0"/>
    <n v="0"/>
    <x v="1"/>
    <b v="0"/>
    <b v="0"/>
    <b v="0"/>
    <x v="1"/>
    <b v="1"/>
  </r>
  <r>
    <s v="S-342708"/>
    <s v="A-ffc04f"/>
    <d v="2024-11-30T00:00:00"/>
    <d v="2024-12-21T00:00:00"/>
    <x v="1"/>
    <n v="41"/>
    <n v="2009"/>
    <n v="24108"/>
    <x v="0"/>
    <b v="0"/>
    <b v="0"/>
    <b v="1"/>
    <x v="1"/>
    <b v="1"/>
  </r>
  <r>
    <s v="S-c067fc"/>
    <s v="A-249769"/>
    <d v="2024-07-18T00:00:00"/>
    <m/>
    <x v="2"/>
    <n v="5"/>
    <n v="95"/>
    <n v="1140"/>
    <x v="0"/>
    <b v="0"/>
    <b v="0"/>
    <b v="0"/>
    <x v="0"/>
    <b v="1"/>
  </r>
  <r>
    <s v="S-e31e0c"/>
    <s v="A-977ca0"/>
    <d v="2023-04-04T00:00:00"/>
    <m/>
    <x v="1"/>
    <n v="92"/>
    <n v="4508"/>
    <n v="54096"/>
    <x v="0"/>
    <b v="0"/>
    <b v="0"/>
    <b v="0"/>
    <x v="0"/>
    <b v="1"/>
  </r>
  <r>
    <s v="S-cd79c0"/>
    <s v="A-ccabf0"/>
    <d v="2023-11-07T00:00:00"/>
    <m/>
    <x v="0"/>
    <n v="16"/>
    <n v="3184"/>
    <n v="38208"/>
    <x v="0"/>
    <b v="0"/>
    <b v="0"/>
    <b v="0"/>
    <x v="0"/>
    <b v="1"/>
  </r>
  <r>
    <s v="S-b69d76"/>
    <s v="A-b54c01"/>
    <d v="2024-10-28T00:00:00"/>
    <m/>
    <x v="1"/>
    <n v="29"/>
    <n v="1421"/>
    <n v="17052"/>
    <x v="0"/>
    <b v="0"/>
    <b v="0"/>
    <b v="0"/>
    <x v="0"/>
    <b v="1"/>
  </r>
  <r>
    <s v="S-612bfb"/>
    <s v="A-180abf"/>
    <d v="2024-04-16T00:00:00"/>
    <m/>
    <x v="0"/>
    <n v="64"/>
    <n v="12736"/>
    <n v="152832"/>
    <x v="0"/>
    <b v="1"/>
    <b v="0"/>
    <b v="0"/>
    <x v="1"/>
    <b v="1"/>
  </r>
  <r>
    <s v="S-51673a"/>
    <s v="A-5a92e7"/>
    <d v="2024-12-17T00:00:00"/>
    <m/>
    <x v="1"/>
    <n v="9"/>
    <n v="0"/>
    <n v="0"/>
    <x v="1"/>
    <b v="0"/>
    <b v="0"/>
    <b v="0"/>
    <x v="0"/>
    <b v="1"/>
  </r>
  <r>
    <s v="S-0f9910"/>
    <s v="A-af0cd2"/>
    <d v="2023-07-10T00:00:00"/>
    <d v="2024-07-15T00:00:00"/>
    <x v="2"/>
    <n v="19"/>
    <n v="0"/>
    <n v="0"/>
    <x v="1"/>
    <b v="0"/>
    <b v="0"/>
    <b v="1"/>
    <x v="0"/>
    <b v="1"/>
  </r>
  <r>
    <s v="S-d4a76b"/>
    <s v="A-a45270"/>
    <d v="2024-09-23T00:00:00"/>
    <m/>
    <x v="2"/>
    <n v="29"/>
    <n v="551"/>
    <n v="6612"/>
    <x v="0"/>
    <b v="1"/>
    <b v="0"/>
    <b v="0"/>
    <x v="0"/>
    <b v="1"/>
  </r>
  <r>
    <s v="S-2abffe"/>
    <s v="A-a8b49c"/>
    <d v="2024-03-02T00:00:00"/>
    <m/>
    <x v="1"/>
    <n v="9"/>
    <n v="441"/>
    <n v="5292"/>
    <x v="0"/>
    <b v="0"/>
    <b v="0"/>
    <b v="0"/>
    <x v="0"/>
    <b v="0"/>
  </r>
  <r>
    <s v="S-938952"/>
    <s v="A-df1e44"/>
    <d v="2024-12-18T00:00:00"/>
    <m/>
    <x v="1"/>
    <n v="12"/>
    <n v="588"/>
    <n v="7056"/>
    <x v="0"/>
    <b v="0"/>
    <b v="0"/>
    <b v="0"/>
    <x v="0"/>
    <b v="1"/>
  </r>
  <r>
    <s v="S-4f5eb2"/>
    <s v="A-781cc0"/>
    <d v="2024-09-07T00:00:00"/>
    <m/>
    <x v="2"/>
    <n v="12"/>
    <n v="228"/>
    <n v="2736"/>
    <x v="0"/>
    <b v="0"/>
    <b v="0"/>
    <b v="0"/>
    <x v="0"/>
    <b v="0"/>
  </r>
  <r>
    <s v="S-7f92bd"/>
    <s v="A-4f18f0"/>
    <d v="2024-06-04T00:00:00"/>
    <d v="2024-08-10T00:00:00"/>
    <x v="2"/>
    <n v="24"/>
    <n v="456"/>
    <n v="5472"/>
    <x v="0"/>
    <b v="0"/>
    <b v="1"/>
    <b v="1"/>
    <x v="0"/>
    <b v="1"/>
  </r>
  <r>
    <s v="S-ad45ea"/>
    <s v="A-c1e51e"/>
    <d v="2024-12-11T00:00:00"/>
    <m/>
    <x v="2"/>
    <n v="19"/>
    <n v="361"/>
    <n v="4332"/>
    <x v="0"/>
    <b v="0"/>
    <b v="0"/>
    <b v="0"/>
    <x v="0"/>
    <b v="1"/>
  </r>
  <r>
    <s v="S-f78a1a"/>
    <s v="A-fd7ad3"/>
    <d v="2024-11-02T00:00:00"/>
    <m/>
    <x v="2"/>
    <n v="3"/>
    <n v="57"/>
    <n v="684"/>
    <x v="0"/>
    <b v="0"/>
    <b v="0"/>
    <b v="0"/>
    <x v="1"/>
    <b v="1"/>
  </r>
  <r>
    <s v="S-3ad221"/>
    <s v="A-6f50ae"/>
    <d v="2023-11-11T00:00:00"/>
    <m/>
    <x v="2"/>
    <n v="19"/>
    <n v="361"/>
    <n v="4332"/>
    <x v="0"/>
    <b v="0"/>
    <b v="0"/>
    <b v="0"/>
    <x v="0"/>
    <b v="1"/>
  </r>
  <r>
    <s v="S-8b3331"/>
    <s v="A-53f4e3"/>
    <d v="2024-11-28T00:00:00"/>
    <m/>
    <x v="2"/>
    <n v="18"/>
    <n v="342"/>
    <n v="4104"/>
    <x v="0"/>
    <b v="0"/>
    <b v="0"/>
    <b v="0"/>
    <x v="1"/>
    <b v="1"/>
  </r>
  <r>
    <s v="S-e4ce2c"/>
    <s v="A-5ed98d"/>
    <d v="2024-08-14T00:00:00"/>
    <m/>
    <x v="1"/>
    <n v="24"/>
    <n v="1176"/>
    <n v="14112"/>
    <x v="0"/>
    <b v="0"/>
    <b v="0"/>
    <b v="0"/>
    <x v="1"/>
    <b v="1"/>
  </r>
  <r>
    <s v="S-8b0498"/>
    <s v="A-180abf"/>
    <d v="2024-02-19T00:00:00"/>
    <m/>
    <x v="1"/>
    <n v="64"/>
    <n v="3136"/>
    <n v="37632"/>
    <x v="0"/>
    <b v="0"/>
    <b v="0"/>
    <b v="0"/>
    <x v="0"/>
    <b v="0"/>
  </r>
  <r>
    <s v="S-2971ae"/>
    <s v="A-9c18c4"/>
    <d v="2024-10-13T00:00:00"/>
    <m/>
    <x v="0"/>
    <n v="11"/>
    <n v="2189"/>
    <n v="26268"/>
    <x v="0"/>
    <b v="1"/>
    <b v="0"/>
    <b v="0"/>
    <x v="0"/>
    <b v="1"/>
  </r>
  <r>
    <s v="S-447189"/>
    <s v="A-378b99"/>
    <d v="2024-09-19T00:00:00"/>
    <m/>
    <x v="2"/>
    <n v="68"/>
    <n v="1292"/>
    <n v="15504"/>
    <x v="0"/>
    <b v="0"/>
    <b v="0"/>
    <b v="0"/>
    <x v="0"/>
    <b v="1"/>
  </r>
  <r>
    <s v="S-474001"/>
    <s v="A-adc1f3"/>
    <d v="2024-12-19T00:00:00"/>
    <m/>
    <x v="1"/>
    <n v="2"/>
    <n v="98"/>
    <n v="1176"/>
    <x v="0"/>
    <b v="0"/>
    <b v="0"/>
    <b v="0"/>
    <x v="1"/>
    <b v="0"/>
  </r>
  <r>
    <s v="S-4c7591"/>
    <s v="A-17939a"/>
    <d v="2024-12-30T00:00:00"/>
    <m/>
    <x v="1"/>
    <n v="28"/>
    <n v="1372"/>
    <n v="16464"/>
    <x v="0"/>
    <b v="0"/>
    <b v="0"/>
    <b v="0"/>
    <x v="0"/>
    <b v="1"/>
  </r>
  <r>
    <s v="S-477a57"/>
    <s v="A-ccabf0"/>
    <d v="2023-11-29T00:00:00"/>
    <m/>
    <x v="0"/>
    <n v="59"/>
    <n v="11741"/>
    <n v="140892"/>
    <x v="0"/>
    <b v="0"/>
    <b v="0"/>
    <b v="0"/>
    <x v="0"/>
    <b v="1"/>
  </r>
  <r>
    <s v="S-a60299"/>
    <s v="A-716841"/>
    <d v="2024-09-20T00:00:00"/>
    <m/>
    <x v="1"/>
    <n v="45"/>
    <n v="0"/>
    <n v="0"/>
    <x v="1"/>
    <b v="0"/>
    <b v="0"/>
    <b v="0"/>
    <x v="0"/>
    <b v="1"/>
  </r>
  <r>
    <s v="S-f8bff8"/>
    <s v="A-71615e"/>
    <d v="2024-07-20T00:00:00"/>
    <m/>
    <x v="2"/>
    <n v="15"/>
    <n v="285"/>
    <n v="3420"/>
    <x v="0"/>
    <b v="0"/>
    <b v="0"/>
    <b v="0"/>
    <x v="1"/>
    <b v="1"/>
  </r>
  <r>
    <s v="S-8f181e"/>
    <s v="A-5790f4"/>
    <d v="2024-12-24T00:00:00"/>
    <m/>
    <x v="0"/>
    <n v="18"/>
    <n v="3582"/>
    <n v="42984"/>
    <x v="0"/>
    <b v="0"/>
    <b v="0"/>
    <b v="0"/>
    <x v="1"/>
    <b v="1"/>
  </r>
  <r>
    <s v="S-0ec903"/>
    <s v="A-039727"/>
    <d v="2024-12-18T00:00:00"/>
    <m/>
    <x v="2"/>
    <n v="25"/>
    <n v="475"/>
    <n v="5700"/>
    <x v="0"/>
    <b v="0"/>
    <b v="0"/>
    <b v="0"/>
    <x v="1"/>
    <b v="1"/>
  </r>
  <r>
    <s v="S-591a64"/>
    <s v="A-c7e58b"/>
    <d v="2023-08-30T00:00:00"/>
    <m/>
    <x v="2"/>
    <n v="3"/>
    <n v="57"/>
    <n v="684"/>
    <x v="0"/>
    <b v="0"/>
    <b v="0"/>
    <b v="0"/>
    <x v="1"/>
    <b v="1"/>
  </r>
  <r>
    <s v="S-3af70e"/>
    <s v="A-3b37d9"/>
    <d v="2024-11-17T00:00:00"/>
    <m/>
    <x v="0"/>
    <n v="23"/>
    <n v="4577"/>
    <n v="54924"/>
    <x v="0"/>
    <b v="0"/>
    <b v="0"/>
    <b v="0"/>
    <x v="1"/>
    <b v="1"/>
  </r>
  <r>
    <s v="S-d44088"/>
    <s v="A-0651a4"/>
    <d v="2024-12-21T00:00:00"/>
    <d v="2024-12-23T00:00:00"/>
    <x v="1"/>
    <n v="16"/>
    <n v="0"/>
    <n v="0"/>
    <x v="1"/>
    <b v="0"/>
    <b v="0"/>
    <b v="1"/>
    <x v="1"/>
    <b v="1"/>
  </r>
  <r>
    <s v="S-fb95f2"/>
    <s v="A-d4ac0e"/>
    <d v="2024-10-28T00:00:00"/>
    <m/>
    <x v="0"/>
    <n v="25"/>
    <n v="4975"/>
    <n v="59700"/>
    <x v="0"/>
    <b v="0"/>
    <b v="0"/>
    <b v="0"/>
    <x v="1"/>
    <b v="1"/>
  </r>
  <r>
    <s v="S-d07886"/>
    <s v="A-0dbdc6"/>
    <d v="2024-07-02T00:00:00"/>
    <m/>
    <x v="1"/>
    <n v="30"/>
    <n v="1470"/>
    <n v="17640"/>
    <x v="0"/>
    <b v="0"/>
    <b v="0"/>
    <b v="0"/>
    <x v="1"/>
    <b v="1"/>
  </r>
  <r>
    <s v="S-977d49"/>
    <s v="A-a865bd"/>
    <d v="2024-04-11T00:00:00"/>
    <m/>
    <x v="0"/>
    <n v="38"/>
    <n v="7562"/>
    <n v="90744"/>
    <x v="0"/>
    <b v="0"/>
    <b v="0"/>
    <b v="0"/>
    <x v="0"/>
    <b v="1"/>
  </r>
  <r>
    <s v="S-270e94"/>
    <s v="A-22f2df"/>
    <d v="2024-12-21T00:00:00"/>
    <m/>
    <x v="2"/>
    <n v="6"/>
    <n v="114"/>
    <n v="1368"/>
    <x v="0"/>
    <b v="1"/>
    <b v="0"/>
    <b v="0"/>
    <x v="1"/>
    <b v="1"/>
  </r>
  <r>
    <s v="S-b8ee76"/>
    <s v="A-7f4db3"/>
    <d v="2023-10-31T00:00:00"/>
    <m/>
    <x v="1"/>
    <n v="6"/>
    <n v="294"/>
    <n v="3528"/>
    <x v="0"/>
    <b v="0"/>
    <b v="0"/>
    <b v="0"/>
    <x v="0"/>
    <b v="1"/>
  </r>
  <r>
    <s v="S-c3472f"/>
    <s v="A-038089"/>
    <d v="2024-07-23T00:00:00"/>
    <m/>
    <x v="1"/>
    <n v="36"/>
    <n v="1764"/>
    <n v="21168"/>
    <x v="0"/>
    <b v="0"/>
    <b v="0"/>
    <b v="0"/>
    <x v="0"/>
    <b v="1"/>
  </r>
  <r>
    <s v="S-46dfac"/>
    <s v="A-6dee43"/>
    <d v="2024-10-16T00:00:00"/>
    <m/>
    <x v="1"/>
    <n v="17"/>
    <n v="0"/>
    <n v="0"/>
    <x v="1"/>
    <b v="0"/>
    <b v="0"/>
    <b v="0"/>
    <x v="1"/>
    <b v="1"/>
  </r>
  <r>
    <s v="S-eb8b81"/>
    <s v="A-1f7acb"/>
    <d v="2023-10-31T00:00:00"/>
    <m/>
    <x v="2"/>
    <n v="64"/>
    <n v="1216"/>
    <n v="14592"/>
    <x v="0"/>
    <b v="0"/>
    <b v="0"/>
    <b v="0"/>
    <x v="0"/>
    <b v="1"/>
  </r>
  <r>
    <s v="S-7ea264"/>
    <s v="A-10b8f2"/>
    <d v="2024-04-10T00:00:00"/>
    <m/>
    <x v="0"/>
    <n v="47"/>
    <n v="9353"/>
    <n v="112236"/>
    <x v="0"/>
    <b v="0"/>
    <b v="0"/>
    <b v="0"/>
    <x v="1"/>
    <b v="1"/>
  </r>
  <r>
    <s v="S-209456"/>
    <s v="A-95b24a"/>
    <d v="2023-07-18T00:00:00"/>
    <m/>
    <x v="1"/>
    <n v="38"/>
    <n v="1862"/>
    <n v="22344"/>
    <x v="0"/>
    <b v="0"/>
    <b v="0"/>
    <b v="0"/>
    <x v="1"/>
    <b v="1"/>
  </r>
  <r>
    <s v="S-c63e51"/>
    <s v="A-cab532"/>
    <d v="2024-07-07T00:00:00"/>
    <m/>
    <x v="1"/>
    <n v="11"/>
    <n v="539"/>
    <n v="6468"/>
    <x v="0"/>
    <b v="0"/>
    <b v="0"/>
    <b v="0"/>
    <x v="1"/>
    <b v="1"/>
  </r>
  <r>
    <s v="S-40d87e"/>
    <s v="A-f03140"/>
    <d v="2024-05-28T00:00:00"/>
    <m/>
    <x v="1"/>
    <n v="28"/>
    <n v="1372"/>
    <n v="16464"/>
    <x v="0"/>
    <b v="0"/>
    <b v="0"/>
    <b v="0"/>
    <x v="1"/>
    <b v="1"/>
  </r>
  <r>
    <s v="S-2ee7ec"/>
    <s v="A-c16101"/>
    <d v="2024-10-24T00:00:00"/>
    <m/>
    <x v="2"/>
    <n v="12"/>
    <n v="228"/>
    <n v="2736"/>
    <x v="0"/>
    <b v="0"/>
    <b v="0"/>
    <b v="0"/>
    <x v="0"/>
    <b v="1"/>
  </r>
  <r>
    <s v="S-2c11c6"/>
    <s v="A-76fa4d"/>
    <d v="2024-12-08T00:00:00"/>
    <d v="2024-12-28T00:00:00"/>
    <x v="1"/>
    <n v="69"/>
    <n v="0"/>
    <n v="0"/>
    <x v="1"/>
    <b v="0"/>
    <b v="0"/>
    <b v="1"/>
    <x v="0"/>
    <b v="1"/>
  </r>
  <r>
    <s v="S-d232ad"/>
    <s v="A-1619f8"/>
    <d v="2024-06-10T00:00:00"/>
    <m/>
    <x v="1"/>
    <n v="29"/>
    <n v="0"/>
    <n v="0"/>
    <x v="1"/>
    <b v="0"/>
    <b v="0"/>
    <b v="0"/>
    <x v="0"/>
    <b v="0"/>
  </r>
  <r>
    <s v="S-3a28cc"/>
    <s v="A-80eeb6"/>
    <d v="2024-02-16T00:00:00"/>
    <m/>
    <x v="2"/>
    <n v="33"/>
    <n v="627"/>
    <n v="7524"/>
    <x v="0"/>
    <b v="0"/>
    <b v="0"/>
    <b v="0"/>
    <x v="0"/>
    <b v="1"/>
  </r>
  <r>
    <s v="S-775dd1"/>
    <s v="A-378b99"/>
    <d v="2024-09-10T00:00:00"/>
    <m/>
    <x v="1"/>
    <n v="19"/>
    <n v="931"/>
    <n v="11172"/>
    <x v="0"/>
    <b v="0"/>
    <b v="0"/>
    <b v="0"/>
    <x v="0"/>
    <b v="1"/>
  </r>
  <r>
    <s v="S-4c2f78"/>
    <s v="A-533452"/>
    <d v="2024-11-24T00:00:00"/>
    <m/>
    <x v="1"/>
    <n v="51"/>
    <n v="2499"/>
    <n v="29988"/>
    <x v="0"/>
    <b v="0"/>
    <b v="0"/>
    <b v="0"/>
    <x v="0"/>
    <b v="1"/>
  </r>
  <r>
    <s v="S-91cd9b"/>
    <s v="A-cdf020"/>
    <d v="2024-01-31T00:00:00"/>
    <d v="2024-07-03T00:00:00"/>
    <x v="1"/>
    <n v="45"/>
    <n v="2205"/>
    <n v="26460"/>
    <x v="0"/>
    <b v="0"/>
    <b v="0"/>
    <b v="1"/>
    <x v="1"/>
    <b v="1"/>
  </r>
  <r>
    <s v="S-e0a4c5"/>
    <s v="A-fabe19"/>
    <d v="2024-12-26T00:00:00"/>
    <m/>
    <x v="0"/>
    <n v="1"/>
    <n v="0"/>
    <n v="0"/>
    <x v="1"/>
    <b v="1"/>
    <b v="0"/>
    <b v="0"/>
    <x v="0"/>
    <b v="0"/>
  </r>
  <r>
    <s v="S-76c065"/>
    <s v="A-716841"/>
    <d v="2024-11-14T00:00:00"/>
    <m/>
    <x v="0"/>
    <n v="45"/>
    <n v="8955"/>
    <n v="107460"/>
    <x v="0"/>
    <b v="0"/>
    <b v="0"/>
    <b v="0"/>
    <x v="1"/>
    <b v="1"/>
  </r>
  <r>
    <s v="S-3cae3d"/>
    <s v="A-ce550d"/>
    <d v="2024-12-04T00:00:00"/>
    <m/>
    <x v="1"/>
    <n v="35"/>
    <n v="1715"/>
    <n v="20580"/>
    <x v="0"/>
    <b v="0"/>
    <b v="0"/>
    <b v="0"/>
    <x v="1"/>
    <b v="0"/>
  </r>
  <r>
    <s v="S-71c67c"/>
    <s v="A-0f6450"/>
    <d v="2024-12-30T00:00:00"/>
    <m/>
    <x v="1"/>
    <n v="28"/>
    <n v="1372"/>
    <n v="16464"/>
    <x v="0"/>
    <b v="0"/>
    <b v="0"/>
    <b v="0"/>
    <x v="0"/>
    <b v="1"/>
  </r>
  <r>
    <s v="S-fe6eb1"/>
    <s v="A-2446e3"/>
    <d v="2024-12-09T00:00:00"/>
    <m/>
    <x v="0"/>
    <n v="27"/>
    <n v="5373"/>
    <n v="64476"/>
    <x v="0"/>
    <b v="0"/>
    <b v="0"/>
    <b v="0"/>
    <x v="0"/>
    <b v="1"/>
  </r>
  <r>
    <s v="S-2dc99d"/>
    <s v="A-cc102e"/>
    <d v="2024-11-04T00:00:00"/>
    <m/>
    <x v="2"/>
    <n v="22"/>
    <n v="418"/>
    <n v="5016"/>
    <x v="0"/>
    <b v="0"/>
    <b v="0"/>
    <b v="0"/>
    <x v="0"/>
    <b v="1"/>
  </r>
  <r>
    <s v="S-cd4dcd"/>
    <s v="A-cb5333"/>
    <d v="2024-07-11T00:00:00"/>
    <m/>
    <x v="1"/>
    <n v="33"/>
    <n v="1617"/>
    <n v="19404"/>
    <x v="0"/>
    <b v="0"/>
    <b v="0"/>
    <b v="0"/>
    <x v="0"/>
    <b v="1"/>
  </r>
  <r>
    <s v="S-21ebb6"/>
    <s v="A-0baac2"/>
    <d v="2024-10-27T00:00:00"/>
    <m/>
    <x v="0"/>
    <n v="31"/>
    <n v="6169"/>
    <n v="74028"/>
    <x v="0"/>
    <b v="0"/>
    <b v="0"/>
    <b v="0"/>
    <x v="1"/>
    <b v="1"/>
  </r>
  <r>
    <s v="S-94c6a5"/>
    <s v="A-40de06"/>
    <d v="2024-08-22T00:00:00"/>
    <m/>
    <x v="1"/>
    <n v="28"/>
    <n v="1372"/>
    <n v="16464"/>
    <x v="0"/>
    <b v="1"/>
    <b v="0"/>
    <b v="0"/>
    <x v="0"/>
    <b v="1"/>
  </r>
  <r>
    <s v="S-89c7ff"/>
    <s v="A-2f6a32"/>
    <d v="2024-10-13T00:00:00"/>
    <m/>
    <x v="1"/>
    <n v="33"/>
    <n v="1617"/>
    <n v="19404"/>
    <x v="0"/>
    <b v="0"/>
    <b v="0"/>
    <b v="0"/>
    <x v="1"/>
    <b v="1"/>
  </r>
  <r>
    <s v="S-6da42f"/>
    <s v="A-039727"/>
    <d v="2024-11-30T00:00:00"/>
    <m/>
    <x v="1"/>
    <n v="25"/>
    <n v="1225"/>
    <n v="14700"/>
    <x v="0"/>
    <b v="1"/>
    <b v="1"/>
    <b v="0"/>
    <x v="0"/>
    <b v="1"/>
  </r>
  <r>
    <s v="S-ec242e"/>
    <s v="A-8e47ca"/>
    <d v="2024-04-26T00:00:00"/>
    <m/>
    <x v="0"/>
    <n v="31"/>
    <n v="6169"/>
    <n v="74028"/>
    <x v="0"/>
    <b v="0"/>
    <b v="0"/>
    <b v="0"/>
    <x v="0"/>
    <b v="1"/>
  </r>
  <r>
    <s v="S-7003c5"/>
    <s v="A-038089"/>
    <d v="2024-12-30T00:00:00"/>
    <m/>
    <x v="2"/>
    <n v="5"/>
    <n v="95"/>
    <n v="1140"/>
    <x v="0"/>
    <b v="0"/>
    <b v="0"/>
    <b v="0"/>
    <x v="1"/>
    <b v="1"/>
  </r>
  <r>
    <s v="S-ac6f24"/>
    <s v="A-fdfc91"/>
    <d v="2024-05-03T00:00:00"/>
    <m/>
    <x v="1"/>
    <n v="29"/>
    <n v="0"/>
    <n v="0"/>
    <x v="1"/>
    <b v="0"/>
    <b v="0"/>
    <b v="0"/>
    <x v="0"/>
    <b v="1"/>
  </r>
  <r>
    <s v="S-52b74f"/>
    <s v="A-249769"/>
    <d v="2024-08-11T00:00:00"/>
    <m/>
    <x v="0"/>
    <n v="7"/>
    <n v="1393"/>
    <n v="16716"/>
    <x v="0"/>
    <b v="0"/>
    <b v="0"/>
    <b v="0"/>
    <x v="1"/>
    <b v="1"/>
  </r>
  <r>
    <s v="S-e89b90"/>
    <s v="A-756192"/>
    <d v="2024-12-12T00:00:00"/>
    <m/>
    <x v="1"/>
    <n v="38"/>
    <n v="1862"/>
    <n v="22344"/>
    <x v="0"/>
    <b v="0"/>
    <b v="0"/>
    <b v="0"/>
    <x v="1"/>
    <b v="1"/>
  </r>
  <r>
    <s v="S-70d15d"/>
    <s v="A-8adedc"/>
    <d v="2024-02-22T00:00:00"/>
    <d v="2024-03-09T00:00:00"/>
    <x v="0"/>
    <n v="57"/>
    <n v="11343"/>
    <n v="136116"/>
    <x v="0"/>
    <b v="0"/>
    <b v="0"/>
    <b v="1"/>
    <x v="0"/>
    <b v="1"/>
  </r>
  <r>
    <s v="S-0d497d"/>
    <s v="A-432483"/>
    <d v="2024-01-10T00:00:00"/>
    <m/>
    <x v="0"/>
    <n v="41"/>
    <n v="8159"/>
    <n v="97908"/>
    <x v="0"/>
    <b v="0"/>
    <b v="0"/>
    <b v="0"/>
    <x v="1"/>
    <b v="1"/>
  </r>
  <r>
    <s v="S-14f672"/>
    <s v="A-692f18"/>
    <d v="2024-07-10T00:00:00"/>
    <m/>
    <x v="1"/>
    <n v="12"/>
    <n v="588"/>
    <n v="7056"/>
    <x v="0"/>
    <b v="0"/>
    <b v="0"/>
    <b v="0"/>
    <x v="0"/>
    <b v="1"/>
  </r>
  <r>
    <s v="S-7be132"/>
    <s v="A-cea1f0"/>
    <d v="2024-10-21T00:00:00"/>
    <m/>
    <x v="2"/>
    <n v="14"/>
    <n v="266"/>
    <n v="3192"/>
    <x v="0"/>
    <b v="0"/>
    <b v="0"/>
    <b v="0"/>
    <x v="1"/>
    <b v="1"/>
  </r>
  <r>
    <s v="S-0fdcfe"/>
    <s v="A-4c38bc"/>
    <d v="2024-08-24T00:00:00"/>
    <m/>
    <x v="0"/>
    <n v="36"/>
    <n v="7164"/>
    <n v="85968"/>
    <x v="0"/>
    <b v="1"/>
    <b v="0"/>
    <b v="0"/>
    <x v="1"/>
    <b v="1"/>
  </r>
  <r>
    <s v="S-600e05"/>
    <s v="A-600734"/>
    <d v="2024-04-17T00:00:00"/>
    <m/>
    <x v="2"/>
    <n v="29"/>
    <n v="551"/>
    <n v="6612"/>
    <x v="0"/>
    <b v="0"/>
    <b v="0"/>
    <b v="0"/>
    <x v="0"/>
    <b v="0"/>
  </r>
  <r>
    <s v="S-2b0a2d"/>
    <s v="A-c1dfe1"/>
    <d v="2024-02-04T00:00:00"/>
    <m/>
    <x v="2"/>
    <n v="26"/>
    <n v="494"/>
    <n v="5928"/>
    <x v="0"/>
    <b v="1"/>
    <b v="0"/>
    <b v="0"/>
    <x v="1"/>
    <b v="1"/>
  </r>
  <r>
    <s v="S-3a6a71"/>
    <s v="A-462d45"/>
    <d v="2024-04-19T00:00:00"/>
    <m/>
    <x v="2"/>
    <n v="61"/>
    <n v="1159"/>
    <n v="13908"/>
    <x v="0"/>
    <b v="0"/>
    <b v="0"/>
    <b v="0"/>
    <x v="0"/>
    <b v="0"/>
  </r>
  <r>
    <s v="S-c27df9"/>
    <s v="A-6f50ae"/>
    <d v="2024-04-05T00:00:00"/>
    <m/>
    <x v="1"/>
    <n v="19"/>
    <n v="0"/>
    <n v="0"/>
    <x v="1"/>
    <b v="0"/>
    <b v="0"/>
    <b v="0"/>
    <x v="0"/>
    <b v="1"/>
  </r>
  <r>
    <s v="S-abddce"/>
    <s v="A-7d514c"/>
    <d v="2024-07-01T00:00:00"/>
    <d v="2024-11-12T00:00:00"/>
    <x v="0"/>
    <n v="43"/>
    <n v="8557"/>
    <n v="102684"/>
    <x v="0"/>
    <b v="0"/>
    <b v="0"/>
    <b v="1"/>
    <x v="0"/>
    <b v="1"/>
  </r>
  <r>
    <s v="S-5d0af1"/>
    <s v="A-977ca0"/>
    <d v="2023-04-19T00:00:00"/>
    <m/>
    <x v="1"/>
    <n v="17"/>
    <n v="833"/>
    <n v="9996"/>
    <x v="0"/>
    <b v="0"/>
    <b v="0"/>
    <b v="0"/>
    <x v="0"/>
    <b v="0"/>
  </r>
  <r>
    <s v="S-a2d132"/>
    <s v="A-66224b"/>
    <d v="2024-11-28T00:00:00"/>
    <m/>
    <x v="1"/>
    <n v="111"/>
    <n v="0"/>
    <n v="0"/>
    <x v="1"/>
    <b v="0"/>
    <b v="0"/>
    <b v="0"/>
    <x v="1"/>
    <b v="1"/>
  </r>
  <r>
    <s v="S-a610f6"/>
    <s v="A-98a59a"/>
    <d v="2023-11-25T00:00:00"/>
    <m/>
    <x v="2"/>
    <n v="56"/>
    <n v="1064"/>
    <n v="12768"/>
    <x v="0"/>
    <b v="0"/>
    <b v="0"/>
    <b v="0"/>
    <x v="1"/>
    <b v="0"/>
  </r>
  <r>
    <s v="S-60890c"/>
    <s v="A-ff3c73"/>
    <d v="2023-04-06T00:00:00"/>
    <m/>
    <x v="1"/>
    <n v="21"/>
    <n v="1029"/>
    <n v="12348"/>
    <x v="0"/>
    <b v="0"/>
    <b v="0"/>
    <b v="0"/>
    <x v="0"/>
    <b v="0"/>
  </r>
  <r>
    <s v="S-be53ea"/>
    <s v="A-526d93"/>
    <d v="2024-07-28T00:00:00"/>
    <m/>
    <x v="1"/>
    <n v="43"/>
    <n v="2107"/>
    <n v="25284"/>
    <x v="0"/>
    <b v="0"/>
    <b v="0"/>
    <b v="0"/>
    <x v="1"/>
    <b v="1"/>
  </r>
  <r>
    <s v="S-710a78"/>
    <s v="A-f6b2fb"/>
    <d v="2024-10-21T00:00:00"/>
    <m/>
    <x v="0"/>
    <n v="23"/>
    <n v="0"/>
    <n v="0"/>
    <x v="1"/>
    <b v="0"/>
    <b v="0"/>
    <b v="0"/>
    <x v="1"/>
    <b v="1"/>
  </r>
  <r>
    <s v="S-9bd0ec"/>
    <s v="A-fe79a5"/>
    <d v="2024-12-26T00:00:00"/>
    <m/>
    <x v="0"/>
    <n v="9"/>
    <n v="1791"/>
    <n v="21492"/>
    <x v="0"/>
    <b v="0"/>
    <b v="0"/>
    <b v="0"/>
    <x v="1"/>
    <b v="1"/>
  </r>
  <r>
    <s v="S-f36088"/>
    <s v="A-8adedc"/>
    <d v="2024-05-24T00:00:00"/>
    <m/>
    <x v="0"/>
    <n v="43"/>
    <n v="0"/>
    <n v="0"/>
    <x v="1"/>
    <b v="0"/>
    <b v="0"/>
    <b v="0"/>
    <x v="1"/>
    <b v="1"/>
  </r>
  <r>
    <s v="S-a55d16"/>
    <s v="A-7da956"/>
    <d v="2024-07-23T00:00:00"/>
    <m/>
    <x v="2"/>
    <n v="13"/>
    <n v="247"/>
    <n v="2964"/>
    <x v="0"/>
    <b v="0"/>
    <b v="0"/>
    <b v="0"/>
    <x v="0"/>
    <b v="0"/>
  </r>
  <r>
    <s v="S-7f94c2"/>
    <s v="A-9bfc9f"/>
    <d v="2023-10-16T00:00:00"/>
    <m/>
    <x v="1"/>
    <n v="53"/>
    <n v="0"/>
    <n v="0"/>
    <x v="1"/>
    <b v="0"/>
    <b v="0"/>
    <b v="0"/>
    <x v="0"/>
    <b v="1"/>
  </r>
  <r>
    <s v="S-bff4f8"/>
    <s v="A-b07346"/>
    <d v="2024-11-21T00:00:00"/>
    <m/>
    <x v="0"/>
    <n v="51"/>
    <n v="10149"/>
    <n v="121788"/>
    <x v="0"/>
    <b v="0"/>
    <b v="0"/>
    <b v="0"/>
    <x v="1"/>
    <b v="0"/>
  </r>
  <r>
    <s v="S-07a006"/>
    <s v="A-40906c"/>
    <d v="2024-11-18T00:00:00"/>
    <m/>
    <x v="0"/>
    <n v="92"/>
    <n v="18308"/>
    <n v="219696"/>
    <x v="0"/>
    <b v="0"/>
    <b v="0"/>
    <b v="0"/>
    <x v="0"/>
    <b v="1"/>
  </r>
  <r>
    <s v="S-35a9b6"/>
    <s v="A-c16cf7"/>
    <d v="2024-10-27T00:00:00"/>
    <m/>
    <x v="1"/>
    <n v="13"/>
    <n v="637"/>
    <n v="7644"/>
    <x v="0"/>
    <b v="0"/>
    <b v="0"/>
    <b v="0"/>
    <x v="1"/>
    <b v="0"/>
  </r>
  <r>
    <s v="S-c7190f"/>
    <s v="A-56962b"/>
    <d v="2024-09-08T00:00:00"/>
    <m/>
    <x v="1"/>
    <n v="163"/>
    <n v="7987"/>
    <n v="95844"/>
    <x v="0"/>
    <b v="1"/>
    <b v="0"/>
    <b v="0"/>
    <x v="0"/>
    <b v="1"/>
  </r>
  <r>
    <s v="S-7dab19"/>
    <s v="A-de58ca"/>
    <d v="2023-12-24T00:00:00"/>
    <d v="2024-11-04T00:00:00"/>
    <x v="2"/>
    <n v="47"/>
    <n v="893"/>
    <n v="10716"/>
    <x v="0"/>
    <b v="0"/>
    <b v="0"/>
    <b v="1"/>
    <x v="1"/>
    <b v="0"/>
  </r>
  <r>
    <s v="S-a7ce33"/>
    <s v="A-e89151"/>
    <d v="2024-03-28T00:00:00"/>
    <m/>
    <x v="0"/>
    <n v="23"/>
    <n v="4577"/>
    <n v="54924"/>
    <x v="0"/>
    <b v="1"/>
    <b v="0"/>
    <b v="0"/>
    <x v="0"/>
    <b v="1"/>
  </r>
  <r>
    <s v="S-ddf5ff"/>
    <s v="A-1f559b"/>
    <d v="2024-06-21T00:00:00"/>
    <d v="2024-09-29T00:00:00"/>
    <x v="2"/>
    <n v="58"/>
    <n v="1102"/>
    <n v="13224"/>
    <x v="0"/>
    <b v="0"/>
    <b v="0"/>
    <b v="1"/>
    <x v="0"/>
    <b v="0"/>
  </r>
  <r>
    <s v="S-b262a1"/>
    <s v="A-180abf"/>
    <d v="2024-11-09T00:00:00"/>
    <m/>
    <x v="2"/>
    <n v="64"/>
    <n v="1216"/>
    <n v="14592"/>
    <x v="0"/>
    <b v="0"/>
    <b v="0"/>
    <b v="0"/>
    <x v="1"/>
    <b v="1"/>
  </r>
  <r>
    <s v="S-db37e1"/>
    <s v="A-4a267b"/>
    <d v="2024-10-12T00:00:00"/>
    <m/>
    <x v="0"/>
    <n v="63"/>
    <n v="12537"/>
    <n v="150444"/>
    <x v="0"/>
    <b v="0"/>
    <b v="0"/>
    <b v="0"/>
    <x v="1"/>
    <b v="0"/>
  </r>
  <r>
    <s v="S-a67bb7"/>
    <s v="A-09316c"/>
    <d v="2024-09-19T00:00:00"/>
    <m/>
    <x v="0"/>
    <n v="70"/>
    <n v="13930"/>
    <n v="167160"/>
    <x v="0"/>
    <b v="0"/>
    <b v="0"/>
    <b v="0"/>
    <x v="0"/>
    <b v="1"/>
  </r>
  <r>
    <s v="S-2ec763"/>
    <s v="A-068fc6"/>
    <d v="2024-12-03T00:00:00"/>
    <m/>
    <x v="1"/>
    <n v="35"/>
    <n v="1715"/>
    <n v="20580"/>
    <x v="0"/>
    <b v="0"/>
    <b v="0"/>
    <b v="0"/>
    <x v="0"/>
    <b v="1"/>
  </r>
  <r>
    <s v="S-142456"/>
    <s v="A-22d9d2"/>
    <d v="2024-04-30T00:00:00"/>
    <d v="2024-09-06T00:00:00"/>
    <x v="2"/>
    <n v="10"/>
    <n v="0"/>
    <n v="0"/>
    <x v="1"/>
    <b v="0"/>
    <b v="0"/>
    <b v="1"/>
    <x v="1"/>
    <b v="1"/>
  </r>
  <r>
    <s v="S-81d580"/>
    <s v="A-f03140"/>
    <d v="2024-07-09T00:00:00"/>
    <m/>
    <x v="2"/>
    <n v="27"/>
    <n v="513"/>
    <n v="6156"/>
    <x v="0"/>
    <b v="0"/>
    <b v="0"/>
    <b v="0"/>
    <x v="1"/>
    <b v="0"/>
  </r>
  <r>
    <s v="S-47cfb3"/>
    <s v="A-22f2df"/>
    <d v="2024-12-30T00:00:00"/>
    <m/>
    <x v="2"/>
    <n v="11"/>
    <n v="209"/>
    <n v="2508"/>
    <x v="0"/>
    <b v="0"/>
    <b v="0"/>
    <b v="0"/>
    <x v="1"/>
    <b v="1"/>
  </r>
  <r>
    <s v="S-d5bf88"/>
    <s v="A-462d45"/>
    <d v="2024-02-21T00:00:00"/>
    <m/>
    <x v="0"/>
    <n v="52"/>
    <n v="10348"/>
    <n v="124176"/>
    <x v="0"/>
    <b v="0"/>
    <b v="1"/>
    <b v="0"/>
    <x v="1"/>
    <b v="1"/>
  </r>
  <r>
    <s v="S-62b93c"/>
    <s v="A-692f18"/>
    <d v="2024-09-19T00:00:00"/>
    <m/>
    <x v="0"/>
    <n v="6"/>
    <n v="0"/>
    <n v="0"/>
    <x v="1"/>
    <b v="0"/>
    <b v="0"/>
    <b v="0"/>
    <x v="1"/>
    <b v="1"/>
  </r>
  <r>
    <s v="S-8bac4e"/>
    <s v="A-558c72"/>
    <d v="2023-12-17T00:00:00"/>
    <m/>
    <x v="1"/>
    <n v="12"/>
    <n v="588"/>
    <n v="7056"/>
    <x v="0"/>
    <b v="0"/>
    <b v="0"/>
    <b v="0"/>
    <x v="0"/>
    <b v="1"/>
  </r>
  <r>
    <s v="S-35cf1c"/>
    <s v="A-1b9609"/>
    <d v="2024-02-17T00:00:00"/>
    <m/>
    <x v="2"/>
    <n v="49"/>
    <n v="931"/>
    <n v="11172"/>
    <x v="0"/>
    <b v="0"/>
    <b v="0"/>
    <b v="0"/>
    <x v="0"/>
    <b v="1"/>
  </r>
  <r>
    <s v="S-820711"/>
    <s v="A-71615e"/>
    <d v="2024-11-05T00:00:00"/>
    <m/>
    <x v="0"/>
    <n v="60"/>
    <n v="11940"/>
    <n v="143280"/>
    <x v="0"/>
    <b v="0"/>
    <b v="0"/>
    <b v="0"/>
    <x v="1"/>
    <b v="0"/>
  </r>
  <r>
    <s v="S-304196"/>
    <s v="A-bcf664"/>
    <d v="2024-09-02T00:00:00"/>
    <m/>
    <x v="2"/>
    <n v="6"/>
    <n v="114"/>
    <n v="1368"/>
    <x v="0"/>
    <b v="0"/>
    <b v="0"/>
    <b v="0"/>
    <x v="0"/>
    <b v="1"/>
  </r>
  <r>
    <s v="S-39e396"/>
    <s v="A-443b7c"/>
    <d v="2024-11-29T00:00:00"/>
    <m/>
    <x v="2"/>
    <n v="8"/>
    <n v="152"/>
    <n v="1824"/>
    <x v="0"/>
    <b v="0"/>
    <b v="0"/>
    <b v="0"/>
    <x v="1"/>
    <b v="1"/>
  </r>
  <r>
    <s v="S-1e8910"/>
    <s v="A-9b9fe9"/>
    <d v="2024-05-26T00:00:00"/>
    <m/>
    <x v="1"/>
    <n v="5"/>
    <n v="0"/>
    <n v="0"/>
    <x v="1"/>
    <b v="0"/>
    <b v="0"/>
    <b v="0"/>
    <x v="0"/>
    <b v="1"/>
  </r>
  <r>
    <s v="S-b465a7"/>
    <s v="A-66224b"/>
    <d v="2024-10-20T00:00:00"/>
    <m/>
    <x v="0"/>
    <n v="92"/>
    <n v="18308"/>
    <n v="219696"/>
    <x v="0"/>
    <b v="0"/>
    <b v="0"/>
    <b v="0"/>
    <x v="0"/>
    <b v="1"/>
  </r>
  <r>
    <s v="S-5163bd"/>
    <s v="A-7988d1"/>
    <d v="2024-05-18T00:00:00"/>
    <m/>
    <x v="2"/>
    <n v="33"/>
    <n v="627"/>
    <n v="7524"/>
    <x v="0"/>
    <b v="0"/>
    <b v="0"/>
    <b v="0"/>
    <x v="1"/>
    <b v="1"/>
  </r>
  <r>
    <s v="S-20d02a"/>
    <s v="A-40a557"/>
    <d v="2024-01-11T00:00:00"/>
    <d v="2024-01-16T00:00:00"/>
    <x v="0"/>
    <n v="16"/>
    <n v="3184"/>
    <n v="38208"/>
    <x v="0"/>
    <b v="0"/>
    <b v="0"/>
    <b v="1"/>
    <x v="1"/>
    <b v="1"/>
  </r>
  <r>
    <s v="S-34b845"/>
    <s v="A-432483"/>
    <d v="2024-05-02T00:00:00"/>
    <m/>
    <x v="1"/>
    <n v="8"/>
    <n v="392"/>
    <n v="4704"/>
    <x v="0"/>
    <b v="0"/>
    <b v="0"/>
    <b v="0"/>
    <x v="0"/>
    <b v="1"/>
  </r>
  <r>
    <s v="S-12ca50"/>
    <s v="A-425e76"/>
    <d v="2023-06-21T00:00:00"/>
    <m/>
    <x v="0"/>
    <n v="8"/>
    <n v="1592"/>
    <n v="19104"/>
    <x v="0"/>
    <b v="1"/>
    <b v="0"/>
    <b v="0"/>
    <x v="0"/>
    <b v="1"/>
  </r>
  <r>
    <s v="S-6dff9e"/>
    <s v="A-76fa4d"/>
    <d v="2024-11-27T00:00:00"/>
    <m/>
    <x v="0"/>
    <n v="69"/>
    <n v="13731"/>
    <n v="164772"/>
    <x v="0"/>
    <b v="0"/>
    <b v="0"/>
    <b v="0"/>
    <x v="0"/>
    <b v="1"/>
  </r>
  <r>
    <s v="S-a24aa1"/>
    <s v="A-c608c8"/>
    <d v="2024-03-07T00:00:00"/>
    <m/>
    <x v="1"/>
    <n v="21"/>
    <n v="1029"/>
    <n v="12348"/>
    <x v="0"/>
    <b v="1"/>
    <b v="0"/>
    <b v="0"/>
    <x v="0"/>
    <b v="1"/>
  </r>
  <r>
    <s v="S-a7360b"/>
    <s v="A-00bed1"/>
    <d v="2023-11-16T00:00:00"/>
    <m/>
    <x v="2"/>
    <n v="61"/>
    <n v="1159"/>
    <n v="13908"/>
    <x v="0"/>
    <b v="1"/>
    <b v="0"/>
    <b v="0"/>
    <x v="1"/>
    <b v="1"/>
  </r>
  <r>
    <s v="S-1082f7"/>
    <s v="A-c7ffc2"/>
    <d v="2023-08-21T00:00:00"/>
    <m/>
    <x v="2"/>
    <n v="57"/>
    <n v="1083"/>
    <n v="12996"/>
    <x v="0"/>
    <b v="0"/>
    <b v="0"/>
    <b v="0"/>
    <x v="1"/>
    <b v="1"/>
  </r>
  <r>
    <s v="S-d747bc"/>
    <s v="A-068fc6"/>
    <d v="2024-03-17T00:00:00"/>
    <m/>
    <x v="2"/>
    <n v="35"/>
    <n v="665"/>
    <n v="7980"/>
    <x v="0"/>
    <b v="1"/>
    <b v="0"/>
    <b v="0"/>
    <x v="0"/>
    <b v="1"/>
  </r>
  <r>
    <s v="S-4d1a78"/>
    <s v="A-7dacce"/>
    <d v="2024-11-02T00:00:00"/>
    <m/>
    <x v="2"/>
    <n v="49"/>
    <n v="0"/>
    <n v="0"/>
    <x v="1"/>
    <b v="0"/>
    <b v="0"/>
    <b v="0"/>
    <x v="0"/>
    <b v="1"/>
  </r>
  <r>
    <s v="S-a79d1f"/>
    <s v="A-f45426"/>
    <d v="2024-09-23T00:00:00"/>
    <m/>
    <x v="0"/>
    <n v="9"/>
    <n v="0"/>
    <n v="0"/>
    <x v="1"/>
    <b v="0"/>
    <b v="0"/>
    <b v="0"/>
    <x v="0"/>
    <b v="1"/>
  </r>
  <r>
    <s v="S-0bd442"/>
    <s v="A-ad296b"/>
    <d v="2024-08-08T00:00:00"/>
    <m/>
    <x v="0"/>
    <n v="38"/>
    <n v="7562"/>
    <n v="90744"/>
    <x v="0"/>
    <b v="0"/>
    <b v="0"/>
    <b v="0"/>
    <x v="0"/>
    <b v="1"/>
  </r>
  <r>
    <s v="S-71cefe"/>
    <s v="A-cb5333"/>
    <d v="2024-06-19T00:00:00"/>
    <m/>
    <x v="2"/>
    <n v="33"/>
    <n v="627"/>
    <n v="7524"/>
    <x v="0"/>
    <b v="0"/>
    <b v="0"/>
    <b v="0"/>
    <x v="1"/>
    <b v="1"/>
  </r>
  <r>
    <s v="S-a36a36"/>
    <s v="A-4ef964"/>
    <d v="2024-05-01T00:00:00"/>
    <m/>
    <x v="1"/>
    <n v="17"/>
    <n v="833"/>
    <n v="9996"/>
    <x v="0"/>
    <b v="0"/>
    <b v="0"/>
    <b v="0"/>
    <x v="1"/>
    <b v="0"/>
  </r>
  <r>
    <s v="S-9d505c"/>
    <s v="A-8bde0c"/>
    <d v="2024-12-14T00:00:00"/>
    <m/>
    <x v="2"/>
    <n v="61"/>
    <n v="1159"/>
    <n v="13908"/>
    <x v="0"/>
    <b v="0"/>
    <b v="0"/>
    <b v="0"/>
    <x v="0"/>
    <b v="1"/>
  </r>
  <r>
    <s v="S-e7416c"/>
    <s v="A-6dee43"/>
    <d v="2024-05-15T00:00:00"/>
    <m/>
    <x v="1"/>
    <n v="16"/>
    <n v="784"/>
    <n v="9408"/>
    <x v="0"/>
    <b v="0"/>
    <b v="0"/>
    <b v="0"/>
    <x v="1"/>
    <b v="1"/>
  </r>
  <r>
    <s v="S-a7cab8"/>
    <s v="A-94d3da"/>
    <d v="2023-12-26T00:00:00"/>
    <m/>
    <x v="2"/>
    <n v="41"/>
    <n v="779"/>
    <n v="9348"/>
    <x v="0"/>
    <b v="0"/>
    <b v="0"/>
    <b v="0"/>
    <x v="0"/>
    <b v="0"/>
  </r>
  <r>
    <s v="S-5ae105"/>
    <s v="A-296d7c"/>
    <d v="2024-04-21T00:00:00"/>
    <m/>
    <x v="2"/>
    <n v="19"/>
    <n v="361"/>
    <n v="4332"/>
    <x v="0"/>
    <b v="0"/>
    <b v="0"/>
    <b v="0"/>
    <x v="0"/>
    <b v="1"/>
  </r>
  <r>
    <s v="S-ed9451"/>
    <s v="A-bd4513"/>
    <d v="2024-12-17T00:00:00"/>
    <d v="2024-12-17T00:00:00"/>
    <x v="1"/>
    <n v="50"/>
    <n v="2450"/>
    <n v="29400"/>
    <x v="0"/>
    <b v="0"/>
    <b v="0"/>
    <b v="1"/>
    <x v="1"/>
    <b v="1"/>
  </r>
  <r>
    <s v="S-bfd04c"/>
    <s v="A-2e3bad"/>
    <d v="2024-04-03T00:00:00"/>
    <m/>
    <x v="2"/>
    <n v="61"/>
    <n v="1159"/>
    <n v="13908"/>
    <x v="0"/>
    <b v="0"/>
    <b v="0"/>
    <b v="0"/>
    <x v="0"/>
    <b v="0"/>
  </r>
  <r>
    <s v="S-fc2742"/>
    <s v="A-c9bb3e"/>
    <d v="2024-08-13T00:00:00"/>
    <m/>
    <x v="0"/>
    <n v="11"/>
    <n v="2189"/>
    <n v="26268"/>
    <x v="0"/>
    <b v="0"/>
    <b v="0"/>
    <b v="0"/>
    <x v="1"/>
    <b v="1"/>
  </r>
  <r>
    <s v="S-8e9e9b"/>
    <s v="A-4e44e8"/>
    <d v="2024-09-06T00:00:00"/>
    <m/>
    <x v="2"/>
    <n v="3"/>
    <n v="57"/>
    <n v="684"/>
    <x v="0"/>
    <b v="1"/>
    <b v="0"/>
    <b v="0"/>
    <x v="1"/>
    <b v="0"/>
  </r>
  <r>
    <s v="S-2f0291"/>
    <s v="A-ba6516"/>
    <d v="2024-11-24T00:00:00"/>
    <m/>
    <x v="0"/>
    <n v="27"/>
    <n v="5373"/>
    <n v="64476"/>
    <x v="0"/>
    <b v="0"/>
    <b v="0"/>
    <b v="0"/>
    <x v="1"/>
    <b v="1"/>
  </r>
  <r>
    <s v="S-74a274"/>
    <s v="A-02fac6"/>
    <d v="2024-10-06T00:00:00"/>
    <m/>
    <x v="0"/>
    <n v="22"/>
    <n v="4378"/>
    <n v="52536"/>
    <x v="0"/>
    <b v="0"/>
    <b v="0"/>
    <b v="0"/>
    <x v="0"/>
    <b v="1"/>
  </r>
  <r>
    <s v="S-82848e"/>
    <s v="A-bece89"/>
    <d v="2024-01-18T00:00:00"/>
    <m/>
    <x v="0"/>
    <n v="26"/>
    <n v="5174"/>
    <n v="62088"/>
    <x v="0"/>
    <b v="0"/>
    <b v="0"/>
    <b v="0"/>
    <x v="1"/>
    <b v="1"/>
  </r>
  <r>
    <s v="S-6a0399"/>
    <s v="A-df1e44"/>
    <d v="2024-09-08T00:00:00"/>
    <d v="2024-12-15T00:00:00"/>
    <x v="0"/>
    <n v="12"/>
    <n v="2388"/>
    <n v="28656"/>
    <x v="0"/>
    <b v="0"/>
    <b v="1"/>
    <b v="1"/>
    <x v="0"/>
    <b v="1"/>
  </r>
  <r>
    <s v="S-29597a"/>
    <s v="A-0532a9"/>
    <d v="2024-10-17T00:00:00"/>
    <m/>
    <x v="0"/>
    <n v="27"/>
    <n v="5373"/>
    <n v="64476"/>
    <x v="0"/>
    <b v="0"/>
    <b v="0"/>
    <b v="0"/>
    <x v="1"/>
    <b v="0"/>
  </r>
  <r>
    <s v="S-4c8ab8"/>
    <s v="A-39ddf4"/>
    <d v="2024-12-26T00:00:00"/>
    <m/>
    <x v="1"/>
    <n v="40"/>
    <n v="1960"/>
    <n v="23520"/>
    <x v="0"/>
    <b v="0"/>
    <b v="0"/>
    <b v="0"/>
    <x v="0"/>
    <b v="1"/>
  </r>
  <r>
    <s v="S-0638dc"/>
    <s v="A-9779ad"/>
    <d v="2024-04-07T00:00:00"/>
    <m/>
    <x v="0"/>
    <n v="40"/>
    <n v="7960"/>
    <n v="95520"/>
    <x v="0"/>
    <b v="0"/>
    <b v="0"/>
    <b v="0"/>
    <x v="1"/>
    <b v="1"/>
  </r>
  <r>
    <s v="S-2557d9"/>
    <s v="A-692f18"/>
    <d v="2024-12-14T00:00:00"/>
    <m/>
    <x v="0"/>
    <n v="10"/>
    <n v="1990"/>
    <n v="23880"/>
    <x v="0"/>
    <b v="1"/>
    <b v="0"/>
    <b v="0"/>
    <x v="0"/>
    <b v="1"/>
  </r>
  <r>
    <s v="S-bd1ee1"/>
    <s v="A-bd4708"/>
    <d v="2024-12-18T00:00:00"/>
    <m/>
    <x v="0"/>
    <n v="37"/>
    <n v="7363"/>
    <n v="88356"/>
    <x v="0"/>
    <b v="0"/>
    <b v="0"/>
    <b v="0"/>
    <x v="0"/>
    <b v="1"/>
  </r>
  <r>
    <s v="S-ee3466"/>
    <s v="A-7d514c"/>
    <d v="2024-02-13T00:00:00"/>
    <m/>
    <x v="0"/>
    <n v="17"/>
    <n v="0"/>
    <n v="0"/>
    <x v="1"/>
    <b v="1"/>
    <b v="0"/>
    <b v="0"/>
    <x v="0"/>
    <b v="1"/>
  </r>
  <r>
    <s v="S-477317"/>
    <s v="A-d5a319"/>
    <d v="2024-01-01T00:00:00"/>
    <m/>
    <x v="0"/>
    <n v="70"/>
    <n v="13930"/>
    <n v="167160"/>
    <x v="0"/>
    <b v="1"/>
    <b v="0"/>
    <b v="0"/>
    <x v="1"/>
    <b v="1"/>
  </r>
  <r>
    <s v="S-5bb13f"/>
    <s v="A-089363"/>
    <d v="2024-01-10T00:00:00"/>
    <m/>
    <x v="0"/>
    <n v="15"/>
    <n v="2985"/>
    <n v="35820"/>
    <x v="0"/>
    <b v="0"/>
    <b v="0"/>
    <b v="0"/>
    <x v="0"/>
    <b v="0"/>
  </r>
  <r>
    <s v="S-6ee6c9"/>
    <s v="A-396e5f"/>
    <d v="2024-10-19T00:00:00"/>
    <m/>
    <x v="1"/>
    <n v="53"/>
    <n v="2597"/>
    <n v="31164"/>
    <x v="0"/>
    <b v="0"/>
    <b v="0"/>
    <b v="0"/>
    <x v="1"/>
    <b v="1"/>
  </r>
  <r>
    <s v="S-4a2fc6"/>
    <s v="A-10b8f2"/>
    <d v="2023-08-05T00:00:00"/>
    <m/>
    <x v="2"/>
    <n v="47"/>
    <n v="0"/>
    <n v="0"/>
    <x v="1"/>
    <b v="0"/>
    <b v="0"/>
    <b v="0"/>
    <x v="1"/>
    <b v="1"/>
  </r>
  <r>
    <s v="S-e768c6"/>
    <s v="A-9289f6"/>
    <d v="2023-07-08T00:00:00"/>
    <m/>
    <x v="2"/>
    <n v="22"/>
    <n v="418"/>
    <n v="5016"/>
    <x v="0"/>
    <b v="0"/>
    <b v="0"/>
    <b v="0"/>
    <x v="1"/>
    <b v="1"/>
  </r>
  <r>
    <s v="S-5cce27"/>
    <s v="A-d42431"/>
    <d v="2024-09-01T00:00:00"/>
    <m/>
    <x v="2"/>
    <n v="22"/>
    <n v="418"/>
    <n v="5016"/>
    <x v="0"/>
    <b v="0"/>
    <b v="0"/>
    <b v="0"/>
    <x v="1"/>
    <b v="1"/>
  </r>
  <r>
    <s v="S-8707e7"/>
    <s v="A-17939a"/>
    <d v="2024-12-31T00:00:00"/>
    <m/>
    <x v="2"/>
    <n v="14"/>
    <n v="266"/>
    <n v="3192"/>
    <x v="0"/>
    <b v="0"/>
    <b v="0"/>
    <b v="0"/>
    <x v="1"/>
    <b v="1"/>
  </r>
  <r>
    <s v="S-2ff0ab"/>
    <s v="A-712f1c"/>
    <d v="2024-05-11T00:00:00"/>
    <m/>
    <x v="2"/>
    <n v="17"/>
    <n v="323"/>
    <n v="3876"/>
    <x v="0"/>
    <b v="1"/>
    <b v="0"/>
    <b v="0"/>
    <x v="0"/>
    <b v="1"/>
  </r>
  <r>
    <s v="S-5b58b1"/>
    <s v="A-87aa7b"/>
    <d v="2024-11-19T00:00:00"/>
    <m/>
    <x v="1"/>
    <n v="24"/>
    <n v="1176"/>
    <n v="14112"/>
    <x v="0"/>
    <b v="0"/>
    <b v="0"/>
    <b v="0"/>
    <x v="1"/>
    <b v="1"/>
  </r>
  <r>
    <s v="S-0ba1fe"/>
    <s v="A-5a184f"/>
    <d v="2024-01-15T00:00:00"/>
    <m/>
    <x v="0"/>
    <n v="46"/>
    <n v="9154"/>
    <n v="109848"/>
    <x v="0"/>
    <b v="0"/>
    <b v="1"/>
    <b v="0"/>
    <x v="0"/>
    <b v="1"/>
  </r>
  <r>
    <s v="S-c58d66"/>
    <s v="A-42b791"/>
    <d v="2024-11-06T00:00:00"/>
    <m/>
    <x v="2"/>
    <n v="3"/>
    <n v="57"/>
    <n v="684"/>
    <x v="0"/>
    <b v="0"/>
    <b v="0"/>
    <b v="0"/>
    <x v="0"/>
    <b v="1"/>
  </r>
  <r>
    <s v="S-2cc962"/>
    <s v="A-3d957b"/>
    <d v="2024-10-16T00:00:00"/>
    <m/>
    <x v="0"/>
    <n v="14"/>
    <n v="2786"/>
    <n v="33432"/>
    <x v="0"/>
    <b v="0"/>
    <b v="0"/>
    <b v="0"/>
    <x v="1"/>
    <b v="0"/>
  </r>
  <r>
    <s v="S-235670"/>
    <s v="A-3a7284"/>
    <d v="2024-12-15T00:00:00"/>
    <m/>
    <x v="0"/>
    <n v="33"/>
    <n v="6567"/>
    <n v="78804"/>
    <x v="0"/>
    <b v="0"/>
    <b v="1"/>
    <b v="0"/>
    <x v="0"/>
    <b v="1"/>
  </r>
  <r>
    <s v="S-98126d"/>
    <s v="A-8145a0"/>
    <d v="2024-09-09T00:00:00"/>
    <m/>
    <x v="2"/>
    <n v="12"/>
    <n v="228"/>
    <n v="2736"/>
    <x v="0"/>
    <b v="0"/>
    <b v="0"/>
    <b v="0"/>
    <x v="0"/>
    <b v="1"/>
  </r>
  <r>
    <s v="S-ebfbbe"/>
    <s v="A-00cac8"/>
    <d v="2024-08-04T00:00:00"/>
    <m/>
    <x v="2"/>
    <n v="8"/>
    <n v="152"/>
    <n v="1824"/>
    <x v="0"/>
    <b v="0"/>
    <b v="0"/>
    <b v="0"/>
    <x v="0"/>
    <b v="1"/>
  </r>
  <r>
    <s v="S-7a55d9"/>
    <s v="A-7e0a10"/>
    <d v="2024-01-03T00:00:00"/>
    <m/>
    <x v="2"/>
    <n v="46"/>
    <n v="874"/>
    <n v="10488"/>
    <x v="0"/>
    <b v="0"/>
    <b v="0"/>
    <b v="0"/>
    <x v="0"/>
    <b v="1"/>
  </r>
  <r>
    <s v="S-6ce221"/>
    <s v="A-65aeb5"/>
    <d v="2024-10-10T00:00:00"/>
    <d v="2024-12-03T00:00:00"/>
    <x v="2"/>
    <n v="9"/>
    <n v="171"/>
    <n v="2052"/>
    <x v="0"/>
    <b v="0"/>
    <b v="0"/>
    <b v="1"/>
    <x v="1"/>
    <b v="1"/>
  </r>
  <r>
    <s v="S-4cff80"/>
    <s v="A-f97b9a"/>
    <d v="2023-12-24T00:00:00"/>
    <m/>
    <x v="0"/>
    <n v="16"/>
    <n v="0"/>
    <n v="0"/>
    <x v="1"/>
    <b v="0"/>
    <b v="0"/>
    <b v="0"/>
    <x v="0"/>
    <b v="1"/>
  </r>
  <r>
    <s v="S-7e2e5c"/>
    <s v="A-7df7a7"/>
    <d v="2024-04-06T00:00:00"/>
    <m/>
    <x v="2"/>
    <n v="7"/>
    <n v="133"/>
    <n v="1596"/>
    <x v="0"/>
    <b v="0"/>
    <b v="0"/>
    <b v="0"/>
    <x v="0"/>
    <b v="0"/>
  </r>
  <r>
    <s v="S-af8f54"/>
    <s v="A-712426"/>
    <d v="2024-11-28T00:00:00"/>
    <d v="2024-12-26T00:00:00"/>
    <x v="0"/>
    <n v="9"/>
    <n v="1791"/>
    <n v="21492"/>
    <x v="0"/>
    <b v="0"/>
    <b v="0"/>
    <b v="1"/>
    <x v="0"/>
    <b v="1"/>
  </r>
  <r>
    <s v="S-b152d6"/>
    <s v="A-c16101"/>
    <d v="2024-12-25T00:00:00"/>
    <m/>
    <x v="1"/>
    <n v="7"/>
    <n v="343"/>
    <n v="4116"/>
    <x v="0"/>
    <b v="0"/>
    <b v="0"/>
    <b v="0"/>
    <x v="0"/>
    <b v="1"/>
  </r>
  <r>
    <s v="S-276555"/>
    <s v="A-d792a6"/>
    <d v="2024-01-26T00:00:00"/>
    <m/>
    <x v="1"/>
    <n v="36"/>
    <n v="1764"/>
    <n v="21168"/>
    <x v="0"/>
    <b v="0"/>
    <b v="0"/>
    <b v="0"/>
    <x v="1"/>
    <b v="1"/>
  </r>
  <r>
    <s v="S-fcd20b"/>
    <s v="A-157070"/>
    <d v="2024-07-07T00:00:00"/>
    <m/>
    <x v="1"/>
    <n v="16"/>
    <n v="784"/>
    <n v="9408"/>
    <x v="0"/>
    <b v="0"/>
    <b v="0"/>
    <b v="0"/>
    <x v="1"/>
    <b v="1"/>
  </r>
  <r>
    <s v="S-41bb1b"/>
    <s v="A-993085"/>
    <d v="2024-08-17T00:00:00"/>
    <m/>
    <x v="2"/>
    <n v="31"/>
    <n v="589"/>
    <n v="7068"/>
    <x v="0"/>
    <b v="0"/>
    <b v="0"/>
    <b v="0"/>
    <x v="1"/>
    <b v="1"/>
  </r>
  <r>
    <s v="S-0c63de"/>
    <s v="A-592832"/>
    <d v="2024-12-31T00:00:00"/>
    <m/>
    <x v="1"/>
    <n v="18"/>
    <n v="882"/>
    <n v="10584"/>
    <x v="0"/>
    <b v="0"/>
    <b v="0"/>
    <b v="0"/>
    <x v="1"/>
    <b v="0"/>
  </r>
  <r>
    <s v="S-658f5f"/>
    <s v="A-716841"/>
    <d v="2024-05-27T00:00:00"/>
    <m/>
    <x v="1"/>
    <n v="45"/>
    <n v="2205"/>
    <n v="26460"/>
    <x v="0"/>
    <b v="0"/>
    <b v="0"/>
    <b v="0"/>
    <x v="0"/>
    <b v="1"/>
  </r>
  <r>
    <s v="S-4994d6"/>
    <s v="A-5a3eb9"/>
    <d v="2024-08-26T00:00:00"/>
    <m/>
    <x v="2"/>
    <n v="44"/>
    <n v="836"/>
    <n v="10032"/>
    <x v="0"/>
    <b v="0"/>
    <b v="1"/>
    <b v="0"/>
    <x v="1"/>
    <b v="1"/>
  </r>
  <r>
    <s v="S-3a897f"/>
    <s v="A-53f4e3"/>
    <d v="2024-10-10T00:00:00"/>
    <m/>
    <x v="1"/>
    <n v="93"/>
    <n v="4557"/>
    <n v="54684"/>
    <x v="0"/>
    <b v="0"/>
    <b v="0"/>
    <b v="0"/>
    <x v="1"/>
    <b v="1"/>
  </r>
  <r>
    <s v="S-afa2a9"/>
    <s v="A-4f18f0"/>
    <d v="2024-07-26T00:00:00"/>
    <m/>
    <x v="0"/>
    <n v="24"/>
    <n v="4776"/>
    <n v="57312"/>
    <x v="0"/>
    <b v="0"/>
    <b v="0"/>
    <b v="0"/>
    <x v="1"/>
    <b v="1"/>
  </r>
  <r>
    <s v="S-998ec2"/>
    <s v="A-f446b6"/>
    <d v="2024-04-17T00:00:00"/>
    <m/>
    <x v="2"/>
    <n v="5"/>
    <n v="95"/>
    <n v="1140"/>
    <x v="0"/>
    <b v="0"/>
    <b v="0"/>
    <b v="0"/>
    <x v="1"/>
    <b v="1"/>
  </r>
  <r>
    <s v="S-d19797"/>
    <s v="A-fd7ad3"/>
    <d v="2024-11-10T00:00:00"/>
    <m/>
    <x v="2"/>
    <n v="1"/>
    <n v="19"/>
    <n v="228"/>
    <x v="0"/>
    <b v="0"/>
    <b v="0"/>
    <b v="0"/>
    <x v="0"/>
    <b v="1"/>
  </r>
  <r>
    <s v="S-40e528"/>
    <s v="A-a0ca4e"/>
    <d v="2024-11-19T00:00:00"/>
    <m/>
    <x v="0"/>
    <n v="19"/>
    <n v="0"/>
    <n v="0"/>
    <x v="1"/>
    <b v="0"/>
    <b v="0"/>
    <b v="0"/>
    <x v="1"/>
    <b v="1"/>
  </r>
  <r>
    <s v="S-5c4b5d"/>
    <s v="A-4bfa33"/>
    <d v="2024-12-19T00:00:00"/>
    <m/>
    <x v="1"/>
    <n v="8"/>
    <n v="392"/>
    <n v="4704"/>
    <x v="0"/>
    <b v="0"/>
    <b v="0"/>
    <b v="0"/>
    <x v="1"/>
    <b v="1"/>
  </r>
  <r>
    <s v="S-89c6dc"/>
    <s v="A-55f257"/>
    <d v="2024-06-29T00:00:00"/>
    <m/>
    <x v="1"/>
    <n v="24"/>
    <n v="1176"/>
    <n v="14112"/>
    <x v="0"/>
    <b v="1"/>
    <b v="0"/>
    <b v="0"/>
    <x v="1"/>
    <b v="1"/>
  </r>
  <r>
    <s v="S-4291f7"/>
    <s v="A-afa505"/>
    <d v="2024-11-19T00:00:00"/>
    <m/>
    <x v="0"/>
    <n v="70"/>
    <n v="13930"/>
    <n v="167160"/>
    <x v="0"/>
    <b v="1"/>
    <b v="0"/>
    <b v="0"/>
    <x v="0"/>
    <b v="0"/>
  </r>
  <r>
    <s v="S-151fce"/>
    <s v="A-f03140"/>
    <d v="2023-12-11T00:00:00"/>
    <m/>
    <x v="2"/>
    <n v="27"/>
    <n v="513"/>
    <n v="6156"/>
    <x v="0"/>
    <b v="0"/>
    <b v="0"/>
    <b v="0"/>
    <x v="1"/>
    <b v="0"/>
  </r>
  <r>
    <s v="S-dfaf24"/>
    <s v="A-970c97"/>
    <d v="2024-12-15T00:00:00"/>
    <d v="2024-12-21T00:00:00"/>
    <x v="2"/>
    <n v="27"/>
    <n v="513"/>
    <n v="6156"/>
    <x v="0"/>
    <b v="0"/>
    <b v="0"/>
    <b v="1"/>
    <x v="1"/>
    <b v="0"/>
  </r>
  <r>
    <s v="S-1dfa14"/>
    <s v="A-d3c88e"/>
    <d v="2024-11-19T00:00:00"/>
    <m/>
    <x v="0"/>
    <n v="16"/>
    <n v="3184"/>
    <n v="38208"/>
    <x v="0"/>
    <b v="0"/>
    <b v="0"/>
    <b v="0"/>
    <x v="1"/>
    <b v="0"/>
  </r>
  <r>
    <s v="S-f9e2ca"/>
    <s v="A-151c9a"/>
    <d v="2024-06-10T00:00:00"/>
    <m/>
    <x v="0"/>
    <n v="23"/>
    <n v="4577"/>
    <n v="54924"/>
    <x v="0"/>
    <b v="0"/>
    <b v="0"/>
    <b v="0"/>
    <x v="1"/>
    <b v="1"/>
  </r>
  <r>
    <s v="S-294fb2"/>
    <s v="A-bb2f49"/>
    <d v="2023-07-26T00:00:00"/>
    <m/>
    <x v="0"/>
    <n v="49"/>
    <n v="9751"/>
    <n v="117012"/>
    <x v="0"/>
    <b v="0"/>
    <b v="0"/>
    <b v="0"/>
    <x v="1"/>
    <b v="1"/>
  </r>
  <r>
    <s v="S-673c51"/>
    <s v="A-b7ef83"/>
    <d v="2024-09-14T00:00:00"/>
    <m/>
    <x v="0"/>
    <n v="9"/>
    <n v="1791"/>
    <n v="21492"/>
    <x v="0"/>
    <b v="0"/>
    <b v="0"/>
    <b v="0"/>
    <x v="0"/>
    <b v="0"/>
  </r>
  <r>
    <s v="S-c2b60b"/>
    <s v="A-5a184f"/>
    <d v="2024-10-20T00:00:00"/>
    <m/>
    <x v="2"/>
    <n v="1"/>
    <n v="19"/>
    <n v="228"/>
    <x v="0"/>
    <b v="0"/>
    <b v="0"/>
    <b v="0"/>
    <x v="1"/>
    <b v="1"/>
  </r>
  <r>
    <s v="S-2756ac"/>
    <s v="A-df1e44"/>
    <d v="2024-03-08T00:00:00"/>
    <m/>
    <x v="0"/>
    <n v="39"/>
    <n v="0"/>
    <n v="0"/>
    <x v="1"/>
    <b v="0"/>
    <b v="0"/>
    <b v="0"/>
    <x v="0"/>
    <b v="1"/>
  </r>
  <r>
    <s v="S-5e7357"/>
    <s v="A-9f9299"/>
    <d v="2024-07-07T00:00:00"/>
    <m/>
    <x v="1"/>
    <n v="32"/>
    <n v="1568"/>
    <n v="18816"/>
    <x v="0"/>
    <b v="0"/>
    <b v="0"/>
    <b v="0"/>
    <x v="0"/>
    <b v="1"/>
  </r>
  <r>
    <s v="S-f2be88"/>
    <s v="A-5c046d"/>
    <d v="2024-09-07T00:00:00"/>
    <m/>
    <x v="0"/>
    <n v="93"/>
    <n v="18507"/>
    <n v="222084"/>
    <x v="0"/>
    <b v="0"/>
    <b v="0"/>
    <b v="0"/>
    <x v="0"/>
    <b v="1"/>
  </r>
  <r>
    <s v="S-461334"/>
    <s v="A-a0ca4e"/>
    <d v="2024-05-06T00:00:00"/>
    <m/>
    <x v="2"/>
    <n v="11"/>
    <n v="209"/>
    <n v="2508"/>
    <x v="0"/>
    <b v="0"/>
    <b v="0"/>
    <b v="0"/>
    <x v="1"/>
    <b v="1"/>
  </r>
  <r>
    <s v="S-23dcff"/>
    <s v="A-aa9511"/>
    <d v="2024-10-05T00:00:00"/>
    <m/>
    <x v="0"/>
    <n v="54"/>
    <n v="10746"/>
    <n v="128952"/>
    <x v="0"/>
    <b v="0"/>
    <b v="0"/>
    <b v="0"/>
    <x v="0"/>
    <b v="1"/>
  </r>
  <r>
    <s v="S-ed61a2"/>
    <s v="A-bb1486"/>
    <d v="2024-11-17T00:00:00"/>
    <m/>
    <x v="1"/>
    <n v="69"/>
    <n v="3381"/>
    <n v="40572"/>
    <x v="0"/>
    <b v="0"/>
    <b v="0"/>
    <b v="0"/>
    <x v="0"/>
    <b v="1"/>
  </r>
  <r>
    <s v="S-28e491"/>
    <s v="A-337bc1"/>
    <d v="2024-09-28T00:00:00"/>
    <m/>
    <x v="1"/>
    <n v="30"/>
    <n v="0"/>
    <n v="0"/>
    <x v="1"/>
    <b v="0"/>
    <b v="1"/>
    <b v="0"/>
    <x v="1"/>
    <b v="1"/>
  </r>
  <r>
    <s v="S-e32bf8"/>
    <s v="A-3ce5b8"/>
    <d v="2024-06-05T00:00:00"/>
    <m/>
    <x v="0"/>
    <n v="8"/>
    <n v="1592"/>
    <n v="19104"/>
    <x v="0"/>
    <b v="0"/>
    <b v="0"/>
    <b v="0"/>
    <x v="1"/>
    <b v="1"/>
  </r>
  <r>
    <s v="S-09251c"/>
    <s v="A-8adedc"/>
    <d v="2024-07-17T00:00:00"/>
    <d v="2024-10-30T00:00:00"/>
    <x v="0"/>
    <n v="16"/>
    <n v="3184"/>
    <n v="38208"/>
    <x v="0"/>
    <b v="0"/>
    <b v="0"/>
    <b v="1"/>
    <x v="0"/>
    <b v="1"/>
  </r>
  <r>
    <s v="S-9a7851"/>
    <s v="A-4c38bc"/>
    <d v="2024-12-27T00:00:00"/>
    <d v="2024-12-28T00:00:00"/>
    <x v="1"/>
    <n v="36"/>
    <n v="1764"/>
    <n v="21168"/>
    <x v="0"/>
    <b v="0"/>
    <b v="0"/>
    <b v="1"/>
    <x v="1"/>
    <b v="1"/>
  </r>
  <r>
    <s v="S-ef398a"/>
    <s v="A-b44e3e"/>
    <d v="2024-05-29T00:00:00"/>
    <m/>
    <x v="0"/>
    <n v="40"/>
    <n v="7960"/>
    <n v="95520"/>
    <x v="0"/>
    <b v="0"/>
    <b v="0"/>
    <b v="0"/>
    <x v="1"/>
    <b v="1"/>
  </r>
  <r>
    <s v="S-e3b379"/>
    <s v="A-1f559b"/>
    <d v="2024-02-08T00:00:00"/>
    <m/>
    <x v="2"/>
    <n v="13"/>
    <n v="247"/>
    <n v="2964"/>
    <x v="0"/>
    <b v="0"/>
    <b v="1"/>
    <b v="0"/>
    <x v="0"/>
    <b v="1"/>
  </r>
  <r>
    <s v="S-dbf124"/>
    <s v="A-659280"/>
    <d v="2024-07-25T00:00:00"/>
    <m/>
    <x v="2"/>
    <n v="13"/>
    <n v="247"/>
    <n v="2964"/>
    <x v="0"/>
    <b v="0"/>
    <b v="0"/>
    <b v="0"/>
    <x v="0"/>
    <b v="1"/>
  </r>
  <r>
    <s v="S-df3e3d"/>
    <s v="A-44dc83"/>
    <d v="2024-11-26T00:00:00"/>
    <m/>
    <x v="0"/>
    <n v="13"/>
    <n v="0"/>
    <n v="0"/>
    <x v="1"/>
    <b v="0"/>
    <b v="0"/>
    <b v="0"/>
    <x v="1"/>
    <b v="1"/>
  </r>
  <r>
    <s v="S-57f1a7"/>
    <s v="A-2789e3"/>
    <d v="2024-11-06T00:00:00"/>
    <m/>
    <x v="0"/>
    <n v="11"/>
    <n v="2189"/>
    <n v="26268"/>
    <x v="0"/>
    <b v="0"/>
    <b v="0"/>
    <b v="0"/>
    <x v="1"/>
    <b v="1"/>
  </r>
  <r>
    <s v="S-991f61"/>
    <s v="A-5247b3"/>
    <d v="2024-10-18T00:00:00"/>
    <m/>
    <x v="2"/>
    <n v="18"/>
    <n v="342"/>
    <n v="4104"/>
    <x v="0"/>
    <b v="0"/>
    <b v="0"/>
    <b v="0"/>
    <x v="0"/>
    <b v="1"/>
  </r>
  <r>
    <s v="S-8fb49f"/>
    <s v="A-8e47ca"/>
    <d v="2024-05-20T00:00:00"/>
    <m/>
    <x v="0"/>
    <n v="20"/>
    <n v="3980"/>
    <n v="47760"/>
    <x v="0"/>
    <b v="0"/>
    <b v="0"/>
    <b v="0"/>
    <x v="0"/>
    <b v="1"/>
  </r>
  <r>
    <s v="S-450fa9"/>
    <s v="A-186a44"/>
    <d v="2024-12-17T00:00:00"/>
    <d v="2024-12-25T00:00:00"/>
    <x v="2"/>
    <n v="20"/>
    <n v="380"/>
    <n v="4560"/>
    <x v="0"/>
    <b v="0"/>
    <b v="0"/>
    <b v="1"/>
    <x v="0"/>
    <b v="0"/>
  </r>
  <r>
    <s v="S-2d04a6"/>
    <s v="A-fda07f"/>
    <d v="2024-10-04T00:00:00"/>
    <m/>
    <x v="2"/>
    <n v="8"/>
    <n v="152"/>
    <n v="1824"/>
    <x v="0"/>
    <b v="1"/>
    <b v="0"/>
    <b v="0"/>
    <x v="0"/>
    <b v="1"/>
  </r>
  <r>
    <s v="S-7c47af"/>
    <s v="A-396e5f"/>
    <d v="2024-10-25T00:00:00"/>
    <m/>
    <x v="2"/>
    <n v="18"/>
    <n v="342"/>
    <n v="4104"/>
    <x v="0"/>
    <b v="0"/>
    <b v="0"/>
    <b v="0"/>
    <x v="1"/>
    <b v="1"/>
  </r>
  <r>
    <s v="S-fb9972"/>
    <s v="A-0158bb"/>
    <d v="2024-12-31T00:00:00"/>
    <m/>
    <x v="1"/>
    <n v="45"/>
    <n v="2205"/>
    <n v="26460"/>
    <x v="0"/>
    <b v="1"/>
    <b v="0"/>
    <b v="0"/>
    <x v="1"/>
    <b v="1"/>
  </r>
  <r>
    <s v="S-804fb3"/>
    <s v="A-b7724f"/>
    <d v="2024-12-26T00:00:00"/>
    <m/>
    <x v="2"/>
    <n v="71"/>
    <n v="1349"/>
    <n v="16188"/>
    <x v="0"/>
    <b v="0"/>
    <b v="0"/>
    <b v="0"/>
    <x v="0"/>
    <b v="1"/>
  </r>
  <r>
    <s v="S-1883dc"/>
    <s v="A-05f0e5"/>
    <d v="2024-02-28T00:00:00"/>
    <m/>
    <x v="2"/>
    <n v="56"/>
    <n v="1064"/>
    <n v="12768"/>
    <x v="0"/>
    <b v="0"/>
    <b v="0"/>
    <b v="0"/>
    <x v="1"/>
    <b v="1"/>
  </r>
  <r>
    <s v="S-a8bed8"/>
    <s v="A-9badbd"/>
    <d v="2024-08-28T00:00:00"/>
    <m/>
    <x v="2"/>
    <n v="17"/>
    <n v="323"/>
    <n v="3876"/>
    <x v="0"/>
    <b v="0"/>
    <b v="0"/>
    <b v="0"/>
    <x v="1"/>
    <b v="1"/>
  </r>
  <r>
    <s v="S-049667"/>
    <s v="A-ac14bb"/>
    <d v="2024-07-03T00:00:00"/>
    <m/>
    <x v="2"/>
    <n v="28"/>
    <n v="532"/>
    <n v="6384"/>
    <x v="0"/>
    <b v="1"/>
    <b v="0"/>
    <b v="0"/>
    <x v="1"/>
    <b v="1"/>
  </r>
  <r>
    <s v="S-9a952b"/>
    <s v="A-bcf664"/>
    <d v="2023-08-30T00:00:00"/>
    <m/>
    <x v="2"/>
    <n v="5"/>
    <n v="0"/>
    <n v="0"/>
    <x v="1"/>
    <b v="0"/>
    <b v="0"/>
    <b v="0"/>
    <x v="0"/>
    <b v="1"/>
  </r>
  <r>
    <s v="S-ac462f"/>
    <s v="A-313be3"/>
    <d v="2024-12-03T00:00:00"/>
    <m/>
    <x v="2"/>
    <n v="47"/>
    <n v="0"/>
    <n v="0"/>
    <x v="1"/>
    <b v="0"/>
    <b v="0"/>
    <b v="0"/>
    <x v="0"/>
    <b v="1"/>
  </r>
  <r>
    <s v="S-ff582b"/>
    <s v="A-3b5cd1"/>
    <d v="2023-12-29T00:00:00"/>
    <m/>
    <x v="0"/>
    <n v="13"/>
    <n v="2587"/>
    <n v="31044"/>
    <x v="0"/>
    <b v="0"/>
    <b v="0"/>
    <b v="0"/>
    <x v="0"/>
    <b v="1"/>
  </r>
  <r>
    <s v="S-05555d"/>
    <s v="A-4437e4"/>
    <d v="2024-07-20T00:00:00"/>
    <m/>
    <x v="0"/>
    <n v="16"/>
    <n v="3184"/>
    <n v="38208"/>
    <x v="0"/>
    <b v="1"/>
    <b v="0"/>
    <b v="0"/>
    <x v="1"/>
    <b v="1"/>
  </r>
  <r>
    <s v="S-9fc9f5"/>
    <s v="A-970c97"/>
    <d v="2024-11-04T00:00:00"/>
    <m/>
    <x v="1"/>
    <n v="14"/>
    <n v="686"/>
    <n v="8232"/>
    <x v="0"/>
    <b v="0"/>
    <b v="0"/>
    <b v="0"/>
    <x v="1"/>
    <b v="0"/>
  </r>
  <r>
    <s v="S-a30f36"/>
    <s v="A-dcc2f0"/>
    <d v="2024-10-03T00:00:00"/>
    <m/>
    <x v="1"/>
    <n v="15"/>
    <n v="735"/>
    <n v="8820"/>
    <x v="0"/>
    <b v="0"/>
    <b v="0"/>
    <b v="0"/>
    <x v="1"/>
    <b v="1"/>
  </r>
  <r>
    <s v="S-5521f5"/>
    <s v="A-098560"/>
    <d v="2024-04-13T00:00:00"/>
    <m/>
    <x v="1"/>
    <n v="25"/>
    <n v="1225"/>
    <n v="14700"/>
    <x v="0"/>
    <b v="0"/>
    <b v="0"/>
    <b v="0"/>
    <x v="0"/>
    <b v="0"/>
  </r>
  <r>
    <s v="S-9f123c"/>
    <s v="A-9c18c4"/>
    <d v="2024-07-30T00:00:00"/>
    <m/>
    <x v="0"/>
    <n v="11"/>
    <n v="0"/>
    <n v="0"/>
    <x v="1"/>
    <b v="0"/>
    <b v="0"/>
    <b v="0"/>
    <x v="1"/>
    <b v="1"/>
  </r>
  <r>
    <s v="S-694aa7"/>
    <s v="A-779e4e"/>
    <d v="2024-09-18T00:00:00"/>
    <m/>
    <x v="2"/>
    <n v="98"/>
    <n v="1862"/>
    <n v="22344"/>
    <x v="0"/>
    <b v="0"/>
    <b v="0"/>
    <b v="0"/>
    <x v="1"/>
    <b v="1"/>
  </r>
  <r>
    <s v="S-b72911"/>
    <s v="A-7c83a1"/>
    <d v="2024-07-29T00:00:00"/>
    <m/>
    <x v="2"/>
    <n v="12"/>
    <n v="228"/>
    <n v="2736"/>
    <x v="0"/>
    <b v="0"/>
    <b v="0"/>
    <b v="0"/>
    <x v="0"/>
    <b v="0"/>
  </r>
  <r>
    <s v="S-1d5f4e"/>
    <s v="A-ab438f"/>
    <d v="2024-12-11T00:00:00"/>
    <d v="2024-12-15T00:00:00"/>
    <x v="1"/>
    <n v="13"/>
    <n v="637"/>
    <n v="7644"/>
    <x v="0"/>
    <b v="0"/>
    <b v="0"/>
    <b v="1"/>
    <x v="0"/>
    <b v="0"/>
  </r>
  <r>
    <s v="S-dd85c4"/>
    <s v="A-65c341"/>
    <d v="2024-02-26T00:00:00"/>
    <d v="2024-07-18T00:00:00"/>
    <x v="0"/>
    <n v="31"/>
    <n v="6169"/>
    <n v="74028"/>
    <x v="0"/>
    <b v="0"/>
    <b v="0"/>
    <b v="1"/>
    <x v="0"/>
    <b v="1"/>
  </r>
  <r>
    <s v="S-cdcf4a"/>
    <s v="A-22d9d2"/>
    <d v="2024-11-08T00:00:00"/>
    <m/>
    <x v="0"/>
    <n v="16"/>
    <n v="3184"/>
    <n v="38208"/>
    <x v="0"/>
    <b v="0"/>
    <b v="0"/>
    <b v="0"/>
    <x v="1"/>
    <b v="0"/>
  </r>
  <r>
    <s v="S-c8fedf"/>
    <s v="A-fd9422"/>
    <d v="2024-11-01T00:00:00"/>
    <m/>
    <x v="0"/>
    <n v="58"/>
    <n v="11542"/>
    <n v="138504"/>
    <x v="0"/>
    <b v="0"/>
    <b v="0"/>
    <b v="0"/>
    <x v="0"/>
    <b v="1"/>
  </r>
  <r>
    <s v="S-fa8c75"/>
    <s v="A-43a9e3"/>
    <d v="2024-07-08T00:00:00"/>
    <m/>
    <x v="1"/>
    <n v="18"/>
    <n v="882"/>
    <n v="10584"/>
    <x v="0"/>
    <b v="0"/>
    <b v="0"/>
    <b v="0"/>
    <x v="0"/>
    <b v="1"/>
  </r>
  <r>
    <s v="S-3abf3f"/>
    <s v="A-6a7c9d"/>
    <d v="2024-12-09T00:00:00"/>
    <m/>
    <x v="2"/>
    <n v="27"/>
    <n v="513"/>
    <n v="6156"/>
    <x v="0"/>
    <b v="0"/>
    <b v="0"/>
    <b v="0"/>
    <x v="1"/>
    <b v="1"/>
  </r>
  <r>
    <s v="S-58c146"/>
    <s v="A-e3bd71"/>
    <d v="2024-06-21T00:00:00"/>
    <m/>
    <x v="2"/>
    <n v="41"/>
    <n v="779"/>
    <n v="9348"/>
    <x v="0"/>
    <b v="0"/>
    <b v="0"/>
    <b v="0"/>
    <x v="1"/>
    <b v="0"/>
  </r>
  <r>
    <s v="S-0e594f"/>
    <s v="A-af0cd2"/>
    <d v="2024-09-21T00:00:00"/>
    <m/>
    <x v="2"/>
    <n v="45"/>
    <n v="0"/>
    <n v="0"/>
    <x v="1"/>
    <b v="0"/>
    <b v="0"/>
    <b v="0"/>
    <x v="1"/>
    <b v="1"/>
  </r>
  <r>
    <s v="S-d3ecc2"/>
    <s v="A-9123ac"/>
    <d v="2024-10-19T00:00:00"/>
    <m/>
    <x v="0"/>
    <n v="10"/>
    <n v="1990"/>
    <n v="23880"/>
    <x v="0"/>
    <b v="0"/>
    <b v="0"/>
    <b v="0"/>
    <x v="0"/>
    <b v="1"/>
  </r>
  <r>
    <s v="S-7252b5"/>
    <s v="A-5247b3"/>
    <d v="2024-09-25T00:00:00"/>
    <m/>
    <x v="1"/>
    <n v="16"/>
    <n v="784"/>
    <n v="9408"/>
    <x v="0"/>
    <b v="0"/>
    <b v="0"/>
    <b v="0"/>
    <x v="0"/>
    <b v="1"/>
  </r>
  <r>
    <s v="S-da0c62"/>
    <s v="A-d4ac0e"/>
    <d v="2024-07-02T00:00:00"/>
    <m/>
    <x v="0"/>
    <n v="21"/>
    <n v="0"/>
    <n v="0"/>
    <x v="1"/>
    <b v="0"/>
    <b v="0"/>
    <b v="0"/>
    <x v="0"/>
    <b v="1"/>
  </r>
  <r>
    <s v="S-e2a10c"/>
    <s v="A-118d55"/>
    <d v="2024-12-24T00:00:00"/>
    <m/>
    <x v="2"/>
    <n v="18"/>
    <n v="342"/>
    <n v="4104"/>
    <x v="0"/>
    <b v="1"/>
    <b v="1"/>
    <b v="0"/>
    <x v="1"/>
    <b v="1"/>
  </r>
  <r>
    <s v="S-e8a2fa"/>
    <s v="A-bf7919"/>
    <d v="2024-12-26T00:00:00"/>
    <m/>
    <x v="2"/>
    <n v="10"/>
    <n v="0"/>
    <n v="0"/>
    <x v="1"/>
    <b v="0"/>
    <b v="0"/>
    <b v="0"/>
    <x v="1"/>
    <b v="1"/>
  </r>
  <r>
    <s v="S-198dbe"/>
    <s v="A-18793f"/>
    <d v="2024-12-19T00:00:00"/>
    <m/>
    <x v="1"/>
    <n v="148"/>
    <n v="7252"/>
    <n v="87024"/>
    <x v="0"/>
    <b v="0"/>
    <b v="0"/>
    <b v="0"/>
    <x v="0"/>
    <b v="1"/>
  </r>
  <r>
    <s v="S-4a8ce0"/>
    <s v="A-5a184f"/>
    <d v="2024-01-21T00:00:00"/>
    <m/>
    <x v="2"/>
    <n v="6"/>
    <n v="114"/>
    <n v="1368"/>
    <x v="0"/>
    <b v="0"/>
    <b v="0"/>
    <b v="0"/>
    <x v="0"/>
    <b v="1"/>
  </r>
  <r>
    <s v="S-be05fd"/>
    <s v="A-32728c"/>
    <d v="2024-03-23T00:00:00"/>
    <m/>
    <x v="0"/>
    <n v="20"/>
    <n v="0"/>
    <n v="0"/>
    <x v="1"/>
    <b v="0"/>
    <b v="0"/>
    <b v="0"/>
    <x v="0"/>
    <b v="1"/>
  </r>
  <r>
    <s v="S-afed2d"/>
    <s v="A-726cfa"/>
    <d v="2024-05-30T00:00:00"/>
    <d v="2024-12-12T00:00:00"/>
    <x v="1"/>
    <n v="11"/>
    <n v="539"/>
    <n v="6468"/>
    <x v="0"/>
    <b v="0"/>
    <b v="0"/>
    <b v="1"/>
    <x v="1"/>
    <b v="1"/>
  </r>
  <r>
    <s v="S-22e21a"/>
    <s v="A-ad296b"/>
    <d v="2024-09-18T00:00:00"/>
    <m/>
    <x v="0"/>
    <n v="38"/>
    <n v="7562"/>
    <n v="90744"/>
    <x v="0"/>
    <b v="0"/>
    <b v="0"/>
    <b v="0"/>
    <x v="1"/>
    <b v="1"/>
  </r>
  <r>
    <s v="S-a2da20"/>
    <s v="A-ac9111"/>
    <d v="2024-11-13T00:00:00"/>
    <m/>
    <x v="0"/>
    <n v="32"/>
    <n v="6368"/>
    <n v="76416"/>
    <x v="0"/>
    <b v="0"/>
    <b v="0"/>
    <b v="0"/>
    <x v="0"/>
    <b v="1"/>
  </r>
  <r>
    <s v="S-342037"/>
    <s v="A-bb3bd4"/>
    <d v="2024-04-05T00:00:00"/>
    <m/>
    <x v="0"/>
    <n v="23"/>
    <n v="4577"/>
    <n v="54924"/>
    <x v="0"/>
    <b v="1"/>
    <b v="0"/>
    <b v="0"/>
    <x v="1"/>
    <b v="1"/>
  </r>
  <r>
    <s v="S-e7c172"/>
    <s v="A-6a4e2d"/>
    <d v="2024-03-12T00:00:00"/>
    <m/>
    <x v="2"/>
    <n v="22"/>
    <n v="418"/>
    <n v="5016"/>
    <x v="0"/>
    <b v="0"/>
    <b v="0"/>
    <b v="0"/>
    <x v="0"/>
    <b v="1"/>
  </r>
  <r>
    <s v="S-b37b2a"/>
    <s v="A-78f02b"/>
    <d v="2024-12-08T00:00:00"/>
    <m/>
    <x v="1"/>
    <n v="11"/>
    <n v="539"/>
    <n v="6468"/>
    <x v="0"/>
    <b v="1"/>
    <b v="0"/>
    <b v="0"/>
    <x v="1"/>
    <b v="1"/>
  </r>
  <r>
    <s v="S-3c87b4"/>
    <s v="A-2ebb4b"/>
    <d v="2024-12-10T00:00:00"/>
    <m/>
    <x v="1"/>
    <n v="41"/>
    <n v="2009"/>
    <n v="24108"/>
    <x v="0"/>
    <b v="0"/>
    <b v="0"/>
    <b v="0"/>
    <x v="0"/>
    <b v="1"/>
  </r>
  <r>
    <s v="S-4522a0"/>
    <s v="A-0aaf6e"/>
    <d v="2024-07-16T00:00:00"/>
    <m/>
    <x v="2"/>
    <n v="18"/>
    <n v="0"/>
    <n v="0"/>
    <x v="1"/>
    <b v="0"/>
    <b v="0"/>
    <b v="0"/>
    <x v="1"/>
    <b v="0"/>
  </r>
  <r>
    <s v="S-628884"/>
    <s v="A-f3ff05"/>
    <d v="2024-08-03T00:00:00"/>
    <m/>
    <x v="2"/>
    <n v="19"/>
    <n v="361"/>
    <n v="4332"/>
    <x v="0"/>
    <b v="0"/>
    <b v="0"/>
    <b v="0"/>
    <x v="1"/>
    <b v="1"/>
  </r>
  <r>
    <s v="S-bf893c"/>
    <s v="A-6965e1"/>
    <d v="2024-12-07T00:00:00"/>
    <m/>
    <x v="0"/>
    <n v="38"/>
    <n v="7562"/>
    <n v="90744"/>
    <x v="0"/>
    <b v="0"/>
    <b v="0"/>
    <b v="0"/>
    <x v="0"/>
    <b v="0"/>
  </r>
  <r>
    <s v="S-305a67"/>
    <s v="A-6da850"/>
    <d v="2024-04-12T00:00:00"/>
    <m/>
    <x v="2"/>
    <n v="12"/>
    <n v="228"/>
    <n v="2736"/>
    <x v="0"/>
    <b v="0"/>
    <b v="0"/>
    <b v="0"/>
    <x v="1"/>
    <b v="1"/>
  </r>
  <r>
    <s v="S-58a7c0"/>
    <s v="A-18793f"/>
    <d v="2024-12-24T00:00:00"/>
    <m/>
    <x v="0"/>
    <n v="148"/>
    <n v="0"/>
    <n v="0"/>
    <x v="1"/>
    <b v="0"/>
    <b v="0"/>
    <b v="0"/>
    <x v="0"/>
    <b v="1"/>
  </r>
  <r>
    <s v="S-4d8612"/>
    <s v="A-f97b9a"/>
    <d v="2023-09-10T00:00:00"/>
    <m/>
    <x v="0"/>
    <n v="16"/>
    <n v="0"/>
    <n v="0"/>
    <x v="1"/>
    <b v="0"/>
    <b v="0"/>
    <b v="0"/>
    <x v="0"/>
    <b v="0"/>
  </r>
  <r>
    <s v="S-eadebb"/>
    <s v="A-87aa7b"/>
    <d v="2024-08-23T00:00:00"/>
    <m/>
    <x v="1"/>
    <n v="24"/>
    <n v="1176"/>
    <n v="14112"/>
    <x v="0"/>
    <b v="0"/>
    <b v="0"/>
    <b v="0"/>
    <x v="1"/>
    <b v="1"/>
  </r>
  <r>
    <s v="S-f61f42"/>
    <s v="A-72799b"/>
    <d v="2024-05-17T00:00:00"/>
    <m/>
    <x v="0"/>
    <n v="20"/>
    <n v="3980"/>
    <n v="47760"/>
    <x v="0"/>
    <b v="0"/>
    <b v="0"/>
    <b v="0"/>
    <x v="0"/>
    <b v="1"/>
  </r>
  <r>
    <s v="S-d3f138"/>
    <s v="A-560d27"/>
    <d v="2024-10-21T00:00:00"/>
    <d v="2024-11-18T00:00:00"/>
    <x v="0"/>
    <n v="23"/>
    <n v="4577"/>
    <n v="54924"/>
    <x v="0"/>
    <b v="0"/>
    <b v="0"/>
    <b v="1"/>
    <x v="0"/>
    <b v="0"/>
  </r>
  <r>
    <s v="S-0f3df6"/>
    <s v="A-68f37c"/>
    <d v="2023-07-24T00:00:00"/>
    <m/>
    <x v="0"/>
    <n v="121"/>
    <n v="24079"/>
    <n v="288948"/>
    <x v="0"/>
    <b v="0"/>
    <b v="0"/>
    <b v="0"/>
    <x v="1"/>
    <b v="1"/>
  </r>
  <r>
    <s v="S-7791c3"/>
    <s v="A-856b1e"/>
    <d v="2024-01-13T00:00:00"/>
    <m/>
    <x v="1"/>
    <n v="19"/>
    <n v="931"/>
    <n v="11172"/>
    <x v="0"/>
    <b v="0"/>
    <b v="0"/>
    <b v="0"/>
    <x v="0"/>
    <b v="1"/>
  </r>
  <r>
    <s v="S-1bbdb1"/>
    <s v="A-0651a4"/>
    <d v="2024-12-13T00:00:00"/>
    <m/>
    <x v="2"/>
    <n v="54"/>
    <n v="0"/>
    <n v="0"/>
    <x v="1"/>
    <b v="0"/>
    <b v="0"/>
    <b v="0"/>
    <x v="1"/>
    <b v="0"/>
  </r>
  <r>
    <s v="S-cc4bf0"/>
    <s v="A-a1bbb6"/>
    <d v="2023-05-10T00:00:00"/>
    <m/>
    <x v="0"/>
    <n v="28"/>
    <n v="5572"/>
    <n v="66864"/>
    <x v="0"/>
    <b v="0"/>
    <b v="0"/>
    <b v="0"/>
    <x v="1"/>
    <b v="0"/>
  </r>
  <r>
    <s v="S-46b63b"/>
    <s v="A-d5a319"/>
    <d v="2024-09-29T00:00:00"/>
    <m/>
    <x v="0"/>
    <n v="31"/>
    <n v="6169"/>
    <n v="74028"/>
    <x v="0"/>
    <b v="0"/>
    <b v="1"/>
    <b v="0"/>
    <x v="0"/>
    <b v="1"/>
  </r>
  <r>
    <s v="S-f020d4"/>
    <s v="A-50f3f7"/>
    <d v="2024-12-17T00:00:00"/>
    <m/>
    <x v="0"/>
    <n v="31"/>
    <n v="6169"/>
    <n v="74028"/>
    <x v="0"/>
    <b v="0"/>
    <b v="0"/>
    <b v="0"/>
    <x v="1"/>
    <b v="1"/>
  </r>
  <r>
    <s v="S-63671f"/>
    <s v="A-df1e44"/>
    <d v="2024-06-12T00:00:00"/>
    <m/>
    <x v="1"/>
    <n v="12"/>
    <n v="588"/>
    <n v="7056"/>
    <x v="0"/>
    <b v="0"/>
    <b v="0"/>
    <b v="0"/>
    <x v="1"/>
    <b v="1"/>
  </r>
  <r>
    <s v="S-6c9763"/>
    <s v="A-f9cc74"/>
    <d v="2024-11-29T00:00:00"/>
    <m/>
    <x v="2"/>
    <n v="30"/>
    <n v="570"/>
    <n v="6840"/>
    <x v="0"/>
    <b v="0"/>
    <b v="0"/>
    <b v="0"/>
    <x v="1"/>
    <b v="1"/>
  </r>
  <r>
    <s v="S-e78857"/>
    <s v="A-432483"/>
    <d v="2023-09-09T00:00:00"/>
    <d v="2024-12-30T00:00:00"/>
    <x v="0"/>
    <n v="10"/>
    <n v="1990"/>
    <n v="23880"/>
    <x v="0"/>
    <b v="1"/>
    <b v="0"/>
    <b v="1"/>
    <x v="0"/>
    <b v="1"/>
  </r>
  <r>
    <s v="S-5bb58e"/>
    <s v="A-5a215a"/>
    <d v="2024-01-31T00:00:00"/>
    <m/>
    <x v="2"/>
    <n v="87"/>
    <n v="1653"/>
    <n v="19836"/>
    <x v="0"/>
    <b v="0"/>
    <b v="0"/>
    <b v="0"/>
    <x v="1"/>
    <b v="0"/>
  </r>
  <r>
    <s v="S-cd13b5"/>
    <s v="A-6e7827"/>
    <d v="2024-04-30T00:00:00"/>
    <m/>
    <x v="1"/>
    <n v="35"/>
    <n v="1715"/>
    <n v="20580"/>
    <x v="0"/>
    <b v="0"/>
    <b v="0"/>
    <b v="0"/>
    <x v="0"/>
    <b v="1"/>
  </r>
  <r>
    <s v="S-7554c2"/>
    <s v="A-d40bf7"/>
    <d v="2024-12-13T00:00:00"/>
    <m/>
    <x v="1"/>
    <n v="59"/>
    <n v="0"/>
    <n v="0"/>
    <x v="1"/>
    <b v="0"/>
    <b v="0"/>
    <b v="0"/>
    <x v="1"/>
    <b v="1"/>
  </r>
  <r>
    <s v="S-06c096"/>
    <s v="A-eb2fdc"/>
    <d v="2024-11-02T00:00:00"/>
    <m/>
    <x v="1"/>
    <n v="31"/>
    <n v="1519"/>
    <n v="18228"/>
    <x v="0"/>
    <b v="0"/>
    <b v="0"/>
    <b v="0"/>
    <x v="1"/>
    <b v="1"/>
  </r>
  <r>
    <s v="S-883efd"/>
    <s v="A-089363"/>
    <d v="2024-06-09T00:00:00"/>
    <m/>
    <x v="1"/>
    <n v="2"/>
    <n v="0"/>
    <n v="0"/>
    <x v="1"/>
    <b v="0"/>
    <b v="0"/>
    <b v="0"/>
    <x v="0"/>
    <b v="1"/>
  </r>
  <r>
    <s v="S-a9762e"/>
    <s v="A-902ef7"/>
    <d v="2024-12-05T00:00:00"/>
    <m/>
    <x v="1"/>
    <n v="83"/>
    <n v="4067"/>
    <n v="48804"/>
    <x v="0"/>
    <b v="0"/>
    <b v="0"/>
    <b v="0"/>
    <x v="1"/>
    <b v="1"/>
  </r>
  <r>
    <s v="S-85c06f"/>
    <s v="A-bb2f49"/>
    <d v="2023-12-13T00:00:00"/>
    <m/>
    <x v="0"/>
    <n v="8"/>
    <n v="1592"/>
    <n v="19104"/>
    <x v="0"/>
    <b v="1"/>
    <b v="0"/>
    <b v="0"/>
    <x v="1"/>
    <b v="1"/>
  </r>
  <r>
    <s v="S-cccce3"/>
    <s v="A-3b5cd1"/>
    <d v="2023-11-18T00:00:00"/>
    <m/>
    <x v="1"/>
    <n v="13"/>
    <n v="637"/>
    <n v="7644"/>
    <x v="0"/>
    <b v="1"/>
    <b v="0"/>
    <b v="0"/>
    <x v="0"/>
    <b v="1"/>
  </r>
  <r>
    <s v="S-d69e2c"/>
    <s v="A-39ddf4"/>
    <d v="2024-12-27T00:00:00"/>
    <m/>
    <x v="1"/>
    <n v="40"/>
    <n v="1960"/>
    <n v="23520"/>
    <x v="0"/>
    <b v="0"/>
    <b v="0"/>
    <b v="0"/>
    <x v="1"/>
    <b v="0"/>
  </r>
  <r>
    <s v="S-16fb78"/>
    <s v="A-6843f2"/>
    <d v="2024-12-15T00:00:00"/>
    <m/>
    <x v="0"/>
    <n v="21"/>
    <n v="4179"/>
    <n v="50148"/>
    <x v="0"/>
    <b v="0"/>
    <b v="0"/>
    <b v="0"/>
    <x v="0"/>
    <b v="1"/>
  </r>
  <r>
    <s v="S-b01b1c"/>
    <s v="A-76fa4d"/>
    <d v="2024-12-24T00:00:00"/>
    <m/>
    <x v="1"/>
    <n v="69"/>
    <n v="3381"/>
    <n v="40572"/>
    <x v="0"/>
    <b v="0"/>
    <b v="0"/>
    <b v="0"/>
    <x v="0"/>
    <b v="1"/>
  </r>
  <r>
    <s v="S-574b52"/>
    <s v="A-039727"/>
    <d v="2024-11-15T00:00:00"/>
    <m/>
    <x v="0"/>
    <n v="25"/>
    <n v="4975"/>
    <n v="59700"/>
    <x v="0"/>
    <b v="0"/>
    <b v="0"/>
    <b v="0"/>
    <x v="0"/>
    <b v="1"/>
  </r>
  <r>
    <s v="S-de705a"/>
    <s v="A-f44180"/>
    <d v="2024-12-10T00:00:00"/>
    <m/>
    <x v="2"/>
    <n v="17"/>
    <n v="0"/>
    <n v="0"/>
    <x v="1"/>
    <b v="0"/>
    <b v="0"/>
    <b v="0"/>
    <x v="1"/>
    <b v="0"/>
  </r>
  <r>
    <s v="S-0ae114"/>
    <s v="A-309e54"/>
    <d v="2024-12-27T00:00:00"/>
    <m/>
    <x v="2"/>
    <n v="71"/>
    <n v="1349"/>
    <n v="16188"/>
    <x v="0"/>
    <b v="0"/>
    <b v="0"/>
    <b v="0"/>
    <x v="0"/>
    <b v="1"/>
  </r>
  <r>
    <s v="S-8e701b"/>
    <s v="A-4437e4"/>
    <d v="2024-04-21T00:00:00"/>
    <m/>
    <x v="0"/>
    <n v="3"/>
    <n v="597"/>
    <n v="7164"/>
    <x v="0"/>
    <b v="0"/>
    <b v="0"/>
    <b v="0"/>
    <x v="0"/>
    <b v="0"/>
  </r>
  <r>
    <s v="S-374be8"/>
    <s v="A-b7ef83"/>
    <d v="2024-06-12T00:00:00"/>
    <m/>
    <x v="2"/>
    <n v="23"/>
    <n v="437"/>
    <n v="5244"/>
    <x v="0"/>
    <b v="0"/>
    <b v="0"/>
    <b v="0"/>
    <x v="1"/>
    <b v="0"/>
  </r>
  <r>
    <s v="S-737994"/>
    <s v="A-712533"/>
    <d v="2024-11-27T00:00:00"/>
    <m/>
    <x v="2"/>
    <n v="24"/>
    <n v="456"/>
    <n v="5472"/>
    <x v="0"/>
    <b v="0"/>
    <b v="0"/>
    <b v="0"/>
    <x v="0"/>
    <b v="1"/>
  </r>
  <r>
    <s v="S-41acf0"/>
    <s v="A-378b99"/>
    <d v="2024-11-05T00:00:00"/>
    <m/>
    <x v="0"/>
    <n v="16"/>
    <n v="3184"/>
    <n v="38208"/>
    <x v="0"/>
    <b v="0"/>
    <b v="0"/>
    <b v="0"/>
    <x v="1"/>
    <b v="1"/>
  </r>
  <r>
    <s v="S-faf395"/>
    <s v="A-a6d261"/>
    <d v="2024-07-08T00:00:00"/>
    <m/>
    <x v="2"/>
    <n v="9"/>
    <n v="171"/>
    <n v="2052"/>
    <x v="0"/>
    <b v="0"/>
    <b v="0"/>
    <b v="0"/>
    <x v="1"/>
    <b v="1"/>
  </r>
  <r>
    <s v="S-ab7022"/>
    <s v="A-7df7a7"/>
    <d v="2023-03-03T00:00:00"/>
    <m/>
    <x v="2"/>
    <n v="85"/>
    <n v="0"/>
    <n v="0"/>
    <x v="1"/>
    <b v="0"/>
    <b v="0"/>
    <b v="0"/>
    <x v="0"/>
    <b v="1"/>
  </r>
  <r>
    <s v="S-76cdf1"/>
    <s v="A-aa9511"/>
    <d v="2024-06-16T00:00:00"/>
    <m/>
    <x v="1"/>
    <n v="23"/>
    <n v="1127"/>
    <n v="13524"/>
    <x v="0"/>
    <b v="0"/>
    <b v="0"/>
    <b v="0"/>
    <x v="0"/>
    <b v="1"/>
  </r>
  <r>
    <s v="S-cb5020"/>
    <s v="A-2ebb4b"/>
    <d v="2024-06-02T00:00:00"/>
    <m/>
    <x v="0"/>
    <n v="41"/>
    <n v="8159"/>
    <n v="97908"/>
    <x v="0"/>
    <b v="0"/>
    <b v="0"/>
    <b v="0"/>
    <x v="0"/>
    <b v="1"/>
  </r>
  <r>
    <s v="S-b7cbc2"/>
    <s v="A-940b8b"/>
    <d v="2024-11-11T00:00:00"/>
    <m/>
    <x v="0"/>
    <n v="7"/>
    <n v="0"/>
    <n v="0"/>
    <x v="1"/>
    <b v="0"/>
    <b v="0"/>
    <b v="0"/>
    <x v="1"/>
    <b v="1"/>
  </r>
  <r>
    <s v="S-6b97b7"/>
    <s v="A-50f3f7"/>
    <d v="2024-11-09T00:00:00"/>
    <m/>
    <x v="0"/>
    <n v="31"/>
    <n v="6169"/>
    <n v="74028"/>
    <x v="0"/>
    <b v="0"/>
    <b v="0"/>
    <b v="0"/>
    <x v="1"/>
    <b v="1"/>
  </r>
  <r>
    <s v="S-3c853b"/>
    <s v="A-22d9d2"/>
    <d v="2024-03-27T00:00:00"/>
    <m/>
    <x v="2"/>
    <n v="8"/>
    <n v="152"/>
    <n v="1824"/>
    <x v="0"/>
    <b v="0"/>
    <b v="0"/>
    <b v="0"/>
    <x v="0"/>
    <b v="1"/>
  </r>
  <r>
    <s v="S-21bd25"/>
    <s v="A-7f8241"/>
    <d v="2023-07-16T00:00:00"/>
    <m/>
    <x v="1"/>
    <n v="34"/>
    <n v="1666"/>
    <n v="19992"/>
    <x v="0"/>
    <b v="0"/>
    <b v="0"/>
    <b v="0"/>
    <x v="0"/>
    <b v="1"/>
  </r>
  <r>
    <s v="S-a175c2"/>
    <s v="A-d40bf7"/>
    <d v="2024-12-15T00:00:00"/>
    <m/>
    <x v="0"/>
    <n v="59"/>
    <n v="0"/>
    <n v="0"/>
    <x v="1"/>
    <b v="1"/>
    <b v="0"/>
    <b v="0"/>
    <x v="1"/>
    <b v="1"/>
  </r>
  <r>
    <s v="S-2f2ba3"/>
    <s v="A-50f3f7"/>
    <d v="2024-12-11T00:00:00"/>
    <m/>
    <x v="0"/>
    <n v="31"/>
    <n v="6169"/>
    <n v="74028"/>
    <x v="0"/>
    <b v="0"/>
    <b v="0"/>
    <b v="0"/>
    <x v="0"/>
    <b v="1"/>
  </r>
  <r>
    <s v="S-f29e7f"/>
    <s v="A-bbe56f"/>
    <d v="2024-10-15T00:00:00"/>
    <m/>
    <x v="2"/>
    <n v="22"/>
    <n v="418"/>
    <n v="5016"/>
    <x v="0"/>
    <b v="0"/>
    <b v="0"/>
    <b v="0"/>
    <x v="1"/>
    <b v="1"/>
  </r>
  <r>
    <s v="S-783131"/>
    <s v="A-51ec1b"/>
    <d v="2024-10-03T00:00:00"/>
    <d v="2024-11-27T00:00:00"/>
    <x v="0"/>
    <n v="7"/>
    <n v="1393"/>
    <n v="16716"/>
    <x v="0"/>
    <b v="0"/>
    <b v="0"/>
    <b v="1"/>
    <x v="1"/>
    <b v="1"/>
  </r>
  <r>
    <s v="S-c87441"/>
    <s v="A-b07b56"/>
    <d v="2024-11-16T00:00:00"/>
    <m/>
    <x v="2"/>
    <n v="25"/>
    <n v="475"/>
    <n v="5700"/>
    <x v="0"/>
    <b v="0"/>
    <b v="0"/>
    <b v="0"/>
    <x v="1"/>
    <b v="1"/>
  </r>
  <r>
    <s v="S-39a28e"/>
    <s v="A-08e34e"/>
    <d v="2024-12-26T00:00:00"/>
    <m/>
    <x v="0"/>
    <n v="14"/>
    <n v="0"/>
    <n v="0"/>
    <x v="1"/>
    <b v="0"/>
    <b v="0"/>
    <b v="0"/>
    <x v="0"/>
    <b v="1"/>
  </r>
  <r>
    <s v="S-775719"/>
    <s v="A-34d880"/>
    <d v="2024-04-21T00:00:00"/>
    <m/>
    <x v="1"/>
    <n v="4"/>
    <n v="196"/>
    <n v="2352"/>
    <x v="0"/>
    <b v="0"/>
    <b v="0"/>
    <b v="0"/>
    <x v="1"/>
    <b v="0"/>
  </r>
  <r>
    <s v="S-8e3b74"/>
    <s v="A-08e34e"/>
    <d v="2024-11-06T00:00:00"/>
    <m/>
    <x v="0"/>
    <n v="29"/>
    <n v="5771"/>
    <n v="69252"/>
    <x v="0"/>
    <b v="0"/>
    <b v="0"/>
    <b v="0"/>
    <x v="0"/>
    <b v="0"/>
  </r>
  <r>
    <s v="S-7553fb"/>
    <s v="A-54d94a"/>
    <d v="2023-11-29T00:00:00"/>
    <d v="2024-01-28T00:00:00"/>
    <x v="0"/>
    <n v="52"/>
    <n v="0"/>
    <n v="0"/>
    <x v="1"/>
    <b v="0"/>
    <b v="0"/>
    <b v="1"/>
    <x v="0"/>
    <b v="0"/>
  </r>
  <r>
    <s v="S-8e5ceb"/>
    <s v="A-7f4db3"/>
    <d v="2024-11-07T00:00:00"/>
    <d v="2024-11-18T00:00:00"/>
    <x v="0"/>
    <n v="9"/>
    <n v="0"/>
    <n v="0"/>
    <x v="1"/>
    <b v="0"/>
    <b v="0"/>
    <b v="1"/>
    <x v="0"/>
    <b v="1"/>
  </r>
  <r>
    <s v="S-9c8d9e"/>
    <s v="A-5f2961"/>
    <d v="2024-12-20T00:00:00"/>
    <m/>
    <x v="1"/>
    <n v="24"/>
    <n v="1176"/>
    <n v="14112"/>
    <x v="0"/>
    <b v="0"/>
    <b v="0"/>
    <b v="0"/>
    <x v="0"/>
    <b v="1"/>
  </r>
  <r>
    <s v="S-c2c321"/>
    <s v="A-684255"/>
    <d v="2024-06-18T00:00:00"/>
    <d v="2024-08-09T00:00:00"/>
    <x v="0"/>
    <n v="14"/>
    <n v="0"/>
    <n v="0"/>
    <x v="1"/>
    <b v="1"/>
    <b v="0"/>
    <b v="1"/>
    <x v="0"/>
    <b v="1"/>
  </r>
  <r>
    <s v="S-43af5a"/>
    <s v="A-f3ff05"/>
    <d v="2024-11-26T00:00:00"/>
    <m/>
    <x v="1"/>
    <n v="4"/>
    <n v="196"/>
    <n v="2352"/>
    <x v="0"/>
    <b v="0"/>
    <b v="0"/>
    <b v="0"/>
    <x v="0"/>
    <b v="1"/>
  </r>
  <r>
    <s v="S-39539d"/>
    <s v="A-2bc93d"/>
    <d v="2023-07-19T00:00:00"/>
    <m/>
    <x v="0"/>
    <n v="14"/>
    <n v="2786"/>
    <n v="33432"/>
    <x v="0"/>
    <b v="0"/>
    <b v="0"/>
    <b v="0"/>
    <x v="1"/>
    <b v="1"/>
  </r>
  <r>
    <s v="S-aa0c6b"/>
    <s v="A-702032"/>
    <d v="2024-07-07T00:00:00"/>
    <d v="2024-10-23T00:00:00"/>
    <x v="2"/>
    <n v="28"/>
    <n v="0"/>
    <n v="0"/>
    <x v="1"/>
    <b v="0"/>
    <b v="0"/>
    <b v="1"/>
    <x v="0"/>
    <b v="0"/>
  </r>
  <r>
    <s v="S-a01486"/>
    <s v="A-52dd88"/>
    <d v="2023-12-25T00:00:00"/>
    <m/>
    <x v="2"/>
    <n v="23"/>
    <n v="437"/>
    <n v="5244"/>
    <x v="0"/>
    <b v="0"/>
    <b v="0"/>
    <b v="0"/>
    <x v="1"/>
    <b v="0"/>
  </r>
  <r>
    <s v="S-951053"/>
    <s v="A-4814a3"/>
    <d v="2024-11-24T00:00:00"/>
    <m/>
    <x v="1"/>
    <n v="87"/>
    <n v="4263"/>
    <n v="51156"/>
    <x v="0"/>
    <b v="1"/>
    <b v="0"/>
    <b v="0"/>
    <x v="0"/>
    <b v="0"/>
  </r>
  <r>
    <s v="S-b5e9e7"/>
    <s v="A-e7a1e2"/>
    <d v="2024-10-26T00:00:00"/>
    <m/>
    <x v="0"/>
    <n v="12"/>
    <n v="2388"/>
    <n v="28656"/>
    <x v="0"/>
    <b v="0"/>
    <b v="0"/>
    <b v="0"/>
    <x v="1"/>
    <b v="1"/>
  </r>
  <r>
    <s v="S-246942"/>
    <s v="A-0b0d6d"/>
    <d v="2024-12-31T00:00:00"/>
    <m/>
    <x v="0"/>
    <n v="45"/>
    <n v="8955"/>
    <n v="107460"/>
    <x v="0"/>
    <b v="0"/>
    <b v="0"/>
    <b v="0"/>
    <x v="0"/>
    <b v="1"/>
  </r>
  <r>
    <s v="S-1d7003"/>
    <s v="A-a33200"/>
    <d v="2024-09-27T00:00:00"/>
    <m/>
    <x v="0"/>
    <n v="29"/>
    <n v="5771"/>
    <n v="69252"/>
    <x v="0"/>
    <b v="0"/>
    <b v="0"/>
    <b v="0"/>
    <x v="0"/>
    <b v="1"/>
  </r>
  <r>
    <s v="S-3e24ed"/>
    <s v="A-e2cd1b"/>
    <d v="2024-02-22T00:00:00"/>
    <m/>
    <x v="2"/>
    <n v="44"/>
    <n v="836"/>
    <n v="10032"/>
    <x v="0"/>
    <b v="0"/>
    <b v="0"/>
    <b v="0"/>
    <x v="0"/>
    <b v="1"/>
  </r>
  <r>
    <s v="S-4bfab2"/>
    <s v="A-544d0a"/>
    <d v="2024-12-07T00:00:00"/>
    <m/>
    <x v="2"/>
    <n v="2"/>
    <n v="38"/>
    <n v="456"/>
    <x v="0"/>
    <b v="0"/>
    <b v="0"/>
    <b v="0"/>
    <x v="0"/>
    <b v="1"/>
  </r>
  <r>
    <s v="S-003fc0"/>
    <s v="A-65c341"/>
    <d v="2024-10-03T00:00:00"/>
    <m/>
    <x v="2"/>
    <n v="11"/>
    <n v="0"/>
    <n v="0"/>
    <x v="1"/>
    <b v="0"/>
    <b v="0"/>
    <b v="0"/>
    <x v="1"/>
    <b v="1"/>
  </r>
  <r>
    <s v="S-b7f657"/>
    <s v="A-019782"/>
    <d v="2023-08-28T00:00:00"/>
    <m/>
    <x v="0"/>
    <n v="13"/>
    <n v="2587"/>
    <n v="31044"/>
    <x v="0"/>
    <b v="0"/>
    <b v="0"/>
    <b v="0"/>
    <x v="1"/>
    <b v="1"/>
  </r>
  <r>
    <s v="S-3d6100"/>
    <s v="A-854864"/>
    <d v="2024-12-24T00:00:00"/>
    <m/>
    <x v="1"/>
    <n v="20"/>
    <n v="980"/>
    <n v="11760"/>
    <x v="0"/>
    <b v="0"/>
    <b v="0"/>
    <b v="0"/>
    <x v="1"/>
    <b v="1"/>
  </r>
  <r>
    <s v="S-5818be"/>
    <s v="A-692f18"/>
    <d v="2024-06-19T00:00:00"/>
    <m/>
    <x v="1"/>
    <n v="5"/>
    <n v="245"/>
    <n v="2940"/>
    <x v="0"/>
    <b v="0"/>
    <b v="0"/>
    <b v="0"/>
    <x v="1"/>
    <b v="1"/>
  </r>
  <r>
    <s v="S-125201"/>
    <s v="A-7f8241"/>
    <d v="2023-11-29T00:00:00"/>
    <m/>
    <x v="0"/>
    <n v="34"/>
    <n v="0"/>
    <n v="0"/>
    <x v="1"/>
    <b v="1"/>
    <b v="0"/>
    <b v="0"/>
    <x v="1"/>
    <b v="1"/>
  </r>
  <r>
    <s v="S-987539"/>
    <s v="A-9c18c4"/>
    <d v="2023-12-20T00:00:00"/>
    <m/>
    <x v="0"/>
    <n v="19"/>
    <n v="3781"/>
    <n v="45372"/>
    <x v="0"/>
    <b v="0"/>
    <b v="0"/>
    <b v="0"/>
    <x v="0"/>
    <b v="1"/>
  </r>
  <r>
    <s v="S-127844"/>
    <s v="A-f446b6"/>
    <d v="2024-02-11T00:00:00"/>
    <m/>
    <x v="0"/>
    <n v="7"/>
    <n v="1393"/>
    <n v="16716"/>
    <x v="0"/>
    <b v="0"/>
    <b v="0"/>
    <b v="0"/>
    <x v="0"/>
    <b v="1"/>
  </r>
  <r>
    <s v="S-bc5755"/>
    <s v="A-ffdfd5"/>
    <d v="2024-10-20T00:00:00"/>
    <m/>
    <x v="0"/>
    <n v="7"/>
    <n v="1393"/>
    <n v="16716"/>
    <x v="0"/>
    <b v="0"/>
    <b v="0"/>
    <b v="0"/>
    <x v="0"/>
    <b v="1"/>
  </r>
  <r>
    <s v="S-882f1d"/>
    <s v="A-249769"/>
    <d v="2024-11-21T00:00:00"/>
    <m/>
    <x v="2"/>
    <n v="7"/>
    <n v="133"/>
    <n v="1596"/>
    <x v="0"/>
    <b v="0"/>
    <b v="0"/>
    <b v="0"/>
    <x v="1"/>
    <b v="1"/>
  </r>
  <r>
    <s v="S-0ec442"/>
    <s v="A-d4e0d4"/>
    <d v="2024-12-12T00:00:00"/>
    <m/>
    <x v="1"/>
    <n v="117"/>
    <n v="5733"/>
    <n v="68796"/>
    <x v="0"/>
    <b v="0"/>
    <b v="0"/>
    <b v="0"/>
    <x v="0"/>
    <b v="1"/>
  </r>
  <r>
    <s v="S-62c824"/>
    <s v="A-0e966d"/>
    <d v="2024-11-26T00:00:00"/>
    <d v="2024-11-30T00:00:00"/>
    <x v="2"/>
    <n v="11"/>
    <n v="209"/>
    <n v="2508"/>
    <x v="0"/>
    <b v="0"/>
    <b v="0"/>
    <b v="1"/>
    <x v="1"/>
    <b v="1"/>
  </r>
  <r>
    <s v="S-11dba6"/>
    <s v="A-9badbd"/>
    <d v="2024-11-02T00:00:00"/>
    <m/>
    <x v="2"/>
    <n v="41"/>
    <n v="779"/>
    <n v="9348"/>
    <x v="0"/>
    <b v="0"/>
    <b v="0"/>
    <b v="0"/>
    <x v="1"/>
    <b v="0"/>
  </r>
  <r>
    <s v="S-8fd62c"/>
    <s v="A-8145a0"/>
    <d v="2024-03-27T00:00:00"/>
    <m/>
    <x v="0"/>
    <n v="2"/>
    <n v="398"/>
    <n v="4776"/>
    <x v="0"/>
    <b v="0"/>
    <b v="0"/>
    <b v="0"/>
    <x v="0"/>
    <b v="1"/>
  </r>
  <r>
    <s v="S-05ad41"/>
    <s v="A-139c3b"/>
    <d v="2024-12-12T00:00:00"/>
    <m/>
    <x v="1"/>
    <n v="41"/>
    <n v="2009"/>
    <n v="24108"/>
    <x v="0"/>
    <b v="0"/>
    <b v="0"/>
    <b v="0"/>
    <x v="0"/>
    <b v="0"/>
  </r>
  <r>
    <s v="S-77ca30"/>
    <s v="A-82d8a6"/>
    <d v="2024-12-12T00:00:00"/>
    <m/>
    <x v="1"/>
    <n v="37"/>
    <n v="1813"/>
    <n v="21756"/>
    <x v="0"/>
    <b v="1"/>
    <b v="0"/>
    <b v="0"/>
    <x v="0"/>
    <b v="1"/>
  </r>
  <r>
    <s v="S-6450ac"/>
    <s v="A-b2225d"/>
    <d v="2024-09-17T00:00:00"/>
    <m/>
    <x v="2"/>
    <n v="47"/>
    <n v="0"/>
    <n v="0"/>
    <x v="1"/>
    <b v="0"/>
    <b v="0"/>
    <b v="0"/>
    <x v="1"/>
    <b v="1"/>
  </r>
  <r>
    <s v="S-d2863b"/>
    <s v="A-ac9111"/>
    <d v="2023-10-04T00:00:00"/>
    <d v="2024-01-01T00:00:00"/>
    <x v="2"/>
    <n v="21"/>
    <n v="399"/>
    <n v="4788"/>
    <x v="0"/>
    <b v="0"/>
    <b v="0"/>
    <b v="1"/>
    <x v="1"/>
    <b v="1"/>
  </r>
  <r>
    <s v="S-fade3d"/>
    <s v="A-2edab2"/>
    <d v="2024-07-24T00:00:00"/>
    <m/>
    <x v="2"/>
    <n v="17"/>
    <n v="323"/>
    <n v="3876"/>
    <x v="0"/>
    <b v="1"/>
    <b v="0"/>
    <b v="0"/>
    <x v="1"/>
    <b v="1"/>
  </r>
  <r>
    <s v="S-2223bf"/>
    <s v="A-5a215a"/>
    <d v="2024-10-23T00:00:00"/>
    <d v="2024-11-26T00:00:00"/>
    <x v="1"/>
    <n v="87"/>
    <n v="4263"/>
    <n v="51156"/>
    <x v="0"/>
    <b v="0"/>
    <b v="0"/>
    <b v="1"/>
    <x v="0"/>
    <b v="1"/>
  </r>
  <r>
    <s v="S-6bbf29"/>
    <s v="A-a09355"/>
    <d v="2024-08-22T00:00:00"/>
    <m/>
    <x v="2"/>
    <n v="14"/>
    <n v="266"/>
    <n v="3192"/>
    <x v="0"/>
    <b v="0"/>
    <b v="0"/>
    <b v="0"/>
    <x v="1"/>
    <b v="1"/>
  </r>
  <r>
    <s v="S-d76f8b"/>
    <s v="A-e1b9cd"/>
    <d v="2024-03-30T00:00:00"/>
    <m/>
    <x v="2"/>
    <n v="40"/>
    <n v="760"/>
    <n v="9120"/>
    <x v="0"/>
    <b v="0"/>
    <b v="0"/>
    <b v="0"/>
    <x v="1"/>
    <b v="1"/>
  </r>
  <r>
    <s v="S-b7d290"/>
    <s v="A-7920cc"/>
    <d v="2024-12-06T00:00:00"/>
    <m/>
    <x v="0"/>
    <n v="69"/>
    <n v="13731"/>
    <n v="164772"/>
    <x v="0"/>
    <b v="0"/>
    <b v="0"/>
    <b v="0"/>
    <x v="1"/>
    <b v="1"/>
  </r>
  <r>
    <s v="S-b36569"/>
    <s v="A-ff3c73"/>
    <d v="2024-09-23T00:00:00"/>
    <m/>
    <x v="2"/>
    <n v="21"/>
    <n v="399"/>
    <n v="4788"/>
    <x v="0"/>
    <b v="1"/>
    <b v="0"/>
    <b v="0"/>
    <x v="1"/>
    <b v="1"/>
  </r>
  <r>
    <s v="S-79d1e0"/>
    <s v="A-ce550d"/>
    <d v="2024-12-31T00:00:00"/>
    <d v="2024-12-31T00:00:00"/>
    <x v="0"/>
    <n v="109"/>
    <n v="21691"/>
    <n v="260292"/>
    <x v="0"/>
    <b v="0"/>
    <b v="0"/>
    <b v="1"/>
    <x v="0"/>
    <b v="1"/>
  </r>
  <r>
    <s v="S-089fa7"/>
    <s v="A-9174e0"/>
    <d v="2024-12-16T00:00:00"/>
    <m/>
    <x v="0"/>
    <n v="37"/>
    <n v="7363"/>
    <n v="88356"/>
    <x v="0"/>
    <b v="0"/>
    <b v="0"/>
    <b v="0"/>
    <x v="1"/>
    <b v="1"/>
  </r>
  <r>
    <s v="S-de059a"/>
    <s v="A-35083d"/>
    <d v="2024-05-11T00:00:00"/>
    <m/>
    <x v="0"/>
    <n v="19"/>
    <n v="3781"/>
    <n v="45372"/>
    <x v="0"/>
    <b v="0"/>
    <b v="0"/>
    <b v="0"/>
    <x v="0"/>
    <b v="1"/>
  </r>
  <r>
    <s v="S-eccbe0"/>
    <s v="A-e3bd71"/>
    <d v="2024-12-07T00:00:00"/>
    <m/>
    <x v="1"/>
    <n v="31"/>
    <n v="1519"/>
    <n v="18228"/>
    <x v="0"/>
    <b v="0"/>
    <b v="0"/>
    <b v="0"/>
    <x v="1"/>
    <b v="0"/>
  </r>
  <r>
    <s v="S-9a4589"/>
    <s v="A-3a7284"/>
    <d v="2024-12-15T00:00:00"/>
    <m/>
    <x v="1"/>
    <n v="31"/>
    <n v="1519"/>
    <n v="18228"/>
    <x v="0"/>
    <b v="0"/>
    <b v="0"/>
    <b v="0"/>
    <x v="1"/>
    <b v="1"/>
  </r>
  <r>
    <s v="S-e83351"/>
    <s v="A-bd4708"/>
    <d v="2024-10-02T00:00:00"/>
    <m/>
    <x v="1"/>
    <n v="69"/>
    <n v="3381"/>
    <n v="40572"/>
    <x v="0"/>
    <b v="1"/>
    <b v="0"/>
    <b v="0"/>
    <x v="1"/>
    <b v="1"/>
  </r>
  <r>
    <s v="S-6e8126"/>
    <s v="A-560d27"/>
    <d v="2024-11-04T00:00:00"/>
    <m/>
    <x v="2"/>
    <n v="23"/>
    <n v="437"/>
    <n v="5244"/>
    <x v="0"/>
    <b v="0"/>
    <b v="0"/>
    <b v="0"/>
    <x v="1"/>
    <b v="0"/>
  </r>
  <r>
    <s v="S-134439"/>
    <s v="A-cbd1a3"/>
    <d v="2024-11-30T00:00:00"/>
    <m/>
    <x v="1"/>
    <n v="6"/>
    <n v="294"/>
    <n v="3528"/>
    <x v="0"/>
    <b v="0"/>
    <b v="0"/>
    <b v="0"/>
    <x v="1"/>
    <b v="0"/>
  </r>
  <r>
    <s v="S-8bab7f"/>
    <s v="A-72799b"/>
    <d v="2024-04-21T00:00:00"/>
    <d v="2024-09-30T00:00:00"/>
    <x v="2"/>
    <n v="20"/>
    <n v="380"/>
    <n v="4560"/>
    <x v="0"/>
    <b v="0"/>
    <b v="1"/>
    <b v="1"/>
    <x v="0"/>
    <b v="1"/>
  </r>
  <r>
    <s v="S-dd3b36"/>
    <s v="A-1b7577"/>
    <d v="2024-11-26T00:00:00"/>
    <d v="2024-12-06T00:00:00"/>
    <x v="2"/>
    <n v="4"/>
    <n v="76"/>
    <n v="912"/>
    <x v="0"/>
    <b v="0"/>
    <b v="0"/>
    <b v="1"/>
    <x v="0"/>
    <b v="1"/>
  </r>
  <r>
    <s v="S-085f96"/>
    <s v="A-2bc93d"/>
    <d v="2023-12-31T00:00:00"/>
    <m/>
    <x v="0"/>
    <n v="40"/>
    <n v="7960"/>
    <n v="95520"/>
    <x v="0"/>
    <b v="1"/>
    <b v="0"/>
    <b v="0"/>
    <x v="1"/>
    <b v="1"/>
  </r>
  <r>
    <s v="S-6895d0"/>
    <s v="A-5a92e7"/>
    <d v="2024-06-13T00:00:00"/>
    <m/>
    <x v="1"/>
    <n v="29"/>
    <n v="1421"/>
    <n v="17052"/>
    <x v="0"/>
    <b v="0"/>
    <b v="0"/>
    <b v="0"/>
    <x v="0"/>
    <b v="0"/>
  </r>
  <r>
    <s v="S-670476"/>
    <s v="A-8b0451"/>
    <d v="2024-11-18T00:00:00"/>
    <d v="2024-12-31T00:00:00"/>
    <x v="0"/>
    <n v="41"/>
    <n v="8159"/>
    <n v="97908"/>
    <x v="0"/>
    <b v="0"/>
    <b v="0"/>
    <b v="1"/>
    <x v="0"/>
    <b v="1"/>
  </r>
  <r>
    <s v="S-2d807a"/>
    <s v="A-34d880"/>
    <d v="2024-04-18T00:00:00"/>
    <m/>
    <x v="0"/>
    <n v="53"/>
    <n v="10547"/>
    <n v="126564"/>
    <x v="0"/>
    <b v="0"/>
    <b v="0"/>
    <b v="0"/>
    <x v="0"/>
    <b v="1"/>
  </r>
  <r>
    <s v="S-2245c0"/>
    <s v="A-6f50ae"/>
    <d v="2024-11-19T00:00:00"/>
    <m/>
    <x v="0"/>
    <n v="19"/>
    <n v="3781"/>
    <n v="45372"/>
    <x v="0"/>
    <b v="0"/>
    <b v="0"/>
    <b v="0"/>
    <x v="0"/>
    <b v="1"/>
  </r>
  <r>
    <s v="S-0a5cd7"/>
    <s v="A-ffdfd5"/>
    <d v="2024-11-16T00:00:00"/>
    <m/>
    <x v="0"/>
    <n v="30"/>
    <n v="5970"/>
    <n v="71640"/>
    <x v="0"/>
    <b v="0"/>
    <b v="0"/>
    <b v="0"/>
    <x v="1"/>
    <b v="1"/>
  </r>
  <r>
    <s v="S-f93185"/>
    <s v="A-7df7a7"/>
    <d v="2024-12-05T00:00:00"/>
    <m/>
    <x v="0"/>
    <n v="10"/>
    <n v="1990"/>
    <n v="23880"/>
    <x v="0"/>
    <b v="0"/>
    <b v="0"/>
    <b v="0"/>
    <x v="0"/>
    <b v="0"/>
  </r>
  <r>
    <s v="S-3c072b"/>
    <s v="A-ced9aa"/>
    <d v="2024-12-01T00:00:00"/>
    <m/>
    <x v="2"/>
    <n v="3"/>
    <n v="57"/>
    <n v="684"/>
    <x v="0"/>
    <b v="0"/>
    <b v="0"/>
    <b v="0"/>
    <x v="0"/>
    <b v="1"/>
  </r>
  <r>
    <s v="S-7c81dd"/>
    <s v="A-104f1a"/>
    <d v="2024-09-05T00:00:00"/>
    <m/>
    <x v="1"/>
    <n v="40"/>
    <n v="1960"/>
    <n v="23520"/>
    <x v="0"/>
    <b v="0"/>
    <b v="0"/>
    <b v="0"/>
    <x v="0"/>
    <b v="1"/>
  </r>
  <r>
    <s v="S-a7a9c3"/>
    <s v="A-fd9422"/>
    <d v="2024-10-01T00:00:00"/>
    <m/>
    <x v="2"/>
    <n v="58"/>
    <n v="1102"/>
    <n v="13224"/>
    <x v="0"/>
    <b v="0"/>
    <b v="0"/>
    <b v="0"/>
    <x v="1"/>
    <b v="1"/>
  </r>
  <r>
    <s v="S-8856af"/>
    <s v="A-c70870"/>
    <d v="2024-12-09T00:00:00"/>
    <m/>
    <x v="2"/>
    <n v="31"/>
    <n v="0"/>
    <n v="0"/>
    <x v="1"/>
    <b v="0"/>
    <b v="0"/>
    <b v="0"/>
    <x v="1"/>
    <b v="1"/>
  </r>
  <r>
    <s v="S-0a8acf"/>
    <s v="A-55f257"/>
    <d v="2024-02-16T00:00:00"/>
    <m/>
    <x v="1"/>
    <n v="13"/>
    <n v="637"/>
    <n v="7644"/>
    <x v="0"/>
    <b v="1"/>
    <b v="0"/>
    <b v="0"/>
    <x v="0"/>
    <b v="1"/>
  </r>
  <r>
    <s v="S-dbad62"/>
    <s v="A-58b9ff"/>
    <d v="2024-10-16T00:00:00"/>
    <m/>
    <x v="2"/>
    <n v="12"/>
    <n v="228"/>
    <n v="2736"/>
    <x v="0"/>
    <b v="0"/>
    <b v="0"/>
    <b v="0"/>
    <x v="1"/>
    <b v="0"/>
  </r>
  <r>
    <s v="S-7134c2"/>
    <s v="A-544d0a"/>
    <d v="2024-09-02T00:00:00"/>
    <m/>
    <x v="1"/>
    <n v="29"/>
    <n v="1421"/>
    <n v="17052"/>
    <x v="0"/>
    <b v="0"/>
    <b v="0"/>
    <b v="0"/>
    <x v="1"/>
    <b v="0"/>
  </r>
  <r>
    <s v="S-18f80d"/>
    <s v="A-484819"/>
    <d v="2023-02-23T00:00:00"/>
    <m/>
    <x v="0"/>
    <n v="18"/>
    <n v="3582"/>
    <n v="42984"/>
    <x v="0"/>
    <b v="0"/>
    <b v="0"/>
    <b v="0"/>
    <x v="1"/>
    <b v="1"/>
  </r>
  <r>
    <s v="S-92d873"/>
    <s v="A-e83938"/>
    <d v="2024-04-25T00:00:00"/>
    <m/>
    <x v="0"/>
    <n v="13"/>
    <n v="0"/>
    <n v="0"/>
    <x v="1"/>
    <b v="0"/>
    <b v="0"/>
    <b v="0"/>
    <x v="0"/>
    <b v="1"/>
  </r>
  <r>
    <s v="S-37bdb4"/>
    <s v="A-6dee43"/>
    <d v="2024-04-05T00:00:00"/>
    <m/>
    <x v="0"/>
    <n v="80"/>
    <n v="15920"/>
    <n v="191040"/>
    <x v="0"/>
    <b v="1"/>
    <b v="0"/>
    <b v="0"/>
    <x v="1"/>
    <b v="0"/>
  </r>
  <r>
    <s v="S-c226ae"/>
    <s v="A-b20d99"/>
    <d v="2024-03-27T00:00:00"/>
    <m/>
    <x v="2"/>
    <n v="34"/>
    <n v="646"/>
    <n v="7752"/>
    <x v="0"/>
    <b v="0"/>
    <b v="0"/>
    <b v="0"/>
    <x v="1"/>
    <b v="0"/>
  </r>
  <r>
    <s v="S-16b6dc"/>
    <s v="A-794a0b"/>
    <d v="2024-04-02T00:00:00"/>
    <m/>
    <x v="1"/>
    <n v="23"/>
    <n v="1127"/>
    <n v="13524"/>
    <x v="0"/>
    <b v="0"/>
    <b v="0"/>
    <b v="0"/>
    <x v="0"/>
    <b v="1"/>
  </r>
  <r>
    <s v="S-3b98b1"/>
    <s v="A-0a282f"/>
    <d v="2024-10-10T00:00:00"/>
    <m/>
    <x v="0"/>
    <n v="29"/>
    <n v="5771"/>
    <n v="69252"/>
    <x v="0"/>
    <b v="0"/>
    <b v="0"/>
    <b v="0"/>
    <x v="0"/>
    <b v="1"/>
  </r>
  <r>
    <s v="S-234115"/>
    <s v="A-bd4513"/>
    <d v="2024-11-28T00:00:00"/>
    <m/>
    <x v="2"/>
    <n v="50"/>
    <n v="950"/>
    <n v="11400"/>
    <x v="0"/>
    <b v="0"/>
    <b v="0"/>
    <b v="0"/>
    <x v="0"/>
    <b v="0"/>
  </r>
  <r>
    <s v="S-862572"/>
    <s v="A-6e08f3"/>
    <d v="2024-07-14T00:00:00"/>
    <m/>
    <x v="2"/>
    <n v="8"/>
    <n v="152"/>
    <n v="1824"/>
    <x v="0"/>
    <b v="0"/>
    <b v="0"/>
    <b v="0"/>
    <x v="0"/>
    <b v="1"/>
  </r>
  <r>
    <s v="S-aad754"/>
    <s v="A-902ef7"/>
    <d v="2024-11-07T00:00:00"/>
    <m/>
    <x v="2"/>
    <n v="83"/>
    <n v="1577"/>
    <n v="18924"/>
    <x v="0"/>
    <b v="0"/>
    <b v="0"/>
    <b v="0"/>
    <x v="1"/>
    <b v="1"/>
  </r>
  <r>
    <s v="S-59fe1d"/>
    <s v="A-9badbd"/>
    <d v="2024-10-21T00:00:00"/>
    <m/>
    <x v="2"/>
    <n v="21"/>
    <n v="0"/>
    <n v="0"/>
    <x v="1"/>
    <b v="0"/>
    <b v="0"/>
    <b v="0"/>
    <x v="0"/>
    <b v="1"/>
  </r>
  <r>
    <s v="S-3a3d0f"/>
    <s v="A-751c58"/>
    <d v="2024-09-20T00:00:00"/>
    <m/>
    <x v="2"/>
    <n v="18"/>
    <n v="342"/>
    <n v="4104"/>
    <x v="0"/>
    <b v="0"/>
    <b v="0"/>
    <b v="0"/>
    <x v="1"/>
    <b v="1"/>
  </r>
  <r>
    <s v="S-575bef"/>
    <s v="A-68f37c"/>
    <d v="2024-08-01T00:00:00"/>
    <m/>
    <x v="1"/>
    <n v="15"/>
    <n v="735"/>
    <n v="8820"/>
    <x v="0"/>
    <b v="0"/>
    <b v="0"/>
    <b v="0"/>
    <x v="1"/>
    <b v="1"/>
  </r>
  <r>
    <s v="S-74761f"/>
    <s v="A-9123ac"/>
    <d v="2023-12-23T00:00:00"/>
    <m/>
    <x v="0"/>
    <n v="42"/>
    <n v="8358"/>
    <n v="100296"/>
    <x v="0"/>
    <b v="0"/>
    <b v="0"/>
    <b v="0"/>
    <x v="1"/>
    <b v="1"/>
  </r>
  <r>
    <s v="S-79123c"/>
    <s v="A-4c38bc"/>
    <d v="2024-10-19T00:00:00"/>
    <m/>
    <x v="0"/>
    <n v="36"/>
    <n v="7164"/>
    <n v="85968"/>
    <x v="0"/>
    <b v="0"/>
    <b v="0"/>
    <b v="0"/>
    <x v="1"/>
    <b v="1"/>
  </r>
  <r>
    <s v="S-600ea7"/>
    <s v="A-726cfa"/>
    <d v="2023-11-21T00:00:00"/>
    <m/>
    <x v="1"/>
    <n v="11"/>
    <n v="539"/>
    <n v="6468"/>
    <x v="0"/>
    <b v="0"/>
    <b v="0"/>
    <b v="0"/>
    <x v="1"/>
    <b v="1"/>
  </r>
  <r>
    <s v="S-fc7e8e"/>
    <s v="A-0a282f"/>
    <d v="2024-10-11T00:00:00"/>
    <m/>
    <x v="0"/>
    <n v="2"/>
    <n v="398"/>
    <n v="4776"/>
    <x v="0"/>
    <b v="0"/>
    <b v="0"/>
    <b v="0"/>
    <x v="0"/>
    <b v="1"/>
  </r>
  <r>
    <s v="S-b2f038"/>
    <s v="A-1b707d"/>
    <d v="2024-01-24T00:00:00"/>
    <m/>
    <x v="1"/>
    <n v="13"/>
    <n v="637"/>
    <n v="7644"/>
    <x v="0"/>
    <b v="0"/>
    <b v="0"/>
    <b v="0"/>
    <x v="0"/>
    <b v="1"/>
  </r>
  <r>
    <s v="S-1170cb"/>
    <s v="A-84ebe4"/>
    <d v="2024-04-19T00:00:00"/>
    <m/>
    <x v="1"/>
    <n v="18"/>
    <n v="882"/>
    <n v="10584"/>
    <x v="0"/>
    <b v="0"/>
    <b v="0"/>
    <b v="0"/>
    <x v="1"/>
    <b v="1"/>
  </r>
  <r>
    <s v="S-ba69a4"/>
    <s v="A-0158bb"/>
    <d v="2024-05-30T00:00:00"/>
    <m/>
    <x v="2"/>
    <n v="25"/>
    <n v="0"/>
    <n v="0"/>
    <x v="1"/>
    <b v="0"/>
    <b v="0"/>
    <b v="0"/>
    <x v="0"/>
    <b v="1"/>
  </r>
  <r>
    <s v="S-56122a"/>
    <s v="A-ac85cd"/>
    <d v="2024-11-30T00:00:00"/>
    <m/>
    <x v="0"/>
    <n v="61"/>
    <n v="12139"/>
    <n v="145668"/>
    <x v="0"/>
    <b v="0"/>
    <b v="0"/>
    <b v="0"/>
    <x v="1"/>
    <b v="1"/>
  </r>
  <r>
    <s v="S-29a901"/>
    <s v="A-378b99"/>
    <d v="2024-10-24T00:00:00"/>
    <m/>
    <x v="1"/>
    <n v="8"/>
    <n v="392"/>
    <n v="4704"/>
    <x v="0"/>
    <b v="0"/>
    <b v="0"/>
    <b v="0"/>
    <x v="1"/>
    <b v="1"/>
  </r>
  <r>
    <s v="S-c6c2f6"/>
    <s v="A-4e0e85"/>
    <d v="2024-08-22T00:00:00"/>
    <m/>
    <x v="0"/>
    <n v="104"/>
    <n v="0"/>
    <n v="0"/>
    <x v="1"/>
    <b v="0"/>
    <b v="0"/>
    <b v="0"/>
    <x v="0"/>
    <b v="1"/>
  </r>
  <r>
    <s v="S-13b606"/>
    <s v="A-5b1bcd"/>
    <d v="2024-10-04T00:00:00"/>
    <m/>
    <x v="1"/>
    <n v="73"/>
    <n v="3577"/>
    <n v="42924"/>
    <x v="0"/>
    <b v="1"/>
    <b v="0"/>
    <b v="0"/>
    <x v="1"/>
    <b v="1"/>
  </r>
  <r>
    <s v="S-1dceca"/>
    <s v="A-f92792"/>
    <d v="2024-08-01T00:00:00"/>
    <m/>
    <x v="2"/>
    <n v="15"/>
    <n v="285"/>
    <n v="3420"/>
    <x v="0"/>
    <b v="0"/>
    <b v="0"/>
    <b v="0"/>
    <x v="0"/>
    <b v="0"/>
  </r>
  <r>
    <s v="S-c14f97"/>
    <s v="A-7e0a10"/>
    <d v="2024-02-05T00:00:00"/>
    <m/>
    <x v="1"/>
    <n v="46"/>
    <n v="2254"/>
    <n v="27048"/>
    <x v="0"/>
    <b v="1"/>
    <b v="0"/>
    <b v="0"/>
    <x v="0"/>
    <b v="1"/>
  </r>
  <r>
    <s v="S-8a7e47"/>
    <s v="A-c7ffc2"/>
    <d v="2024-12-27T00:00:00"/>
    <m/>
    <x v="2"/>
    <n v="49"/>
    <n v="931"/>
    <n v="11172"/>
    <x v="0"/>
    <b v="0"/>
    <b v="0"/>
    <b v="0"/>
    <x v="0"/>
    <b v="0"/>
  </r>
  <r>
    <s v="S-feba2a"/>
    <s v="A-e3bd71"/>
    <d v="2024-03-09T00:00:00"/>
    <m/>
    <x v="1"/>
    <n v="69"/>
    <n v="0"/>
    <n v="0"/>
    <x v="1"/>
    <b v="0"/>
    <b v="0"/>
    <b v="0"/>
    <x v="0"/>
    <b v="1"/>
  </r>
  <r>
    <s v="S-02d46a"/>
    <s v="A-8ed5dd"/>
    <d v="2024-11-01T00:00:00"/>
    <m/>
    <x v="1"/>
    <n v="5"/>
    <n v="245"/>
    <n v="2940"/>
    <x v="0"/>
    <b v="0"/>
    <b v="0"/>
    <b v="0"/>
    <x v="1"/>
    <b v="1"/>
  </r>
  <r>
    <s v="S-b5165e"/>
    <s v="A-bcf664"/>
    <d v="2023-08-11T00:00:00"/>
    <m/>
    <x v="1"/>
    <n v="32"/>
    <n v="1568"/>
    <n v="18816"/>
    <x v="0"/>
    <b v="0"/>
    <b v="0"/>
    <b v="0"/>
    <x v="0"/>
    <b v="1"/>
  </r>
  <r>
    <s v="S-bb47b9"/>
    <s v="A-e4144b"/>
    <d v="2024-11-10T00:00:00"/>
    <m/>
    <x v="0"/>
    <n v="41"/>
    <n v="8159"/>
    <n v="97908"/>
    <x v="0"/>
    <b v="0"/>
    <b v="0"/>
    <b v="0"/>
    <x v="0"/>
    <b v="1"/>
  </r>
  <r>
    <s v="S-4920e0"/>
    <s v="A-52dd88"/>
    <d v="2023-12-05T00:00:00"/>
    <m/>
    <x v="2"/>
    <n v="23"/>
    <n v="437"/>
    <n v="5244"/>
    <x v="0"/>
    <b v="0"/>
    <b v="0"/>
    <b v="0"/>
    <x v="1"/>
    <b v="1"/>
  </r>
  <r>
    <s v="S-3781d0"/>
    <s v="A-5a215a"/>
    <d v="2024-05-10T00:00:00"/>
    <d v="2024-12-06T00:00:00"/>
    <x v="0"/>
    <n v="87"/>
    <n v="17313"/>
    <n v="207756"/>
    <x v="0"/>
    <b v="0"/>
    <b v="0"/>
    <b v="1"/>
    <x v="1"/>
    <b v="1"/>
  </r>
  <r>
    <s v="S-fec1cd"/>
    <s v="A-186a44"/>
    <d v="2024-12-04T00:00:00"/>
    <m/>
    <x v="0"/>
    <n v="20"/>
    <n v="3980"/>
    <n v="47760"/>
    <x v="0"/>
    <b v="1"/>
    <b v="0"/>
    <b v="0"/>
    <x v="0"/>
    <b v="0"/>
  </r>
  <r>
    <s v="S-75cba6"/>
    <s v="A-5a215a"/>
    <d v="2024-09-18T00:00:00"/>
    <m/>
    <x v="0"/>
    <n v="87"/>
    <n v="17313"/>
    <n v="207756"/>
    <x v="0"/>
    <b v="0"/>
    <b v="0"/>
    <b v="0"/>
    <x v="0"/>
    <b v="1"/>
  </r>
  <r>
    <s v="S-f5ce8e"/>
    <s v="A-8b25f2"/>
    <d v="2024-12-15T00:00:00"/>
    <m/>
    <x v="0"/>
    <n v="13"/>
    <n v="2587"/>
    <n v="31044"/>
    <x v="0"/>
    <b v="0"/>
    <b v="0"/>
    <b v="0"/>
    <x v="0"/>
    <b v="1"/>
  </r>
  <r>
    <s v="S-444c6a"/>
    <s v="A-95b24a"/>
    <d v="2023-10-07T00:00:00"/>
    <m/>
    <x v="2"/>
    <n v="38"/>
    <n v="722"/>
    <n v="8664"/>
    <x v="0"/>
    <b v="0"/>
    <b v="0"/>
    <b v="0"/>
    <x v="1"/>
    <b v="0"/>
  </r>
  <r>
    <s v="S-1a2f35"/>
    <s v="A-832ec2"/>
    <d v="2024-04-07T00:00:00"/>
    <m/>
    <x v="2"/>
    <n v="12"/>
    <n v="228"/>
    <n v="2736"/>
    <x v="0"/>
    <b v="0"/>
    <b v="0"/>
    <b v="0"/>
    <x v="0"/>
    <b v="0"/>
  </r>
  <r>
    <s v="S-9d8525"/>
    <s v="A-cab532"/>
    <d v="2023-04-21T00:00:00"/>
    <m/>
    <x v="0"/>
    <n v="11"/>
    <n v="2189"/>
    <n v="26268"/>
    <x v="0"/>
    <b v="0"/>
    <b v="0"/>
    <b v="0"/>
    <x v="0"/>
    <b v="0"/>
  </r>
  <r>
    <s v="S-9b8421"/>
    <s v="A-6a4e2d"/>
    <d v="2023-05-29T00:00:00"/>
    <d v="2024-07-19T00:00:00"/>
    <x v="1"/>
    <n v="56"/>
    <n v="0"/>
    <n v="0"/>
    <x v="1"/>
    <b v="0"/>
    <b v="0"/>
    <b v="1"/>
    <x v="1"/>
    <b v="0"/>
  </r>
  <r>
    <s v="S-704cf3"/>
    <s v="A-5a215a"/>
    <d v="2024-11-24T00:00:00"/>
    <m/>
    <x v="2"/>
    <n v="87"/>
    <n v="1653"/>
    <n v="19836"/>
    <x v="0"/>
    <b v="0"/>
    <b v="0"/>
    <b v="0"/>
    <x v="0"/>
    <b v="1"/>
  </r>
  <r>
    <s v="S-d31de5"/>
    <s v="A-f45426"/>
    <d v="2024-11-22T00:00:00"/>
    <m/>
    <x v="1"/>
    <n v="17"/>
    <n v="833"/>
    <n v="9996"/>
    <x v="0"/>
    <b v="0"/>
    <b v="1"/>
    <b v="0"/>
    <x v="0"/>
    <b v="1"/>
  </r>
  <r>
    <s v="S-383fc5"/>
    <s v="A-474ad4"/>
    <d v="2024-07-03T00:00:00"/>
    <m/>
    <x v="0"/>
    <n v="8"/>
    <n v="0"/>
    <n v="0"/>
    <x v="1"/>
    <b v="0"/>
    <b v="0"/>
    <b v="0"/>
    <x v="0"/>
    <b v="1"/>
  </r>
  <r>
    <s v="S-ce0d60"/>
    <s v="A-712426"/>
    <d v="2024-11-17T00:00:00"/>
    <m/>
    <x v="1"/>
    <n v="14"/>
    <n v="686"/>
    <n v="8232"/>
    <x v="0"/>
    <b v="0"/>
    <b v="0"/>
    <b v="0"/>
    <x v="1"/>
    <b v="1"/>
  </r>
  <r>
    <s v="S-5e8d9f"/>
    <s v="A-df10db"/>
    <d v="2024-05-30T00:00:00"/>
    <m/>
    <x v="0"/>
    <n v="33"/>
    <n v="6567"/>
    <n v="78804"/>
    <x v="0"/>
    <b v="0"/>
    <b v="0"/>
    <b v="0"/>
    <x v="1"/>
    <b v="1"/>
  </r>
  <r>
    <s v="S-5bbfe3"/>
    <s v="A-1ac5e0"/>
    <d v="2024-11-29T00:00:00"/>
    <m/>
    <x v="2"/>
    <n v="33"/>
    <n v="627"/>
    <n v="7524"/>
    <x v="0"/>
    <b v="0"/>
    <b v="0"/>
    <b v="0"/>
    <x v="0"/>
    <b v="1"/>
  </r>
  <r>
    <s v="S-c935b8"/>
    <s v="A-684255"/>
    <d v="2024-04-14T00:00:00"/>
    <m/>
    <x v="2"/>
    <n v="32"/>
    <n v="608"/>
    <n v="7296"/>
    <x v="0"/>
    <b v="0"/>
    <b v="0"/>
    <b v="0"/>
    <x v="1"/>
    <b v="1"/>
  </r>
  <r>
    <s v="S-e4b79e"/>
    <s v="A-2e3bad"/>
    <d v="2024-01-06T00:00:00"/>
    <m/>
    <x v="1"/>
    <n v="61"/>
    <n v="2989"/>
    <n v="35868"/>
    <x v="0"/>
    <b v="0"/>
    <b v="0"/>
    <b v="0"/>
    <x v="1"/>
    <b v="0"/>
  </r>
  <r>
    <s v="S-76767f"/>
    <s v="A-068fc6"/>
    <d v="2023-10-28T00:00:00"/>
    <m/>
    <x v="1"/>
    <n v="35"/>
    <n v="1715"/>
    <n v="20580"/>
    <x v="0"/>
    <b v="0"/>
    <b v="0"/>
    <b v="0"/>
    <x v="0"/>
    <b v="1"/>
  </r>
  <r>
    <s v="S-e07b30"/>
    <s v="A-029f69"/>
    <d v="2024-11-13T00:00:00"/>
    <m/>
    <x v="1"/>
    <n v="3"/>
    <n v="147"/>
    <n v="1764"/>
    <x v="0"/>
    <b v="1"/>
    <b v="0"/>
    <b v="0"/>
    <x v="1"/>
    <b v="1"/>
  </r>
  <r>
    <s v="S-da78bb"/>
    <s v="A-712426"/>
    <d v="2024-11-17T00:00:00"/>
    <m/>
    <x v="2"/>
    <n v="9"/>
    <n v="171"/>
    <n v="2052"/>
    <x v="0"/>
    <b v="0"/>
    <b v="0"/>
    <b v="0"/>
    <x v="0"/>
    <b v="1"/>
  </r>
  <r>
    <s v="S-1862f2"/>
    <s v="A-098560"/>
    <d v="2024-07-29T00:00:00"/>
    <d v="2024-10-21T00:00:00"/>
    <x v="2"/>
    <n v="29"/>
    <n v="551"/>
    <n v="6612"/>
    <x v="0"/>
    <b v="0"/>
    <b v="0"/>
    <b v="1"/>
    <x v="1"/>
    <b v="1"/>
  </r>
  <r>
    <s v="S-f9cb2b"/>
    <s v="A-6965e1"/>
    <d v="2024-12-18T00:00:00"/>
    <m/>
    <x v="0"/>
    <n v="34"/>
    <n v="6766"/>
    <n v="81192"/>
    <x v="0"/>
    <b v="0"/>
    <b v="0"/>
    <b v="0"/>
    <x v="1"/>
    <b v="0"/>
  </r>
  <r>
    <s v="S-02a3aa"/>
    <s v="A-e2cd1b"/>
    <d v="2024-06-24T00:00:00"/>
    <m/>
    <x v="2"/>
    <n v="15"/>
    <n v="0"/>
    <n v="0"/>
    <x v="1"/>
    <b v="0"/>
    <b v="0"/>
    <b v="0"/>
    <x v="1"/>
    <b v="1"/>
  </r>
  <r>
    <s v="S-ce61e0"/>
    <s v="A-f3ff05"/>
    <d v="2024-08-02T00:00:00"/>
    <d v="2024-09-01T00:00:00"/>
    <x v="2"/>
    <n v="2"/>
    <n v="38"/>
    <n v="456"/>
    <x v="0"/>
    <b v="1"/>
    <b v="0"/>
    <b v="1"/>
    <x v="0"/>
    <b v="1"/>
  </r>
  <r>
    <s v="S-e98bfd"/>
    <s v="A-8adedc"/>
    <d v="2024-05-18T00:00:00"/>
    <m/>
    <x v="2"/>
    <n v="4"/>
    <n v="76"/>
    <n v="912"/>
    <x v="0"/>
    <b v="0"/>
    <b v="0"/>
    <b v="0"/>
    <x v="1"/>
    <b v="1"/>
  </r>
  <r>
    <s v="S-1b524a"/>
    <s v="A-4a4c2d"/>
    <d v="2023-08-11T00:00:00"/>
    <m/>
    <x v="2"/>
    <n v="54"/>
    <n v="1026"/>
    <n v="12312"/>
    <x v="0"/>
    <b v="0"/>
    <b v="1"/>
    <b v="0"/>
    <x v="1"/>
    <b v="1"/>
  </r>
  <r>
    <s v="S-bc2633"/>
    <s v="A-ba6516"/>
    <d v="2024-11-03T00:00:00"/>
    <m/>
    <x v="1"/>
    <n v="27"/>
    <n v="1323"/>
    <n v="15876"/>
    <x v="0"/>
    <b v="0"/>
    <b v="0"/>
    <b v="0"/>
    <x v="0"/>
    <b v="1"/>
  </r>
  <r>
    <s v="S-1d69ca"/>
    <s v="A-cea1f0"/>
    <d v="2024-06-24T00:00:00"/>
    <m/>
    <x v="2"/>
    <n v="30"/>
    <n v="570"/>
    <n v="6840"/>
    <x v="0"/>
    <b v="0"/>
    <b v="0"/>
    <b v="0"/>
    <x v="0"/>
    <b v="0"/>
  </r>
  <r>
    <s v="S-dcf449"/>
    <s v="A-adc1f3"/>
    <d v="2024-11-20T00:00:00"/>
    <m/>
    <x v="0"/>
    <n v="50"/>
    <n v="9950"/>
    <n v="119400"/>
    <x v="0"/>
    <b v="0"/>
    <b v="0"/>
    <b v="0"/>
    <x v="1"/>
    <b v="1"/>
  </r>
  <r>
    <s v="S-67965d"/>
    <s v="A-bc87bc"/>
    <d v="2024-12-07T00:00:00"/>
    <m/>
    <x v="1"/>
    <n v="3"/>
    <n v="147"/>
    <n v="1764"/>
    <x v="0"/>
    <b v="0"/>
    <b v="0"/>
    <b v="0"/>
    <x v="1"/>
    <b v="1"/>
  </r>
  <r>
    <s v="S-c86cb0"/>
    <s v="A-4ae22a"/>
    <d v="2024-10-17T00:00:00"/>
    <m/>
    <x v="0"/>
    <n v="6"/>
    <n v="1194"/>
    <n v="14328"/>
    <x v="0"/>
    <b v="0"/>
    <b v="0"/>
    <b v="0"/>
    <x v="0"/>
    <b v="1"/>
  </r>
  <r>
    <s v="S-9c4090"/>
    <s v="A-6f50ae"/>
    <d v="2024-05-01T00:00:00"/>
    <m/>
    <x v="2"/>
    <n v="19"/>
    <n v="361"/>
    <n v="4332"/>
    <x v="0"/>
    <b v="0"/>
    <b v="0"/>
    <b v="0"/>
    <x v="1"/>
    <b v="0"/>
  </r>
  <r>
    <s v="S-162441"/>
    <s v="A-249769"/>
    <d v="2024-09-06T00:00:00"/>
    <m/>
    <x v="0"/>
    <n v="4"/>
    <n v="796"/>
    <n v="9552"/>
    <x v="0"/>
    <b v="0"/>
    <b v="0"/>
    <b v="0"/>
    <x v="0"/>
    <b v="1"/>
  </r>
  <r>
    <s v="S-a63da6"/>
    <s v="A-157070"/>
    <d v="2024-09-10T00:00:00"/>
    <m/>
    <x v="1"/>
    <n v="30"/>
    <n v="1470"/>
    <n v="17640"/>
    <x v="0"/>
    <b v="0"/>
    <b v="0"/>
    <b v="0"/>
    <x v="0"/>
    <b v="0"/>
  </r>
  <r>
    <s v="S-4b5470"/>
    <s v="A-b78bf8"/>
    <d v="2024-11-17T00:00:00"/>
    <m/>
    <x v="0"/>
    <n v="33"/>
    <n v="6567"/>
    <n v="78804"/>
    <x v="0"/>
    <b v="0"/>
    <b v="0"/>
    <b v="0"/>
    <x v="0"/>
    <b v="1"/>
  </r>
  <r>
    <s v="S-fd2307"/>
    <s v="A-bbe56f"/>
    <d v="2023-08-29T00:00:00"/>
    <m/>
    <x v="0"/>
    <n v="21"/>
    <n v="4179"/>
    <n v="50148"/>
    <x v="0"/>
    <b v="0"/>
    <b v="0"/>
    <b v="0"/>
    <x v="1"/>
    <b v="1"/>
  </r>
  <r>
    <s v="S-78f738"/>
    <s v="A-c70870"/>
    <d v="2024-12-29T00:00:00"/>
    <m/>
    <x v="0"/>
    <n v="170"/>
    <n v="33830"/>
    <n v="405960"/>
    <x v="0"/>
    <b v="0"/>
    <b v="1"/>
    <b v="0"/>
    <x v="0"/>
    <b v="1"/>
  </r>
  <r>
    <s v="S-81d174"/>
    <s v="A-271f46"/>
    <d v="2024-05-02T00:00:00"/>
    <m/>
    <x v="0"/>
    <n v="38"/>
    <n v="7562"/>
    <n v="90744"/>
    <x v="0"/>
    <b v="0"/>
    <b v="0"/>
    <b v="0"/>
    <x v="1"/>
    <b v="1"/>
  </r>
  <r>
    <s v="S-cfd4a3"/>
    <s v="A-8bde0c"/>
    <d v="2024-12-23T00:00:00"/>
    <m/>
    <x v="1"/>
    <n v="93"/>
    <n v="4557"/>
    <n v="54684"/>
    <x v="0"/>
    <b v="0"/>
    <b v="0"/>
    <b v="0"/>
    <x v="1"/>
    <b v="1"/>
  </r>
  <r>
    <s v="S-86673a"/>
    <s v="A-ced9aa"/>
    <d v="2024-11-08T00:00:00"/>
    <m/>
    <x v="2"/>
    <n v="22"/>
    <n v="418"/>
    <n v="5016"/>
    <x v="0"/>
    <b v="0"/>
    <b v="0"/>
    <b v="0"/>
    <x v="0"/>
    <b v="1"/>
  </r>
  <r>
    <s v="S-df262a"/>
    <s v="A-43a9e3"/>
    <d v="2023-11-06T00:00:00"/>
    <m/>
    <x v="0"/>
    <n v="28"/>
    <n v="5572"/>
    <n v="66864"/>
    <x v="0"/>
    <b v="1"/>
    <b v="0"/>
    <b v="0"/>
    <x v="0"/>
    <b v="1"/>
  </r>
  <r>
    <s v="S-58d2c8"/>
    <s v="A-a6d261"/>
    <d v="2024-11-19T00:00:00"/>
    <m/>
    <x v="2"/>
    <n v="13"/>
    <n v="247"/>
    <n v="2964"/>
    <x v="0"/>
    <b v="1"/>
    <b v="0"/>
    <b v="0"/>
    <x v="1"/>
    <b v="1"/>
  </r>
  <r>
    <s v="S-02949d"/>
    <s v="A-bd4708"/>
    <d v="2024-12-02T00:00:00"/>
    <m/>
    <x v="1"/>
    <n v="37"/>
    <n v="1813"/>
    <n v="21756"/>
    <x v="0"/>
    <b v="0"/>
    <b v="0"/>
    <b v="0"/>
    <x v="1"/>
    <b v="1"/>
  </r>
  <r>
    <s v="S-d5c6cc"/>
    <s v="A-34ea2f"/>
    <d v="2024-10-10T00:00:00"/>
    <m/>
    <x v="1"/>
    <n v="83"/>
    <n v="4067"/>
    <n v="48804"/>
    <x v="0"/>
    <b v="0"/>
    <b v="0"/>
    <b v="0"/>
    <x v="1"/>
    <b v="1"/>
  </r>
  <r>
    <s v="S-35c7c8"/>
    <s v="A-f51f16"/>
    <d v="2024-02-23T00:00:00"/>
    <m/>
    <x v="2"/>
    <n v="4"/>
    <n v="76"/>
    <n v="912"/>
    <x v="0"/>
    <b v="0"/>
    <b v="0"/>
    <b v="0"/>
    <x v="0"/>
    <b v="1"/>
  </r>
  <r>
    <s v="S-f9ec8f"/>
    <s v="A-30b4ca"/>
    <d v="2024-10-03T00:00:00"/>
    <m/>
    <x v="2"/>
    <n v="86"/>
    <n v="1634"/>
    <n v="19608"/>
    <x v="0"/>
    <b v="0"/>
    <b v="0"/>
    <b v="0"/>
    <x v="1"/>
    <b v="1"/>
  </r>
  <r>
    <s v="S-5da1b8"/>
    <s v="A-684255"/>
    <d v="2024-06-28T00:00:00"/>
    <d v="2024-08-01T00:00:00"/>
    <x v="1"/>
    <n v="20"/>
    <n v="980"/>
    <n v="11760"/>
    <x v="0"/>
    <b v="0"/>
    <b v="0"/>
    <b v="1"/>
    <x v="1"/>
    <b v="0"/>
  </r>
  <r>
    <s v="S-0e9f1e"/>
    <s v="A-7c83a1"/>
    <d v="2024-11-24T00:00:00"/>
    <m/>
    <x v="2"/>
    <n v="12"/>
    <n v="228"/>
    <n v="2736"/>
    <x v="0"/>
    <b v="0"/>
    <b v="0"/>
    <b v="0"/>
    <x v="0"/>
    <b v="1"/>
  </r>
  <r>
    <s v="S-8d516f"/>
    <s v="A-d535f6"/>
    <d v="2024-09-29T00:00:00"/>
    <m/>
    <x v="0"/>
    <n v="12"/>
    <n v="2388"/>
    <n v="28656"/>
    <x v="0"/>
    <b v="0"/>
    <b v="0"/>
    <b v="0"/>
    <x v="0"/>
    <b v="1"/>
  </r>
  <r>
    <s v="S-34a131"/>
    <s v="A-2e4581"/>
    <d v="2024-11-29T00:00:00"/>
    <m/>
    <x v="0"/>
    <n v="9"/>
    <n v="1791"/>
    <n v="21492"/>
    <x v="0"/>
    <b v="0"/>
    <b v="0"/>
    <b v="0"/>
    <x v="1"/>
    <b v="0"/>
  </r>
  <r>
    <s v="S-ee4c5c"/>
    <s v="A-5b1bcd"/>
    <d v="2023-10-28T00:00:00"/>
    <m/>
    <x v="0"/>
    <n v="73"/>
    <n v="14527"/>
    <n v="174324"/>
    <x v="0"/>
    <b v="0"/>
    <b v="0"/>
    <b v="0"/>
    <x v="1"/>
    <b v="1"/>
  </r>
  <r>
    <s v="S-9781fe"/>
    <s v="A-40de06"/>
    <d v="2023-09-21T00:00:00"/>
    <d v="2024-12-23T00:00:00"/>
    <x v="1"/>
    <n v="28"/>
    <n v="1372"/>
    <n v="16464"/>
    <x v="0"/>
    <b v="0"/>
    <b v="0"/>
    <b v="1"/>
    <x v="1"/>
    <b v="1"/>
  </r>
  <r>
    <s v="S-527d18"/>
    <s v="A-5b1bcd"/>
    <d v="2023-10-15T00:00:00"/>
    <m/>
    <x v="0"/>
    <n v="73"/>
    <n v="14527"/>
    <n v="174324"/>
    <x v="0"/>
    <b v="0"/>
    <b v="0"/>
    <b v="0"/>
    <x v="0"/>
    <b v="1"/>
  </r>
  <r>
    <s v="S-060019"/>
    <s v="A-d535f6"/>
    <d v="2024-10-18T00:00:00"/>
    <m/>
    <x v="2"/>
    <n v="19"/>
    <n v="0"/>
    <n v="0"/>
    <x v="1"/>
    <b v="0"/>
    <b v="1"/>
    <b v="0"/>
    <x v="1"/>
    <b v="1"/>
  </r>
  <r>
    <s v="S-bc2ca5"/>
    <s v="A-7988d1"/>
    <d v="2024-04-29T00:00:00"/>
    <m/>
    <x v="2"/>
    <n v="33"/>
    <n v="627"/>
    <n v="7524"/>
    <x v="0"/>
    <b v="0"/>
    <b v="0"/>
    <b v="0"/>
    <x v="0"/>
    <b v="1"/>
  </r>
  <r>
    <s v="S-abdeb7"/>
    <s v="A-40de06"/>
    <d v="2024-06-02T00:00:00"/>
    <m/>
    <x v="0"/>
    <n v="28"/>
    <n v="0"/>
    <n v="0"/>
    <x v="1"/>
    <b v="0"/>
    <b v="0"/>
    <b v="0"/>
    <x v="1"/>
    <b v="1"/>
  </r>
  <r>
    <s v="S-d55d8a"/>
    <s v="A-dec005"/>
    <d v="2024-08-28T00:00:00"/>
    <m/>
    <x v="0"/>
    <n v="21"/>
    <n v="4179"/>
    <n v="50148"/>
    <x v="0"/>
    <b v="0"/>
    <b v="0"/>
    <b v="0"/>
    <x v="0"/>
    <b v="1"/>
  </r>
  <r>
    <s v="S-99aaa4"/>
    <s v="A-f6b2fb"/>
    <d v="2024-08-14T00:00:00"/>
    <m/>
    <x v="2"/>
    <n v="23"/>
    <n v="437"/>
    <n v="5244"/>
    <x v="0"/>
    <b v="1"/>
    <b v="0"/>
    <b v="0"/>
    <x v="1"/>
    <b v="1"/>
  </r>
  <r>
    <s v="S-cb117a"/>
    <s v="A-671f31"/>
    <d v="2024-12-07T00:00:00"/>
    <m/>
    <x v="0"/>
    <n v="59"/>
    <n v="11741"/>
    <n v="140892"/>
    <x v="0"/>
    <b v="0"/>
    <b v="0"/>
    <b v="0"/>
    <x v="1"/>
    <b v="1"/>
  </r>
  <r>
    <s v="S-e5fdf9"/>
    <s v="A-9208f0"/>
    <d v="2024-08-09T00:00:00"/>
    <m/>
    <x v="2"/>
    <n v="17"/>
    <n v="0"/>
    <n v="0"/>
    <x v="1"/>
    <b v="0"/>
    <b v="0"/>
    <b v="0"/>
    <x v="1"/>
    <b v="1"/>
  </r>
  <r>
    <s v="S-455183"/>
    <s v="A-22d9d2"/>
    <d v="2024-06-05T00:00:00"/>
    <m/>
    <x v="1"/>
    <n v="8"/>
    <n v="392"/>
    <n v="4704"/>
    <x v="0"/>
    <b v="0"/>
    <b v="0"/>
    <b v="0"/>
    <x v="0"/>
    <b v="1"/>
  </r>
  <r>
    <s v="S-57bdc2"/>
    <s v="A-c70870"/>
    <d v="2024-11-14T00:00:00"/>
    <m/>
    <x v="1"/>
    <n v="31"/>
    <n v="0"/>
    <n v="0"/>
    <x v="1"/>
    <b v="0"/>
    <b v="0"/>
    <b v="0"/>
    <x v="0"/>
    <b v="1"/>
  </r>
  <r>
    <s v="S-96b8d5"/>
    <s v="A-659280"/>
    <d v="2024-02-15T00:00:00"/>
    <m/>
    <x v="2"/>
    <n v="20"/>
    <n v="380"/>
    <n v="4560"/>
    <x v="0"/>
    <b v="0"/>
    <b v="0"/>
    <b v="0"/>
    <x v="1"/>
    <b v="0"/>
  </r>
  <r>
    <s v="S-bc7cab"/>
    <s v="A-cc8c8f"/>
    <d v="2024-12-19T00:00:00"/>
    <m/>
    <x v="2"/>
    <n v="48"/>
    <n v="0"/>
    <n v="0"/>
    <x v="1"/>
    <b v="0"/>
    <b v="1"/>
    <b v="0"/>
    <x v="1"/>
    <b v="1"/>
  </r>
  <r>
    <s v="S-751802"/>
    <s v="A-592832"/>
    <d v="2024-11-03T00:00:00"/>
    <m/>
    <x v="2"/>
    <n v="18"/>
    <n v="342"/>
    <n v="4104"/>
    <x v="0"/>
    <b v="0"/>
    <b v="0"/>
    <b v="0"/>
    <x v="0"/>
    <b v="1"/>
  </r>
  <r>
    <s v="S-2e2d6c"/>
    <s v="A-f6b2fb"/>
    <d v="2024-08-01T00:00:00"/>
    <m/>
    <x v="0"/>
    <n v="24"/>
    <n v="4776"/>
    <n v="57312"/>
    <x v="0"/>
    <b v="0"/>
    <b v="0"/>
    <b v="0"/>
    <x v="0"/>
    <b v="1"/>
  </r>
  <r>
    <s v="S-90a2c8"/>
    <s v="A-44dc83"/>
    <d v="2024-06-17T00:00:00"/>
    <m/>
    <x v="2"/>
    <n v="24"/>
    <n v="456"/>
    <n v="5472"/>
    <x v="0"/>
    <b v="0"/>
    <b v="0"/>
    <b v="0"/>
    <x v="1"/>
    <b v="1"/>
  </r>
  <r>
    <s v="S-08fc73"/>
    <s v="A-7df7a7"/>
    <d v="2024-05-07T00:00:00"/>
    <m/>
    <x v="0"/>
    <n v="7"/>
    <n v="1393"/>
    <n v="16716"/>
    <x v="0"/>
    <b v="0"/>
    <b v="0"/>
    <b v="0"/>
    <x v="1"/>
    <b v="1"/>
  </r>
  <r>
    <s v="S-89e27e"/>
    <s v="A-94f8c9"/>
    <d v="2024-12-23T00:00:00"/>
    <m/>
    <x v="2"/>
    <n v="13"/>
    <n v="247"/>
    <n v="2964"/>
    <x v="0"/>
    <b v="0"/>
    <b v="1"/>
    <b v="0"/>
    <x v="0"/>
    <b v="1"/>
  </r>
  <r>
    <s v="S-e4df5d"/>
    <s v="A-65c341"/>
    <d v="2024-02-15T00:00:00"/>
    <m/>
    <x v="1"/>
    <n v="17"/>
    <n v="833"/>
    <n v="9996"/>
    <x v="0"/>
    <b v="0"/>
    <b v="0"/>
    <b v="0"/>
    <x v="1"/>
    <b v="1"/>
  </r>
  <r>
    <s v="S-73d0eb"/>
    <s v="A-592832"/>
    <d v="2024-10-09T00:00:00"/>
    <m/>
    <x v="2"/>
    <n v="60"/>
    <n v="1140"/>
    <n v="13680"/>
    <x v="0"/>
    <b v="0"/>
    <b v="0"/>
    <b v="0"/>
    <x v="0"/>
    <b v="1"/>
  </r>
  <r>
    <s v="S-cb38be"/>
    <s v="A-f92792"/>
    <d v="2024-09-05T00:00:00"/>
    <m/>
    <x v="2"/>
    <n v="2"/>
    <n v="38"/>
    <n v="456"/>
    <x v="0"/>
    <b v="0"/>
    <b v="1"/>
    <b v="0"/>
    <x v="1"/>
    <b v="1"/>
  </r>
  <r>
    <s v="S-415065"/>
    <s v="A-9174e0"/>
    <d v="2024-12-24T00:00:00"/>
    <m/>
    <x v="0"/>
    <n v="37"/>
    <n v="7363"/>
    <n v="88356"/>
    <x v="0"/>
    <b v="0"/>
    <b v="0"/>
    <b v="0"/>
    <x v="0"/>
    <b v="1"/>
  </r>
  <r>
    <s v="S-0e1d53"/>
    <s v="A-016043"/>
    <d v="2024-08-02T00:00:00"/>
    <m/>
    <x v="2"/>
    <n v="6"/>
    <n v="114"/>
    <n v="1368"/>
    <x v="0"/>
    <b v="0"/>
    <b v="0"/>
    <b v="0"/>
    <x v="1"/>
    <b v="0"/>
  </r>
  <r>
    <s v="S-20a297"/>
    <s v="A-34ea2f"/>
    <d v="2024-09-05T00:00:00"/>
    <m/>
    <x v="2"/>
    <n v="8"/>
    <n v="152"/>
    <n v="1824"/>
    <x v="0"/>
    <b v="0"/>
    <b v="0"/>
    <b v="0"/>
    <x v="0"/>
    <b v="1"/>
  </r>
  <r>
    <s v="S-bf424e"/>
    <s v="A-8b0451"/>
    <d v="2024-12-22T00:00:00"/>
    <m/>
    <x v="0"/>
    <n v="41"/>
    <n v="8159"/>
    <n v="97908"/>
    <x v="0"/>
    <b v="0"/>
    <b v="0"/>
    <b v="0"/>
    <x v="1"/>
    <b v="1"/>
  </r>
  <r>
    <s v="S-0b80b4"/>
    <s v="A-659280"/>
    <d v="2024-02-08T00:00:00"/>
    <m/>
    <x v="1"/>
    <n v="47"/>
    <n v="2303"/>
    <n v="27636"/>
    <x v="0"/>
    <b v="1"/>
    <b v="0"/>
    <b v="0"/>
    <x v="1"/>
    <b v="1"/>
  </r>
  <r>
    <s v="S-c5cfb0"/>
    <s v="A-8b0451"/>
    <d v="2024-10-05T00:00:00"/>
    <m/>
    <x v="2"/>
    <n v="41"/>
    <n v="0"/>
    <n v="0"/>
    <x v="1"/>
    <b v="0"/>
    <b v="0"/>
    <b v="0"/>
    <x v="0"/>
    <b v="0"/>
  </r>
  <r>
    <s v="S-f4a4c8"/>
    <s v="A-c37cab"/>
    <d v="2024-10-05T00:00:00"/>
    <d v="2024-12-13T00:00:00"/>
    <x v="0"/>
    <n v="98"/>
    <n v="19502"/>
    <n v="234024"/>
    <x v="0"/>
    <b v="1"/>
    <b v="0"/>
    <b v="1"/>
    <x v="0"/>
    <b v="1"/>
  </r>
  <r>
    <s v="S-16a545"/>
    <s v="A-592832"/>
    <d v="2024-09-30T00:00:00"/>
    <m/>
    <x v="2"/>
    <n v="35"/>
    <n v="665"/>
    <n v="7980"/>
    <x v="0"/>
    <b v="0"/>
    <b v="0"/>
    <b v="0"/>
    <x v="1"/>
    <b v="1"/>
  </r>
  <r>
    <s v="S-f95951"/>
    <s v="A-02fac6"/>
    <d v="2024-09-10T00:00:00"/>
    <m/>
    <x v="1"/>
    <n v="22"/>
    <n v="1078"/>
    <n v="12936"/>
    <x v="0"/>
    <b v="0"/>
    <b v="0"/>
    <b v="0"/>
    <x v="0"/>
    <b v="1"/>
  </r>
  <r>
    <s v="S-1e349b"/>
    <s v="A-2e4581"/>
    <d v="2024-11-13T00:00:00"/>
    <m/>
    <x v="2"/>
    <n v="102"/>
    <n v="1938"/>
    <n v="23256"/>
    <x v="0"/>
    <b v="0"/>
    <b v="0"/>
    <b v="0"/>
    <x v="0"/>
    <b v="1"/>
  </r>
  <r>
    <s v="S-d660d6"/>
    <s v="A-cab532"/>
    <d v="2024-05-01T00:00:00"/>
    <m/>
    <x v="2"/>
    <n v="33"/>
    <n v="627"/>
    <n v="7524"/>
    <x v="0"/>
    <b v="0"/>
    <b v="1"/>
    <b v="0"/>
    <x v="1"/>
    <b v="1"/>
  </r>
  <r>
    <s v="S-1bb4f4"/>
    <s v="A-6843f2"/>
    <d v="2024-12-19T00:00:00"/>
    <m/>
    <x v="2"/>
    <n v="21"/>
    <n v="399"/>
    <n v="4788"/>
    <x v="0"/>
    <b v="0"/>
    <b v="0"/>
    <b v="0"/>
    <x v="1"/>
    <b v="1"/>
  </r>
  <r>
    <s v="S-c43200"/>
    <s v="A-94c3cd"/>
    <d v="2024-12-15T00:00:00"/>
    <m/>
    <x v="0"/>
    <n v="32"/>
    <n v="6368"/>
    <n v="76416"/>
    <x v="0"/>
    <b v="0"/>
    <b v="0"/>
    <b v="0"/>
    <x v="0"/>
    <b v="1"/>
  </r>
  <r>
    <s v="S-1da72c"/>
    <s v="A-4bfa33"/>
    <d v="2024-12-12T00:00:00"/>
    <m/>
    <x v="2"/>
    <n v="20"/>
    <n v="380"/>
    <n v="4560"/>
    <x v="0"/>
    <b v="0"/>
    <b v="0"/>
    <b v="0"/>
    <x v="0"/>
    <b v="1"/>
  </r>
  <r>
    <s v="S-9e15d0"/>
    <s v="A-02fac6"/>
    <d v="2024-01-19T00:00:00"/>
    <m/>
    <x v="1"/>
    <n v="22"/>
    <n v="1078"/>
    <n v="12936"/>
    <x v="0"/>
    <b v="0"/>
    <b v="0"/>
    <b v="0"/>
    <x v="0"/>
    <b v="1"/>
  </r>
  <r>
    <s v="S-9e7060"/>
    <s v="A-c62e55"/>
    <d v="2024-01-15T00:00:00"/>
    <m/>
    <x v="2"/>
    <n v="10"/>
    <n v="190"/>
    <n v="2280"/>
    <x v="0"/>
    <b v="0"/>
    <b v="0"/>
    <b v="0"/>
    <x v="1"/>
    <b v="0"/>
  </r>
  <r>
    <s v="S-15a8c0"/>
    <s v="A-700ade"/>
    <d v="2024-12-29T00:00:00"/>
    <m/>
    <x v="2"/>
    <n v="50"/>
    <n v="950"/>
    <n v="11400"/>
    <x v="0"/>
    <b v="0"/>
    <b v="0"/>
    <b v="0"/>
    <x v="0"/>
    <b v="0"/>
  </r>
  <r>
    <s v="S-27ab7f"/>
    <s v="A-dcc2f0"/>
    <d v="2023-12-23T00:00:00"/>
    <m/>
    <x v="2"/>
    <n v="25"/>
    <n v="475"/>
    <n v="5700"/>
    <x v="0"/>
    <b v="0"/>
    <b v="0"/>
    <b v="0"/>
    <x v="1"/>
    <b v="1"/>
  </r>
  <r>
    <s v="S-bedd26"/>
    <s v="A-20736a"/>
    <d v="2024-09-03T00:00:00"/>
    <m/>
    <x v="0"/>
    <n v="50"/>
    <n v="9950"/>
    <n v="119400"/>
    <x v="0"/>
    <b v="0"/>
    <b v="0"/>
    <b v="0"/>
    <x v="0"/>
    <b v="1"/>
  </r>
  <r>
    <s v="S-1319ac"/>
    <s v="A-e3bd71"/>
    <d v="2024-06-02T00:00:00"/>
    <m/>
    <x v="2"/>
    <n v="91"/>
    <n v="1729"/>
    <n v="20748"/>
    <x v="0"/>
    <b v="0"/>
    <b v="0"/>
    <b v="0"/>
    <x v="1"/>
    <b v="1"/>
  </r>
  <r>
    <s v="S-abd9be"/>
    <s v="A-2b9d3e"/>
    <d v="2024-03-23T00:00:00"/>
    <m/>
    <x v="1"/>
    <n v="18"/>
    <n v="882"/>
    <n v="10584"/>
    <x v="0"/>
    <b v="1"/>
    <b v="0"/>
    <b v="0"/>
    <x v="0"/>
    <b v="1"/>
  </r>
  <r>
    <s v="S-56ed05"/>
    <s v="A-bbc346"/>
    <d v="2024-12-24T00:00:00"/>
    <m/>
    <x v="1"/>
    <n v="19"/>
    <n v="0"/>
    <n v="0"/>
    <x v="1"/>
    <b v="0"/>
    <b v="1"/>
    <b v="0"/>
    <x v="1"/>
    <b v="1"/>
  </r>
  <r>
    <s v="S-d20d7c"/>
    <s v="A-970c97"/>
    <d v="2024-07-14T00:00:00"/>
    <m/>
    <x v="0"/>
    <n v="28"/>
    <n v="5572"/>
    <n v="66864"/>
    <x v="0"/>
    <b v="0"/>
    <b v="0"/>
    <b v="0"/>
    <x v="0"/>
    <b v="0"/>
  </r>
  <r>
    <s v="S-da4a98"/>
    <s v="A-d4e0d4"/>
    <d v="2024-10-18T00:00:00"/>
    <m/>
    <x v="2"/>
    <n v="117"/>
    <n v="2223"/>
    <n v="26676"/>
    <x v="0"/>
    <b v="0"/>
    <b v="0"/>
    <b v="0"/>
    <x v="0"/>
    <b v="1"/>
  </r>
  <r>
    <s v="S-4a90fd"/>
    <s v="A-d27f50"/>
    <d v="2024-08-26T00:00:00"/>
    <m/>
    <x v="1"/>
    <n v="44"/>
    <n v="2156"/>
    <n v="25872"/>
    <x v="0"/>
    <b v="0"/>
    <b v="0"/>
    <b v="0"/>
    <x v="1"/>
    <b v="0"/>
  </r>
  <r>
    <s v="S-cd4d67"/>
    <s v="A-40de06"/>
    <d v="2024-09-08T00:00:00"/>
    <m/>
    <x v="2"/>
    <n v="28"/>
    <n v="532"/>
    <n v="6384"/>
    <x v="0"/>
    <b v="1"/>
    <b v="0"/>
    <b v="0"/>
    <x v="0"/>
    <b v="1"/>
  </r>
  <r>
    <s v="S-d6cffe"/>
    <s v="A-e7a1e2"/>
    <d v="2024-10-10T00:00:00"/>
    <m/>
    <x v="0"/>
    <n v="6"/>
    <n v="0"/>
    <n v="0"/>
    <x v="1"/>
    <b v="0"/>
    <b v="0"/>
    <b v="0"/>
    <x v="1"/>
    <b v="1"/>
  </r>
  <r>
    <s v="S-53bced"/>
    <s v="A-a1bbb6"/>
    <d v="2023-07-06T00:00:00"/>
    <d v="2023-11-13T00:00:00"/>
    <x v="1"/>
    <n v="5"/>
    <n v="245"/>
    <n v="2940"/>
    <x v="0"/>
    <b v="0"/>
    <b v="0"/>
    <b v="1"/>
    <x v="0"/>
    <b v="0"/>
  </r>
  <r>
    <s v="S-772ef0"/>
    <s v="A-c7ffc2"/>
    <d v="2024-02-25T00:00:00"/>
    <m/>
    <x v="1"/>
    <n v="30"/>
    <n v="1470"/>
    <n v="17640"/>
    <x v="0"/>
    <b v="0"/>
    <b v="0"/>
    <b v="0"/>
    <x v="1"/>
    <b v="1"/>
  </r>
  <r>
    <s v="S-f4059b"/>
    <s v="A-c70870"/>
    <d v="2024-12-15T00:00:00"/>
    <m/>
    <x v="1"/>
    <n v="43"/>
    <n v="0"/>
    <n v="0"/>
    <x v="1"/>
    <b v="1"/>
    <b v="0"/>
    <b v="0"/>
    <x v="1"/>
    <b v="1"/>
  </r>
  <r>
    <s v="S-71827b"/>
    <s v="A-65c341"/>
    <d v="2024-11-15T00:00:00"/>
    <d v="2024-11-23T00:00:00"/>
    <x v="1"/>
    <n v="39"/>
    <n v="1911"/>
    <n v="22932"/>
    <x v="0"/>
    <b v="0"/>
    <b v="0"/>
    <b v="1"/>
    <x v="0"/>
    <b v="1"/>
  </r>
  <r>
    <s v="S-063586"/>
    <s v="A-13466a"/>
    <d v="2024-05-23T00:00:00"/>
    <d v="2024-09-27T00:00:00"/>
    <x v="0"/>
    <n v="22"/>
    <n v="4378"/>
    <n v="52536"/>
    <x v="0"/>
    <b v="0"/>
    <b v="0"/>
    <b v="1"/>
    <x v="1"/>
    <b v="1"/>
  </r>
  <r>
    <s v="S-478ae9"/>
    <s v="A-e4bf56"/>
    <d v="2024-11-26T00:00:00"/>
    <m/>
    <x v="1"/>
    <n v="35"/>
    <n v="1715"/>
    <n v="20580"/>
    <x v="0"/>
    <b v="0"/>
    <b v="1"/>
    <b v="0"/>
    <x v="0"/>
    <b v="0"/>
  </r>
  <r>
    <s v="S-018501"/>
    <s v="A-a865bd"/>
    <d v="2024-09-19T00:00:00"/>
    <m/>
    <x v="1"/>
    <n v="56"/>
    <n v="2744"/>
    <n v="32928"/>
    <x v="0"/>
    <b v="0"/>
    <b v="0"/>
    <b v="0"/>
    <x v="0"/>
    <b v="0"/>
  </r>
  <r>
    <s v="S-7536e5"/>
    <s v="A-3f9cc0"/>
    <d v="2024-06-25T00:00:00"/>
    <m/>
    <x v="2"/>
    <n v="22"/>
    <n v="418"/>
    <n v="5016"/>
    <x v="0"/>
    <b v="0"/>
    <b v="0"/>
    <b v="0"/>
    <x v="1"/>
    <b v="1"/>
  </r>
  <r>
    <s v="S-c80ac4"/>
    <s v="A-43a9e3"/>
    <d v="2023-11-29T00:00:00"/>
    <m/>
    <x v="2"/>
    <n v="18"/>
    <n v="342"/>
    <n v="4104"/>
    <x v="0"/>
    <b v="0"/>
    <b v="0"/>
    <b v="0"/>
    <x v="1"/>
    <b v="1"/>
  </r>
  <r>
    <s v="S-9f4914"/>
    <s v="A-417d2f"/>
    <d v="2024-10-31T00:00:00"/>
    <m/>
    <x v="2"/>
    <n v="37"/>
    <n v="703"/>
    <n v="8436"/>
    <x v="0"/>
    <b v="0"/>
    <b v="0"/>
    <b v="0"/>
    <x v="0"/>
    <b v="1"/>
  </r>
  <r>
    <s v="S-67c2c9"/>
    <s v="A-396e5f"/>
    <d v="2024-11-15T00:00:00"/>
    <m/>
    <x v="1"/>
    <n v="7"/>
    <n v="343"/>
    <n v="4116"/>
    <x v="0"/>
    <b v="0"/>
    <b v="0"/>
    <b v="0"/>
    <x v="0"/>
    <b v="1"/>
  </r>
  <r>
    <s v="S-5eeb46"/>
    <s v="A-37f969"/>
    <d v="2024-06-05T00:00:00"/>
    <m/>
    <x v="2"/>
    <n v="30"/>
    <n v="570"/>
    <n v="6840"/>
    <x v="0"/>
    <b v="0"/>
    <b v="0"/>
    <b v="0"/>
    <x v="1"/>
    <b v="1"/>
  </r>
  <r>
    <s v="S-e71f4a"/>
    <s v="A-5a184f"/>
    <d v="2024-01-20T00:00:00"/>
    <m/>
    <x v="2"/>
    <n v="7"/>
    <n v="133"/>
    <n v="1596"/>
    <x v="0"/>
    <b v="0"/>
    <b v="0"/>
    <b v="0"/>
    <x v="0"/>
    <b v="1"/>
  </r>
  <r>
    <s v="S-812c7c"/>
    <s v="A-f5641b"/>
    <d v="2024-06-08T00:00:00"/>
    <m/>
    <x v="2"/>
    <n v="31"/>
    <n v="0"/>
    <n v="0"/>
    <x v="1"/>
    <b v="0"/>
    <b v="0"/>
    <b v="0"/>
    <x v="0"/>
    <b v="0"/>
  </r>
  <r>
    <s v="S-18356d"/>
    <s v="A-779e4e"/>
    <d v="2023-01-28T00:00:00"/>
    <m/>
    <x v="0"/>
    <n v="18"/>
    <n v="3582"/>
    <n v="42984"/>
    <x v="0"/>
    <b v="1"/>
    <b v="0"/>
    <b v="0"/>
    <x v="1"/>
    <b v="1"/>
  </r>
  <r>
    <s v="S-23a6c5"/>
    <s v="A-dfbd31"/>
    <d v="2023-12-31T00:00:00"/>
    <m/>
    <x v="0"/>
    <n v="24"/>
    <n v="0"/>
    <n v="0"/>
    <x v="1"/>
    <b v="0"/>
    <b v="0"/>
    <b v="0"/>
    <x v="0"/>
    <b v="1"/>
  </r>
  <r>
    <s v="S-934bd4"/>
    <s v="A-ccc747"/>
    <d v="2024-11-04T00:00:00"/>
    <m/>
    <x v="2"/>
    <n v="16"/>
    <n v="304"/>
    <n v="3648"/>
    <x v="0"/>
    <b v="0"/>
    <b v="0"/>
    <b v="0"/>
    <x v="1"/>
    <b v="1"/>
  </r>
  <r>
    <s v="S-695606"/>
    <s v="A-0f3e88"/>
    <d v="2023-12-31T00:00:00"/>
    <m/>
    <x v="2"/>
    <n v="16"/>
    <n v="304"/>
    <n v="3648"/>
    <x v="0"/>
    <b v="0"/>
    <b v="0"/>
    <b v="0"/>
    <x v="0"/>
    <b v="1"/>
  </r>
  <r>
    <s v="S-c59d50"/>
    <s v="A-7a0d69"/>
    <d v="2024-07-21T00:00:00"/>
    <m/>
    <x v="2"/>
    <n v="40"/>
    <n v="0"/>
    <n v="0"/>
    <x v="1"/>
    <b v="0"/>
    <b v="0"/>
    <b v="0"/>
    <x v="0"/>
    <b v="0"/>
  </r>
  <r>
    <s v="S-009027"/>
    <s v="A-1b7577"/>
    <d v="2024-10-28T00:00:00"/>
    <m/>
    <x v="0"/>
    <n v="9"/>
    <n v="1791"/>
    <n v="21492"/>
    <x v="0"/>
    <b v="0"/>
    <b v="0"/>
    <b v="0"/>
    <x v="1"/>
    <b v="1"/>
  </r>
  <r>
    <s v="S-f6f97e"/>
    <s v="A-02cd81"/>
    <d v="2024-06-29T00:00:00"/>
    <d v="2024-08-03T00:00:00"/>
    <x v="1"/>
    <n v="44"/>
    <n v="2156"/>
    <n v="25872"/>
    <x v="0"/>
    <b v="0"/>
    <b v="0"/>
    <b v="1"/>
    <x v="1"/>
    <b v="1"/>
  </r>
  <r>
    <s v="S-8b3e35"/>
    <s v="A-e693b6"/>
    <d v="2024-07-19T00:00:00"/>
    <m/>
    <x v="0"/>
    <n v="55"/>
    <n v="0"/>
    <n v="0"/>
    <x v="1"/>
    <b v="0"/>
    <b v="0"/>
    <b v="0"/>
    <x v="1"/>
    <b v="1"/>
  </r>
  <r>
    <s v="S-d1201a"/>
    <s v="A-b2af2e"/>
    <d v="2024-08-27T00:00:00"/>
    <m/>
    <x v="1"/>
    <n v="18"/>
    <n v="882"/>
    <n v="10584"/>
    <x v="0"/>
    <b v="0"/>
    <b v="0"/>
    <b v="0"/>
    <x v="0"/>
    <b v="0"/>
  </r>
  <r>
    <s v="S-c7c366"/>
    <s v="A-9208f0"/>
    <d v="2023-07-11T00:00:00"/>
    <m/>
    <x v="0"/>
    <n v="38"/>
    <n v="0"/>
    <n v="0"/>
    <x v="1"/>
    <b v="0"/>
    <b v="0"/>
    <b v="0"/>
    <x v="0"/>
    <b v="1"/>
  </r>
  <r>
    <s v="S-c1d6cf"/>
    <s v="A-dcc2f0"/>
    <d v="2024-01-15T00:00:00"/>
    <m/>
    <x v="0"/>
    <n v="16"/>
    <n v="3184"/>
    <n v="38208"/>
    <x v="0"/>
    <b v="0"/>
    <b v="0"/>
    <b v="0"/>
    <x v="0"/>
    <b v="1"/>
  </r>
  <r>
    <s v="S-ba672b"/>
    <s v="A-1b9609"/>
    <d v="2024-05-01T00:00:00"/>
    <m/>
    <x v="1"/>
    <n v="4"/>
    <n v="196"/>
    <n v="2352"/>
    <x v="0"/>
    <b v="0"/>
    <b v="0"/>
    <b v="0"/>
    <x v="1"/>
    <b v="0"/>
  </r>
  <r>
    <s v="S-1f149a"/>
    <s v="A-5a3eb9"/>
    <d v="2024-08-18T00:00:00"/>
    <m/>
    <x v="1"/>
    <n v="21"/>
    <n v="1029"/>
    <n v="12348"/>
    <x v="0"/>
    <b v="0"/>
    <b v="0"/>
    <b v="0"/>
    <x v="1"/>
    <b v="1"/>
  </r>
  <r>
    <s v="S-e14e00"/>
    <s v="A-a7bd4b"/>
    <d v="2023-10-05T00:00:00"/>
    <m/>
    <x v="1"/>
    <n v="6"/>
    <n v="294"/>
    <n v="3528"/>
    <x v="0"/>
    <b v="0"/>
    <b v="0"/>
    <b v="0"/>
    <x v="0"/>
    <b v="1"/>
  </r>
  <r>
    <s v="S-7b3464"/>
    <s v="A-c16101"/>
    <d v="2024-09-17T00:00:00"/>
    <m/>
    <x v="0"/>
    <n v="7"/>
    <n v="1393"/>
    <n v="16716"/>
    <x v="0"/>
    <b v="0"/>
    <b v="1"/>
    <b v="0"/>
    <x v="1"/>
    <b v="0"/>
  </r>
  <r>
    <s v="S-ea3c2c"/>
    <s v="A-d792a6"/>
    <d v="2023-05-31T00:00:00"/>
    <m/>
    <x v="0"/>
    <n v="9"/>
    <n v="1791"/>
    <n v="21492"/>
    <x v="0"/>
    <b v="0"/>
    <b v="0"/>
    <b v="0"/>
    <x v="0"/>
    <b v="1"/>
  </r>
  <r>
    <s v="S-d90f5e"/>
    <s v="A-bd4513"/>
    <d v="2024-12-15T00:00:00"/>
    <d v="2024-12-22T00:00:00"/>
    <x v="2"/>
    <n v="50"/>
    <n v="950"/>
    <n v="11400"/>
    <x v="0"/>
    <b v="0"/>
    <b v="0"/>
    <b v="1"/>
    <x v="1"/>
    <b v="1"/>
  </r>
  <r>
    <s v="S-9cca23"/>
    <s v="A-3a5ad8"/>
    <d v="2024-12-20T00:00:00"/>
    <m/>
    <x v="0"/>
    <n v="9"/>
    <n v="1791"/>
    <n v="21492"/>
    <x v="0"/>
    <b v="0"/>
    <b v="0"/>
    <b v="0"/>
    <x v="0"/>
    <b v="1"/>
  </r>
  <r>
    <s v="S-b7d291"/>
    <s v="A-f6b2fb"/>
    <d v="2024-10-17T00:00:00"/>
    <d v="2024-12-17T00:00:00"/>
    <x v="1"/>
    <n v="23"/>
    <n v="1127"/>
    <n v="13524"/>
    <x v="0"/>
    <b v="0"/>
    <b v="0"/>
    <b v="1"/>
    <x v="1"/>
    <b v="1"/>
  </r>
  <r>
    <s v="S-ae1278"/>
    <s v="A-2ebb4b"/>
    <d v="2024-07-02T00:00:00"/>
    <d v="2024-08-13T00:00:00"/>
    <x v="1"/>
    <n v="41"/>
    <n v="2009"/>
    <n v="24108"/>
    <x v="0"/>
    <b v="0"/>
    <b v="0"/>
    <b v="1"/>
    <x v="0"/>
    <b v="1"/>
  </r>
  <r>
    <s v="S-a5d949"/>
    <s v="A-e19ff6"/>
    <d v="2024-08-11T00:00:00"/>
    <m/>
    <x v="0"/>
    <n v="2"/>
    <n v="0"/>
    <n v="0"/>
    <x v="1"/>
    <b v="0"/>
    <b v="0"/>
    <b v="0"/>
    <x v="1"/>
    <b v="0"/>
  </r>
  <r>
    <s v="S-cfa635"/>
    <s v="A-503d5a"/>
    <d v="2024-03-07T00:00:00"/>
    <m/>
    <x v="2"/>
    <n v="50"/>
    <n v="950"/>
    <n v="11400"/>
    <x v="0"/>
    <b v="0"/>
    <b v="0"/>
    <b v="0"/>
    <x v="0"/>
    <b v="1"/>
  </r>
  <r>
    <s v="S-001561"/>
    <s v="A-1b7577"/>
    <d v="2024-12-12T00:00:00"/>
    <m/>
    <x v="0"/>
    <n v="6"/>
    <n v="1194"/>
    <n v="14328"/>
    <x v="0"/>
    <b v="0"/>
    <b v="0"/>
    <b v="0"/>
    <x v="1"/>
    <b v="1"/>
  </r>
  <r>
    <s v="S-c5e371"/>
    <s v="A-956988"/>
    <d v="2024-12-15T00:00:00"/>
    <m/>
    <x v="1"/>
    <n v="41"/>
    <n v="2009"/>
    <n v="24108"/>
    <x v="0"/>
    <b v="0"/>
    <b v="0"/>
    <b v="0"/>
    <x v="0"/>
    <b v="1"/>
  </r>
  <r>
    <s v="S-539566"/>
    <s v="A-4e960a"/>
    <d v="2024-03-11T00:00:00"/>
    <m/>
    <x v="2"/>
    <n v="12"/>
    <n v="228"/>
    <n v="2736"/>
    <x v="0"/>
    <b v="0"/>
    <b v="0"/>
    <b v="0"/>
    <x v="0"/>
    <b v="1"/>
  </r>
  <r>
    <s v="S-36b46e"/>
    <s v="A-202b67"/>
    <d v="2024-03-27T00:00:00"/>
    <m/>
    <x v="1"/>
    <n v="11"/>
    <n v="539"/>
    <n v="6468"/>
    <x v="0"/>
    <b v="0"/>
    <b v="0"/>
    <b v="0"/>
    <x v="0"/>
    <b v="1"/>
  </r>
  <r>
    <s v="S-b94bce"/>
    <s v="A-f51f16"/>
    <d v="2024-04-06T00:00:00"/>
    <m/>
    <x v="0"/>
    <n v="2"/>
    <n v="0"/>
    <n v="0"/>
    <x v="1"/>
    <b v="0"/>
    <b v="0"/>
    <b v="0"/>
    <x v="0"/>
    <b v="1"/>
  </r>
  <r>
    <s v="S-f8357e"/>
    <s v="A-f17767"/>
    <d v="2023-11-01T00:00:00"/>
    <m/>
    <x v="2"/>
    <n v="2"/>
    <n v="38"/>
    <n v="456"/>
    <x v="0"/>
    <b v="0"/>
    <b v="0"/>
    <b v="0"/>
    <x v="0"/>
    <b v="1"/>
  </r>
  <r>
    <s v="S-1bdc35"/>
    <s v="A-bcf87c"/>
    <d v="2024-10-28T00:00:00"/>
    <m/>
    <x v="2"/>
    <n v="10"/>
    <n v="190"/>
    <n v="2280"/>
    <x v="0"/>
    <b v="0"/>
    <b v="0"/>
    <b v="0"/>
    <x v="0"/>
    <b v="1"/>
  </r>
  <r>
    <s v="S-56c529"/>
    <s v="A-856b1e"/>
    <d v="2023-12-17T00:00:00"/>
    <m/>
    <x v="1"/>
    <n v="30"/>
    <n v="1470"/>
    <n v="17640"/>
    <x v="0"/>
    <b v="0"/>
    <b v="0"/>
    <b v="0"/>
    <x v="0"/>
    <b v="1"/>
  </r>
  <r>
    <s v="S-cdfe99"/>
    <s v="A-296d7c"/>
    <d v="2024-11-26T00:00:00"/>
    <m/>
    <x v="1"/>
    <n v="6"/>
    <n v="294"/>
    <n v="3528"/>
    <x v="0"/>
    <b v="0"/>
    <b v="0"/>
    <b v="0"/>
    <x v="1"/>
    <b v="1"/>
  </r>
  <r>
    <s v="S-e11518"/>
    <s v="A-3ce5b8"/>
    <d v="2023-12-15T00:00:00"/>
    <m/>
    <x v="1"/>
    <n v="189"/>
    <n v="9261"/>
    <n v="111132"/>
    <x v="0"/>
    <b v="0"/>
    <b v="0"/>
    <b v="0"/>
    <x v="1"/>
    <b v="1"/>
  </r>
  <r>
    <s v="S-82a7dd"/>
    <s v="A-309e54"/>
    <d v="2024-12-20T00:00:00"/>
    <m/>
    <x v="2"/>
    <n v="15"/>
    <n v="285"/>
    <n v="3420"/>
    <x v="0"/>
    <b v="0"/>
    <b v="0"/>
    <b v="0"/>
    <x v="0"/>
    <b v="1"/>
  </r>
  <r>
    <s v="S-f110db"/>
    <s v="A-86902e"/>
    <d v="2024-06-22T00:00:00"/>
    <m/>
    <x v="0"/>
    <n v="34"/>
    <n v="6766"/>
    <n v="81192"/>
    <x v="0"/>
    <b v="0"/>
    <b v="0"/>
    <b v="0"/>
    <x v="0"/>
    <b v="1"/>
  </r>
  <r>
    <s v="S-651c01"/>
    <s v="A-bd4708"/>
    <d v="2024-08-28T00:00:00"/>
    <m/>
    <x v="2"/>
    <n v="37"/>
    <n v="0"/>
    <n v="0"/>
    <x v="1"/>
    <b v="0"/>
    <b v="0"/>
    <b v="0"/>
    <x v="1"/>
    <b v="1"/>
  </r>
  <r>
    <s v="S-531970"/>
    <s v="A-ff3c73"/>
    <d v="2024-09-17T00:00:00"/>
    <m/>
    <x v="2"/>
    <n v="45"/>
    <n v="855"/>
    <n v="10260"/>
    <x v="0"/>
    <b v="0"/>
    <b v="0"/>
    <b v="0"/>
    <x v="1"/>
    <b v="0"/>
  </r>
  <r>
    <s v="S-93ce26"/>
    <s v="A-726cfa"/>
    <d v="2023-12-03T00:00:00"/>
    <d v="2024-07-27T00:00:00"/>
    <x v="0"/>
    <n v="11"/>
    <n v="0"/>
    <n v="0"/>
    <x v="1"/>
    <b v="0"/>
    <b v="0"/>
    <b v="1"/>
    <x v="0"/>
    <b v="1"/>
  </r>
  <r>
    <s v="S-b520e9"/>
    <s v="A-427b69"/>
    <d v="2024-09-15T00:00:00"/>
    <m/>
    <x v="0"/>
    <n v="26"/>
    <n v="5174"/>
    <n v="62088"/>
    <x v="0"/>
    <b v="0"/>
    <b v="0"/>
    <b v="0"/>
    <x v="0"/>
    <b v="1"/>
  </r>
  <r>
    <s v="S-ade2d5"/>
    <s v="A-bcbe98"/>
    <d v="2024-09-22T00:00:00"/>
    <m/>
    <x v="0"/>
    <n v="46"/>
    <n v="0"/>
    <n v="0"/>
    <x v="1"/>
    <b v="0"/>
    <b v="0"/>
    <b v="0"/>
    <x v="0"/>
    <b v="0"/>
  </r>
  <r>
    <s v="S-767957"/>
    <s v="A-751c58"/>
    <d v="2024-08-28T00:00:00"/>
    <m/>
    <x v="0"/>
    <n v="15"/>
    <n v="0"/>
    <n v="0"/>
    <x v="1"/>
    <b v="1"/>
    <b v="0"/>
    <b v="0"/>
    <x v="1"/>
    <b v="1"/>
  </r>
  <r>
    <s v="S-2c80ba"/>
    <s v="A-4ae22a"/>
    <d v="2024-11-26T00:00:00"/>
    <m/>
    <x v="2"/>
    <n v="6"/>
    <n v="114"/>
    <n v="1368"/>
    <x v="0"/>
    <b v="0"/>
    <b v="0"/>
    <b v="0"/>
    <x v="1"/>
    <b v="1"/>
  </r>
  <r>
    <s v="S-cd0f21"/>
    <s v="A-b78bf8"/>
    <d v="2024-12-08T00:00:00"/>
    <m/>
    <x v="0"/>
    <n v="49"/>
    <n v="9751"/>
    <n v="117012"/>
    <x v="0"/>
    <b v="1"/>
    <b v="1"/>
    <b v="0"/>
    <x v="1"/>
    <b v="1"/>
  </r>
  <r>
    <s v="S-18f498"/>
    <s v="A-684255"/>
    <d v="2024-10-29T00:00:00"/>
    <m/>
    <x v="2"/>
    <n v="28"/>
    <n v="532"/>
    <n v="6384"/>
    <x v="0"/>
    <b v="0"/>
    <b v="0"/>
    <b v="0"/>
    <x v="0"/>
    <b v="0"/>
  </r>
  <r>
    <s v="S-d61475"/>
    <s v="A-89ee83"/>
    <d v="2024-12-20T00:00:00"/>
    <m/>
    <x v="2"/>
    <n v="3"/>
    <n v="57"/>
    <n v="684"/>
    <x v="0"/>
    <b v="1"/>
    <b v="0"/>
    <b v="0"/>
    <x v="0"/>
    <b v="1"/>
  </r>
  <r>
    <s v="S-66ffe0"/>
    <s v="A-625d0b"/>
    <d v="2024-11-21T00:00:00"/>
    <m/>
    <x v="1"/>
    <n v="38"/>
    <n v="1862"/>
    <n v="22344"/>
    <x v="0"/>
    <b v="0"/>
    <b v="0"/>
    <b v="0"/>
    <x v="0"/>
    <b v="1"/>
  </r>
  <r>
    <s v="S-fd790e"/>
    <s v="A-7920cc"/>
    <d v="2023-11-30T00:00:00"/>
    <m/>
    <x v="2"/>
    <n v="39"/>
    <n v="0"/>
    <n v="0"/>
    <x v="1"/>
    <b v="0"/>
    <b v="0"/>
    <b v="0"/>
    <x v="1"/>
    <b v="1"/>
  </r>
  <r>
    <s v="S-d1a6c6"/>
    <s v="A-443b7c"/>
    <d v="2024-12-26T00:00:00"/>
    <d v="2024-12-29T00:00:00"/>
    <x v="2"/>
    <n v="17"/>
    <n v="323"/>
    <n v="3876"/>
    <x v="0"/>
    <b v="0"/>
    <b v="0"/>
    <b v="1"/>
    <x v="0"/>
    <b v="0"/>
  </r>
  <r>
    <s v="S-6c1ca5"/>
    <s v="A-977ca0"/>
    <d v="2024-01-07T00:00:00"/>
    <d v="2024-06-06T00:00:00"/>
    <x v="2"/>
    <n v="6"/>
    <n v="114"/>
    <n v="1368"/>
    <x v="0"/>
    <b v="0"/>
    <b v="0"/>
    <b v="1"/>
    <x v="0"/>
    <b v="1"/>
  </r>
  <r>
    <s v="S-ea71b5"/>
    <s v="A-bad8c1"/>
    <d v="2023-12-12T00:00:00"/>
    <m/>
    <x v="0"/>
    <n v="10"/>
    <n v="0"/>
    <n v="0"/>
    <x v="1"/>
    <b v="1"/>
    <b v="0"/>
    <b v="0"/>
    <x v="1"/>
    <b v="1"/>
  </r>
  <r>
    <s v="S-61c27e"/>
    <s v="A-158f4e"/>
    <d v="2023-06-02T00:00:00"/>
    <m/>
    <x v="2"/>
    <n v="61"/>
    <n v="1159"/>
    <n v="13908"/>
    <x v="0"/>
    <b v="0"/>
    <b v="0"/>
    <b v="0"/>
    <x v="0"/>
    <b v="1"/>
  </r>
  <r>
    <s v="S-a7d34e"/>
    <s v="A-a7bd4b"/>
    <d v="2024-05-31T00:00:00"/>
    <m/>
    <x v="1"/>
    <n v="51"/>
    <n v="2499"/>
    <n v="29988"/>
    <x v="0"/>
    <b v="0"/>
    <b v="0"/>
    <b v="0"/>
    <x v="1"/>
    <b v="1"/>
  </r>
  <r>
    <s v="S-0eba5a"/>
    <s v="A-fb186e"/>
    <d v="2024-12-22T00:00:00"/>
    <m/>
    <x v="0"/>
    <n v="29"/>
    <n v="5771"/>
    <n v="69252"/>
    <x v="0"/>
    <b v="0"/>
    <b v="0"/>
    <b v="0"/>
    <x v="0"/>
    <b v="1"/>
  </r>
  <r>
    <s v="S-1d661c"/>
    <s v="A-9c18c4"/>
    <d v="2023-11-30T00:00:00"/>
    <m/>
    <x v="0"/>
    <n v="12"/>
    <n v="2388"/>
    <n v="28656"/>
    <x v="0"/>
    <b v="1"/>
    <b v="0"/>
    <b v="0"/>
    <x v="1"/>
    <b v="1"/>
  </r>
  <r>
    <s v="S-6a56f1"/>
    <s v="A-684255"/>
    <d v="2024-10-17T00:00:00"/>
    <m/>
    <x v="1"/>
    <n v="12"/>
    <n v="588"/>
    <n v="7056"/>
    <x v="0"/>
    <b v="0"/>
    <b v="0"/>
    <b v="0"/>
    <x v="1"/>
    <b v="0"/>
  </r>
  <r>
    <s v="S-ff4a47"/>
    <s v="A-f03140"/>
    <d v="2024-10-04T00:00:00"/>
    <m/>
    <x v="0"/>
    <n v="27"/>
    <n v="5373"/>
    <n v="64476"/>
    <x v="0"/>
    <b v="1"/>
    <b v="0"/>
    <b v="0"/>
    <x v="0"/>
    <b v="1"/>
  </r>
  <r>
    <s v="S-9e74ba"/>
    <s v="A-b48f73"/>
    <d v="2024-12-06T00:00:00"/>
    <m/>
    <x v="0"/>
    <n v="80"/>
    <n v="0"/>
    <n v="0"/>
    <x v="1"/>
    <b v="0"/>
    <b v="0"/>
    <b v="0"/>
    <x v="1"/>
    <b v="1"/>
  </r>
  <r>
    <s v="S-d53c0a"/>
    <s v="A-8e47ca"/>
    <d v="2024-03-28T00:00:00"/>
    <m/>
    <x v="0"/>
    <n v="19"/>
    <n v="3781"/>
    <n v="45372"/>
    <x v="0"/>
    <b v="1"/>
    <b v="0"/>
    <b v="0"/>
    <x v="1"/>
    <b v="0"/>
  </r>
  <r>
    <s v="S-22cbb3"/>
    <s v="A-92a3af"/>
    <d v="2024-10-30T00:00:00"/>
    <m/>
    <x v="1"/>
    <n v="77"/>
    <n v="3773"/>
    <n v="45276"/>
    <x v="0"/>
    <b v="0"/>
    <b v="1"/>
    <b v="0"/>
    <x v="0"/>
    <b v="0"/>
  </r>
  <r>
    <s v="S-5313fa"/>
    <s v="A-e40f45"/>
    <d v="2024-05-17T00:00:00"/>
    <m/>
    <x v="0"/>
    <n v="21"/>
    <n v="4179"/>
    <n v="50148"/>
    <x v="0"/>
    <b v="0"/>
    <b v="0"/>
    <b v="0"/>
    <x v="0"/>
    <b v="1"/>
  </r>
  <r>
    <s v="S-d8fa45"/>
    <s v="A-5a215a"/>
    <d v="2024-10-18T00:00:00"/>
    <m/>
    <x v="2"/>
    <n v="87"/>
    <n v="1653"/>
    <n v="19836"/>
    <x v="0"/>
    <b v="0"/>
    <b v="0"/>
    <b v="0"/>
    <x v="0"/>
    <b v="1"/>
  </r>
  <r>
    <s v="S-24d19a"/>
    <s v="A-34ea2f"/>
    <d v="2024-09-10T00:00:00"/>
    <m/>
    <x v="1"/>
    <n v="8"/>
    <n v="392"/>
    <n v="4704"/>
    <x v="0"/>
    <b v="0"/>
    <b v="0"/>
    <b v="0"/>
    <x v="1"/>
    <b v="0"/>
  </r>
  <r>
    <s v="S-c87391"/>
    <s v="A-fe79a5"/>
    <d v="2024-12-08T00:00:00"/>
    <m/>
    <x v="1"/>
    <n v="9"/>
    <n v="0"/>
    <n v="0"/>
    <x v="1"/>
    <b v="0"/>
    <b v="0"/>
    <b v="0"/>
    <x v="0"/>
    <b v="1"/>
  </r>
  <r>
    <s v="S-a9952f"/>
    <s v="A-0aaf6e"/>
    <d v="2024-08-18T00:00:00"/>
    <m/>
    <x v="1"/>
    <n v="11"/>
    <n v="0"/>
    <n v="0"/>
    <x v="1"/>
    <b v="0"/>
    <b v="0"/>
    <b v="0"/>
    <x v="0"/>
    <b v="1"/>
  </r>
  <r>
    <s v="S-3867d6"/>
    <s v="A-e60f9d"/>
    <d v="2024-12-23T00:00:00"/>
    <m/>
    <x v="1"/>
    <n v="29"/>
    <n v="0"/>
    <n v="0"/>
    <x v="1"/>
    <b v="0"/>
    <b v="0"/>
    <b v="0"/>
    <x v="1"/>
    <b v="1"/>
  </r>
  <r>
    <s v="S-60cb51"/>
    <s v="A-4c38bc"/>
    <d v="2024-04-21T00:00:00"/>
    <d v="2024-10-25T00:00:00"/>
    <x v="2"/>
    <n v="36"/>
    <n v="684"/>
    <n v="8208"/>
    <x v="0"/>
    <b v="0"/>
    <b v="0"/>
    <b v="1"/>
    <x v="0"/>
    <b v="0"/>
  </r>
  <r>
    <s v="S-8ba974"/>
    <s v="A-cc98bc"/>
    <d v="2024-07-03T00:00:00"/>
    <d v="2024-08-23T00:00:00"/>
    <x v="1"/>
    <n v="32"/>
    <n v="1568"/>
    <n v="18816"/>
    <x v="0"/>
    <b v="0"/>
    <b v="0"/>
    <b v="1"/>
    <x v="1"/>
    <b v="1"/>
  </r>
  <r>
    <s v="S-f7e37f"/>
    <s v="A-794a0b"/>
    <d v="2023-08-07T00:00:00"/>
    <m/>
    <x v="1"/>
    <n v="23"/>
    <n v="0"/>
    <n v="0"/>
    <x v="1"/>
    <b v="0"/>
    <b v="0"/>
    <b v="0"/>
    <x v="1"/>
    <b v="1"/>
  </r>
  <r>
    <s v="S-ff1b11"/>
    <s v="A-dcc2f0"/>
    <d v="2024-11-30T00:00:00"/>
    <m/>
    <x v="2"/>
    <n v="32"/>
    <n v="608"/>
    <n v="7296"/>
    <x v="0"/>
    <b v="0"/>
    <b v="0"/>
    <b v="0"/>
    <x v="1"/>
    <b v="0"/>
  </r>
  <r>
    <s v="S-f6e116"/>
    <s v="A-4d1e75"/>
    <d v="2024-10-31T00:00:00"/>
    <m/>
    <x v="1"/>
    <n v="20"/>
    <n v="980"/>
    <n v="11760"/>
    <x v="0"/>
    <b v="0"/>
    <b v="1"/>
    <b v="0"/>
    <x v="0"/>
    <b v="1"/>
  </r>
  <r>
    <s v="S-ed7a72"/>
    <s v="A-533452"/>
    <d v="2024-11-21T00:00:00"/>
    <m/>
    <x v="1"/>
    <n v="25"/>
    <n v="1225"/>
    <n v="14700"/>
    <x v="0"/>
    <b v="0"/>
    <b v="0"/>
    <b v="0"/>
    <x v="0"/>
    <b v="1"/>
  </r>
  <r>
    <s v="S-27e42e"/>
    <s v="A-600734"/>
    <d v="2024-03-02T00:00:00"/>
    <m/>
    <x v="1"/>
    <n v="29"/>
    <n v="1421"/>
    <n v="17052"/>
    <x v="0"/>
    <b v="0"/>
    <b v="0"/>
    <b v="0"/>
    <x v="0"/>
    <b v="1"/>
  </r>
  <r>
    <s v="S-bd3e24"/>
    <s v="A-ffc04f"/>
    <d v="2024-12-21T00:00:00"/>
    <d v="2024-12-21T00:00:00"/>
    <x v="1"/>
    <n v="13"/>
    <n v="637"/>
    <n v="7644"/>
    <x v="0"/>
    <b v="0"/>
    <b v="0"/>
    <b v="1"/>
    <x v="1"/>
    <b v="1"/>
  </r>
  <r>
    <s v="S-9e64bd"/>
    <s v="A-c7e58b"/>
    <d v="2024-09-07T00:00:00"/>
    <m/>
    <x v="1"/>
    <n v="16"/>
    <n v="0"/>
    <n v="0"/>
    <x v="1"/>
    <b v="0"/>
    <b v="0"/>
    <b v="0"/>
    <x v="0"/>
    <b v="1"/>
  </r>
  <r>
    <s v="S-ad5d94"/>
    <s v="A-35083d"/>
    <d v="2023-11-30T00:00:00"/>
    <m/>
    <x v="2"/>
    <n v="19"/>
    <n v="0"/>
    <n v="0"/>
    <x v="1"/>
    <b v="0"/>
    <b v="0"/>
    <b v="0"/>
    <x v="1"/>
    <b v="0"/>
  </r>
  <r>
    <s v="S-44483e"/>
    <s v="A-bbc346"/>
    <d v="2024-09-30T00:00:00"/>
    <d v="2024-10-22T00:00:00"/>
    <x v="0"/>
    <n v="19"/>
    <n v="0"/>
    <n v="0"/>
    <x v="1"/>
    <b v="0"/>
    <b v="1"/>
    <b v="1"/>
    <x v="0"/>
    <b v="1"/>
  </r>
  <r>
    <s v="S-b75a31"/>
    <s v="A-a8b49c"/>
    <d v="2023-11-10T00:00:00"/>
    <m/>
    <x v="1"/>
    <n v="7"/>
    <n v="343"/>
    <n v="4116"/>
    <x v="0"/>
    <b v="0"/>
    <b v="0"/>
    <b v="0"/>
    <x v="1"/>
    <b v="1"/>
  </r>
  <r>
    <s v="S-731ee3"/>
    <s v="A-9077b0"/>
    <d v="2024-11-09T00:00:00"/>
    <d v="2024-12-07T00:00:00"/>
    <x v="0"/>
    <n v="14"/>
    <n v="2786"/>
    <n v="33432"/>
    <x v="0"/>
    <b v="0"/>
    <b v="0"/>
    <b v="1"/>
    <x v="1"/>
    <b v="1"/>
  </r>
  <r>
    <s v="S-0c91c4"/>
    <s v="A-2789e3"/>
    <d v="2024-10-11T00:00:00"/>
    <m/>
    <x v="0"/>
    <n v="11"/>
    <n v="2189"/>
    <n v="26268"/>
    <x v="0"/>
    <b v="0"/>
    <b v="1"/>
    <b v="0"/>
    <x v="1"/>
    <b v="1"/>
  </r>
  <r>
    <s v="S-148506"/>
    <s v="A-3a5ad8"/>
    <d v="2024-01-01T00:00:00"/>
    <m/>
    <x v="2"/>
    <n v="9"/>
    <n v="171"/>
    <n v="2052"/>
    <x v="0"/>
    <b v="0"/>
    <b v="0"/>
    <b v="0"/>
    <x v="1"/>
    <b v="1"/>
  </r>
  <r>
    <s v="S-23d802"/>
    <s v="A-ad64c6"/>
    <d v="2024-07-24T00:00:00"/>
    <m/>
    <x v="2"/>
    <n v="54"/>
    <n v="0"/>
    <n v="0"/>
    <x v="1"/>
    <b v="0"/>
    <b v="0"/>
    <b v="0"/>
    <x v="0"/>
    <b v="1"/>
  </r>
  <r>
    <s v="S-3e3033"/>
    <s v="A-e60f9d"/>
    <d v="2024-12-11T00:00:00"/>
    <m/>
    <x v="1"/>
    <n v="31"/>
    <n v="0"/>
    <n v="0"/>
    <x v="1"/>
    <b v="0"/>
    <b v="0"/>
    <b v="0"/>
    <x v="1"/>
    <b v="1"/>
  </r>
  <r>
    <s v="S-d5ac8c"/>
    <s v="A-ef84cf"/>
    <d v="2024-05-22T00:00:00"/>
    <m/>
    <x v="0"/>
    <n v="34"/>
    <n v="6766"/>
    <n v="81192"/>
    <x v="0"/>
    <b v="0"/>
    <b v="0"/>
    <b v="0"/>
    <x v="1"/>
    <b v="1"/>
  </r>
  <r>
    <s v="S-ad31b0"/>
    <s v="A-5b051a"/>
    <d v="2024-12-29T00:00:00"/>
    <m/>
    <x v="1"/>
    <n v="22"/>
    <n v="1078"/>
    <n v="12936"/>
    <x v="0"/>
    <b v="0"/>
    <b v="0"/>
    <b v="0"/>
    <x v="0"/>
    <b v="1"/>
  </r>
  <r>
    <s v="S-a61006"/>
    <s v="A-8bde0c"/>
    <d v="2024-12-24T00:00:00"/>
    <m/>
    <x v="0"/>
    <n v="12"/>
    <n v="2388"/>
    <n v="28656"/>
    <x v="0"/>
    <b v="1"/>
    <b v="0"/>
    <b v="0"/>
    <x v="0"/>
    <b v="1"/>
  </r>
  <r>
    <s v="S-467d4a"/>
    <s v="A-1b7577"/>
    <d v="2024-11-14T00:00:00"/>
    <m/>
    <x v="1"/>
    <n v="9"/>
    <n v="441"/>
    <n v="5292"/>
    <x v="0"/>
    <b v="0"/>
    <b v="0"/>
    <b v="0"/>
    <x v="1"/>
    <b v="1"/>
  </r>
  <r>
    <s v="S-e1dc0b"/>
    <s v="A-e5d6ab"/>
    <d v="2023-09-16T00:00:00"/>
    <m/>
    <x v="1"/>
    <n v="17"/>
    <n v="0"/>
    <n v="0"/>
    <x v="1"/>
    <b v="0"/>
    <b v="0"/>
    <b v="0"/>
    <x v="0"/>
    <b v="1"/>
  </r>
  <r>
    <s v="S-4b7873"/>
    <s v="A-0651a4"/>
    <d v="2024-11-25T00:00:00"/>
    <m/>
    <x v="2"/>
    <n v="16"/>
    <n v="304"/>
    <n v="3648"/>
    <x v="0"/>
    <b v="0"/>
    <b v="0"/>
    <b v="0"/>
    <x v="1"/>
    <b v="1"/>
  </r>
  <r>
    <s v="S-9f57f5"/>
    <s v="A-96e141"/>
    <d v="2024-05-04T00:00:00"/>
    <m/>
    <x v="0"/>
    <n v="14"/>
    <n v="2786"/>
    <n v="33432"/>
    <x v="0"/>
    <b v="0"/>
    <b v="0"/>
    <b v="0"/>
    <x v="0"/>
    <b v="1"/>
  </r>
  <r>
    <s v="S-a82473"/>
    <s v="A-fda07f"/>
    <d v="2024-09-12T00:00:00"/>
    <m/>
    <x v="0"/>
    <n v="16"/>
    <n v="3184"/>
    <n v="38208"/>
    <x v="0"/>
    <b v="0"/>
    <b v="0"/>
    <b v="0"/>
    <x v="1"/>
    <b v="1"/>
  </r>
  <r>
    <s v="S-15582c"/>
    <s v="A-600734"/>
    <d v="2024-09-05T00:00:00"/>
    <m/>
    <x v="2"/>
    <n v="29"/>
    <n v="551"/>
    <n v="6612"/>
    <x v="0"/>
    <b v="0"/>
    <b v="0"/>
    <b v="0"/>
    <x v="0"/>
    <b v="1"/>
  </r>
  <r>
    <s v="S-caca4f"/>
    <s v="A-e83938"/>
    <d v="2024-12-06T00:00:00"/>
    <m/>
    <x v="2"/>
    <n v="54"/>
    <n v="1026"/>
    <n v="12312"/>
    <x v="0"/>
    <b v="0"/>
    <b v="0"/>
    <b v="0"/>
    <x v="1"/>
    <b v="0"/>
  </r>
  <r>
    <s v="S-4911f9"/>
    <s v="A-bb2f49"/>
    <d v="2024-12-07T00:00:00"/>
    <m/>
    <x v="2"/>
    <n v="8"/>
    <n v="152"/>
    <n v="1824"/>
    <x v="0"/>
    <b v="0"/>
    <b v="0"/>
    <b v="0"/>
    <x v="1"/>
    <b v="1"/>
  </r>
  <r>
    <s v="S-f7f6d7"/>
    <s v="A-425e76"/>
    <d v="2024-05-07T00:00:00"/>
    <m/>
    <x v="2"/>
    <n v="14"/>
    <n v="266"/>
    <n v="3192"/>
    <x v="0"/>
    <b v="0"/>
    <b v="0"/>
    <b v="0"/>
    <x v="0"/>
    <b v="1"/>
  </r>
  <r>
    <s v="S-1a0f22"/>
    <s v="A-d26ab4"/>
    <d v="2024-12-20T00:00:00"/>
    <m/>
    <x v="0"/>
    <n v="18"/>
    <n v="3582"/>
    <n v="42984"/>
    <x v="0"/>
    <b v="0"/>
    <b v="0"/>
    <b v="0"/>
    <x v="0"/>
    <b v="1"/>
  </r>
  <r>
    <s v="S-3037ab"/>
    <s v="A-b9eed8"/>
    <d v="2024-08-27T00:00:00"/>
    <m/>
    <x v="2"/>
    <n v="17"/>
    <n v="323"/>
    <n v="3876"/>
    <x v="0"/>
    <b v="0"/>
    <b v="1"/>
    <b v="0"/>
    <x v="1"/>
    <b v="1"/>
  </r>
  <r>
    <s v="S-722103"/>
    <s v="A-a09355"/>
    <d v="2024-10-27T00:00:00"/>
    <m/>
    <x v="0"/>
    <n v="14"/>
    <n v="0"/>
    <n v="0"/>
    <x v="1"/>
    <b v="0"/>
    <b v="0"/>
    <b v="0"/>
    <x v="0"/>
    <b v="1"/>
  </r>
  <r>
    <s v="S-ca1cb9"/>
    <s v="A-5a215a"/>
    <d v="2024-09-16T00:00:00"/>
    <d v="2024-11-13T00:00:00"/>
    <x v="0"/>
    <n v="87"/>
    <n v="17313"/>
    <n v="207756"/>
    <x v="0"/>
    <b v="0"/>
    <b v="0"/>
    <b v="1"/>
    <x v="1"/>
    <b v="0"/>
  </r>
  <r>
    <s v="S-00f31d"/>
    <s v="A-410e86"/>
    <d v="2024-12-02T00:00:00"/>
    <m/>
    <x v="1"/>
    <n v="24"/>
    <n v="1176"/>
    <n v="14112"/>
    <x v="0"/>
    <b v="0"/>
    <b v="0"/>
    <b v="0"/>
    <x v="1"/>
    <b v="0"/>
  </r>
  <r>
    <s v="S-3236ee"/>
    <s v="A-0b0d6d"/>
    <d v="2024-12-31T00:00:00"/>
    <m/>
    <x v="2"/>
    <n v="13"/>
    <n v="247"/>
    <n v="2964"/>
    <x v="0"/>
    <b v="0"/>
    <b v="0"/>
    <b v="0"/>
    <x v="0"/>
    <b v="1"/>
  </r>
  <r>
    <s v="S-5cb87c"/>
    <s v="A-e89151"/>
    <d v="2024-04-20T00:00:00"/>
    <m/>
    <x v="1"/>
    <n v="24"/>
    <n v="1176"/>
    <n v="14112"/>
    <x v="0"/>
    <b v="0"/>
    <b v="0"/>
    <b v="0"/>
    <x v="0"/>
    <b v="1"/>
  </r>
  <r>
    <s v="S-3baf90"/>
    <s v="A-5a3eb9"/>
    <d v="2024-06-19T00:00:00"/>
    <m/>
    <x v="2"/>
    <n v="40"/>
    <n v="760"/>
    <n v="9120"/>
    <x v="0"/>
    <b v="0"/>
    <b v="0"/>
    <b v="0"/>
    <x v="1"/>
    <b v="0"/>
  </r>
  <r>
    <s v="S-3110d9"/>
    <s v="A-692f18"/>
    <d v="2024-08-20T00:00:00"/>
    <m/>
    <x v="0"/>
    <n v="17"/>
    <n v="3383"/>
    <n v="40596"/>
    <x v="0"/>
    <b v="0"/>
    <b v="1"/>
    <b v="0"/>
    <x v="1"/>
    <b v="0"/>
  </r>
  <r>
    <s v="S-a0a5e3"/>
    <s v="A-6a7c9d"/>
    <d v="2024-11-29T00:00:00"/>
    <m/>
    <x v="0"/>
    <n v="26"/>
    <n v="5174"/>
    <n v="62088"/>
    <x v="0"/>
    <b v="0"/>
    <b v="0"/>
    <b v="0"/>
    <x v="0"/>
    <b v="1"/>
  </r>
  <r>
    <s v="S-fc2bf2"/>
    <s v="A-f3ff05"/>
    <d v="2024-08-01T00:00:00"/>
    <m/>
    <x v="2"/>
    <n v="28"/>
    <n v="532"/>
    <n v="6384"/>
    <x v="0"/>
    <b v="0"/>
    <b v="0"/>
    <b v="0"/>
    <x v="0"/>
    <b v="1"/>
  </r>
  <r>
    <s v="S-9c67ab"/>
    <s v="A-c62e55"/>
    <d v="2024-04-04T00:00:00"/>
    <m/>
    <x v="2"/>
    <n v="8"/>
    <n v="152"/>
    <n v="1824"/>
    <x v="0"/>
    <b v="1"/>
    <b v="0"/>
    <b v="0"/>
    <x v="1"/>
    <b v="1"/>
  </r>
  <r>
    <s v="S-f22b7f"/>
    <s v="A-b44e3e"/>
    <d v="2024-12-27T00:00:00"/>
    <d v="2024-12-27T00:00:00"/>
    <x v="0"/>
    <n v="40"/>
    <n v="7960"/>
    <n v="95520"/>
    <x v="0"/>
    <b v="0"/>
    <b v="0"/>
    <b v="1"/>
    <x v="1"/>
    <b v="1"/>
  </r>
  <r>
    <s v="S-71d31c"/>
    <s v="A-bd4708"/>
    <d v="2024-12-16T00:00:00"/>
    <m/>
    <x v="2"/>
    <n v="37"/>
    <n v="0"/>
    <n v="0"/>
    <x v="1"/>
    <b v="0"/>
    <b v="0"/>
    <b v="0"/>
    <x v="1"/>
    <b v="0"/>
  </r>
  <r>
    <s v="S-64d8c9"/>
    <s v="A-34ea2f"/>
    <d v="2024-11-30T00:00:00"/>
    <m/>
    <x v="2"/>
    <n v="41"/>
    <n v="779"/>
    <n v="9348"/>
    <x v="0"/>
    <b v="1"/>
    <b v="0"/>
    <b v="0"/>
    <x v="0"/>
    <b v="1"/>
  </r>
  <r>
    <s v="S-f4335b"/>
    <s v="A-075038"/>
    <d v="2024-08-19T00:00:00"/>
    <m/>
    <x v="0"/>
    <n v="17"/>
    <n v="3383"/>
    <n v="40596"/>
    <x v="0"/>
    <b v="0"/>
    <b v="0"/>
    <b v="0"/>
    <x v="1"/>
    <b v="0"/>
  </r>
  <r>
    <s v="S-1ad9cb"/>
    <s v="A-4d1e75"/>
    <d v="2024-10-10T00:00:00"/>
    <m/>
    <x v="1"/>
    <n v="20"/>
    <n v="980"/>
    <n v="11760"/>
    <x v="0"/>
    <b v="0"/>
    <b v="0"/>
    <b v="0"/>
    <x v="0"/>
    <b v="1"/>
  </r>
  <r>
    <s v="S-866608"/>
    <s v="A-88c6ca"/>
    <d v="2024-12-23T00:00:00"/>
    <m/>
    <x v="1"/>
    <n v="23"/>
    <n v="1127"/>
    <n v="13524"/>
    <x v="0"/>
    <b v="0"/>
    <b v="0"/>
    <b v="0"/>
    <x v="1"/>
    <b v="1"/>
  </r>
  <r>
    <s v="S-fccc09"/>
    <s v="A-1f0ac7"/>
    <d v="2024-12-20T00:00:00"/>
    <m/>
    <x v="1"/>
    <n v="24"/>
    <n v="1176"/>
    <n v="14112"/>
    <x v="0"/>
    <b v="1"/>
    <b v="0"/>
    <b v="0"/>
    <x v="0"/>
    <b v="1"/>
  </r>
  <r>
    <s v="S-19858e"/>
    <s v="A-92a3af"/>
    <d v="2024-09-17T00:00:00"/>
    <m/>
    <x v="1"/>
    <n v="30"/>
    <n v="1470"/>
    <n v="17640"/>
    <x v="0"/>
    <b v="0"/>
    <b v="1"/>
    <b v="0"/>
    <x v="1"/>
    <b v="1"/>
  </r>
  <r>
    <s v="S-db0f41"/>
    <s v="A-afa505"/>
    <d v="2024-07-26T00:00:00"/>
    <m/>
    <x v="0"/>
    <n v="70"/>
    <n v="13930"/>
    <n v="167160"/>
    <x v="0"/>
    <b v="0"/>
    <b v="0"/>
    <b v="0"/>
    <x v="0"/>
    <b v="0"/>
  </r>
  <r>
    <s v="S-897d69"/>
    <s v="A-0a282f"/>
    <d v="2024-12-20T00:00:00"/>
    <m/>
    <x v="1"/>
    <n v="55"/>
    <n v="2695"/>
    <n v="32340"/>
    <x v="0"/>
    <b v="0"/>
    <b v="0"/>
    <b v="0"/>
    <x v="0"/>
    <b v="1"/>
  </r>
  <r>
    <s v="S-b57dcd"/>
    <s v="A-e5d6ab"/>
    <d v="2023-05-11T00:00:00"/>
    <m/>
    <x v="2"/>
    <n v="5"/>
    <n v="95"/>
    <n v="1140"/>
    <x v="0"/>
    <b v="0"/>
    <b v="0"/>
    <b v="0"/>
    <x v="1"/>
    <b v="1"/>
  </r>
  <r>
    <s v="S-6d3477"/>
    <s v="A-cd458b"/>
    <d v="2024-10-25T00:00:00"/>
    <m/>
    <x v="0"/>
    <n v="47"/>
    <n v="9353"/>
    <n v="112236"/>
    <x v="0"/>
    <b v="0"/>
    <b v="0"/>
    <b v="0"/>
    <x v="1"/>
    <b v="1"/>
  </r>
  <r>
    <s v="S-6c3700"/>
    <s v="A-9779ad"/>
    <d v="2024-06-24T00:00:00"/>
    <m/>
    <x v="0"/>
    <n v="40"/>
    <n v="7960"/>
    <n v="95520"/>
    <x v="0"/>
    <b v="0"/>
    <b v="0"/>
    <b v="0"/>
    <x v="1"/>
    <b v="1"/>
  </r>
  <r>
    <s v="S-50334b"/>
    <s v="A-f17767"/>
    <d v="2024-08-21T00:00:00"/>
    <m/>
    <x v="1"/>
    <n v="12"/>
    <n v="588"/>
    <n v="7056"/>
    <x v="0"/>
    <b v="0"/>
    <b v="0"/>
    <b v="0"/>
    <x v="0"/>
    <b v="1"/>
  </r>
  <r>
    <s v="S-9f9dfe"/>
    <s v="A-c62e55"/>
    <d v="2024-11-28T00:00:00"/>
    <m/>
    <x v="1"/>
    <n v="30"/>
    <n v="1470"/>
    <n v="17640"/>
    <x v="0"/>
    <b v="0"/>
    <b v="0"/>
    <b v="0"/>
    <x v="0"/>
    <b v="1"/>
  </r>
  <r>
    <s v="S-fa2170"/>
    <s v="A-ad3abd"/>
    <d v="2024-10-14T00:00:00"/>
    <m/>
    <x v="1"/>
    <n v="44"/>
    <n v="2156"/>
    <n v="25872"/>
    <x v="0"/>
    <b v="0"/>
    <b v="0"/>
    <b v="0"/>
    <x v="0"/>
    <b v="1"/>
  </r>
  <r>
    <s v="S-f50851"/>
    <s v="A-c58f49"/>
    <d v="2024-11-07T00:00:00"/>
    <m/>
    <x v="0"/>
    <n v="70"/>
    <n v="13930"/>
    <n v="167160"/>
    <x v="0"/>
    <b v="0"/>
    <b v="0"/>
    <b v="0"/>
    <x v="0"/>
    <b v="1"/>
  </r>
  <r>
    <s v="S-89e98a"/>
    <s v="A-c222ab"/>
    <d v="2024-12-27T00:00:00"/>
    <m/>
    <x v="1"/>
    <n v="32"/>
    <n v="1568"/>
    <n v="18816"/>
    <x v="0"/>
    <b v="0"/>
    <b v="0"/>
    <b v="0"/>
    <x v="0"/>
    <b v="1"/>
  </r>
  <r>
    <s v="S-51dd23"/>
    <s v="A-7c6b6b"/>
    <d v="2024-12-14T00:00:00"/>
    <m/>
    <x v="2"/>
    <n v="6"/>
    <n v="114"/>
    <n v="1368"/>
    <x v="0"/>
    <b v="0"/>
    <b v="0"/>
    <b v="0"/>
    <x v="0"/>
    <b v="1"/>
  </r>
  <r>
    <s v="S-532e80"/>
    <s v="A-993085"/>
    <d v="2023-09-30T00:00:00"/>
    <m/>
    <x v="0"/>
    <n v="31"/>
    <n v="6169"/>
    <n v="74028"/>
    <x v="0"/>
    <b v="0"/>
    <b v="0"/>
    <b v="0"/>
    <x v="1"/>
    <b v="0"/>
  </r>
  <r>
    <s v="S-1682d4"/>
    <s v="A-c16b88"/>
    <d v="2024-12-26T00:00:00"/>
    <m/>
    <x v="0"/>
    <n v="23"/>
    <n v="4577"/>
    <n v="54924"/>
    <x v="0"/>
    <b v="0"/>
    <b v="0"/>
    <b v="0"/>
    <x v="1"/>
    <b v="0"/>
  </r>
  <r>
    <s v="S-dcbf45"/>
    <s v="A-0f3e88"/>
    <d v="2024-01-01T00:00:00"/>
    <m/>
    <x v="1"/>
    <n v="22"/>
    <n v="1078"/>
    <n v="12936"/>
    <x v="0"/>
    <b v="1"/>
    <b v="0"/>
    <b v="0"/>
    <x v="0"/>
    <b v="1"/>
  </r>
  <r>
    <s v="S-7151d9"/>
    <s v="A-eb7c38"/>
    <d v="2024-04-12T00:00:00"/>
    <m/>
    <x v="2"/>
    <n v="102"/>
    <n v="1938"/>
    <n v="23256"/>
    <x v="0"/>
    <b v="1"/>
    <b v="0"/>
    <b v="0"/>
    <x v="1"/>
    <b v="1"/>
  </r>
  <r>
    <s v="S-523cce"/>
    <s v="A-1b9609"/>
    <d v="2024-08-28T00:00:00"/>
    <m/>
    <x v="0"/>
    <n v="30"/>
    <n v="5970"/>
    <n v="71640"/>
    <x v="0"/>
    <b v="0"/>
    <b v="0"/>
    <b v="0"/>
    <x v="0"/>
    <b v="1"/>
  </r>
  <r>
    <s v="S-c069ab"/>
    <s v="A-956988"/>
    <d v="2024-12-05T00:00:00"/>
    <m/>
    <x v="0"/>
    <n v="55"/>
    <n v="10945"/>
    <n v="131340"/>
    <x v="0"/>
    <b v="0"/>
    <b v="0"/>
    <b v="0"/>
    <x v="1"/>
    <b v="1"/>
  </r>
  <r>
    <s v="S-d66d63"/>
    <s v="A-6c093d"/>
    <d v="2023-08-25T00:00:00"/>
    <m/>
    <x v="1"/>
    <n v="13"/>
    <n v="637"/>
    <n v="7644"/>
    <x v="0"/>
    <b v="0"/>
    <b v="0"/>
    <b v="0"/>
    <x v="1"/>
    <b v="1"/>
  </r>
  <r>
    <s v="S-6f75be"/>
    <s v="A-65a46c"/>
    <d v="2024-03-05T00:00:00"/>
    <m/>
    <x v="0"/>
    <n v="78"/>
    <n v="15522"/>
    <n v="186264"/>
    <x v="0"/>
    <b v="0"/>
    <b v="0"/>
    <b v="0"/>
    <x v="0"/>
    <b v="1"/>
  </r>
  <r>
    <s v="S-ea3d54"/>
    <s v="A-439b2f"/>
    <d v="2024-05-30T00:00:00"/>
    <m/>
    <x v="0"/>
    <n v="1"/>
    <n v="199"/>
    <n v="2388"/>
    <x v="0"/>
    <b v="0"/>
    <b v="0"/>
    <b v="0"/>
    <x v="0"/>
    <b v="0"/>
  </r>
  <r>
    <s v="S-dc6a2a"/>
    <s v="A-309e54"/>
    <d v="2024-12-21T00:00:00"/>
    <m/>
    <x v="1"/>
    <n v="15"/>
    <n v="0"/>
    <n v="0"/>
    <x v="1"/>
    <b v="0"/>
    <b v="0"/>
    <b v="0"/>
    <x v="0"/>
    <b v="1"/>
  </r>
  <r>
    <s v="S-e21910"/>
    <s v="A-50f3f7"/>
    <d v="2024-02-02T00:00:00"/>
    <m/>
    <x v="2"/>
    <n v="31"/>
    <n v="589"/>
    <n v="7068"/>
    <x v="0"/>
    <b v="0"/>
    <b v="0"/>
    <b v="0"/>
    <x v="0"/>
    <b v="1"/>
  </r>
  <r>
    <s v="S-6cfb27"/>
    <s v="A-a8d89d"/>
    <d v="2024-09-29T00:00:00"/>
    <m/>
    <x v="2"/>
    <n v="13"/>
    <n v="247"/>
    <n v="2964"/>
    <x v="0"/>
    <b v="0"/>
    <b v="0"/>
    <b v="0"/>
    <x v="0"/>
    <b v="1"/>
  </r>
  <r>
    <s v="S-37a280"/>
    <s v="A-40906c"/>
    <d v="2024-05-28T00:00:00"/>
    <m/>
    <x v="2"/>
    <n v="92"/>
    <n v="0"/>
    <n v="0"/>
    <x v="1"/>
    <b v="0"/>
    <b v="0"/>
    <b v="0"/>
    <x v="0"/>
    <b v="1"/>
  </r>
  <r>
    <s v="S-81caea"/>
    <s v="A-3932db"/>
    <d v="2024-02-15T00:00:00"/>
    <m/>
    <x v="2"/>
    <n v="19"/>
    <n v="361"/>
    <n v="4332"/>
    <x v="0"/>
    <b v="1"/>
    <b v="1"/>
    <b v="0"/>
    <x v="0"/>
    <b v="1"/>
  </r>
  <r>
    <s v="S-af430c"/>
    <s v="A-1b7577"/>
    <d v="2024-12-29T00:00:00"/>
    <m/>
    <x v="1"/>
    <n v="11"/>
    <n v="539"/>
    <n v="6468"/>
    <x v="0"/>
    <b v="0"/>
    <b v="0"/>
    <b v="0"/>
    <x v="0"/>
    <b v="1"/>
  </r>
  <r>
    <s v="S-e2c20a"/>
    <s v="A-3be56b"/>
    <d v="2023-12-16T00:00:00"/>
    <m/>
    <x v="1"/>
    <n v="62"/>
    <n v="3038"/>
    <n v="36456"/>
    <x v="0"/>
    <b v="0"/>
    <b v="0"/>
    <b v="0"/>
    <x v="0"/>
    <b v="1"/>
  </r>
  <r>
    <s v="S-cbfd83"/>
    <s v="A-fa2041"/>
    <d v="2024-06-16T00:00:00"/>
    <m/>
    <x v="1"/>
    <n v="52"/>
    <n v="2548"/>
    <n v="30576"/>
    <x v="0"/>
    <b v="0"/>
    <b v="0"/>
    <b v="0"/>
    <x v="0"/>
    <b v="1"/>
  </r>
  <r>
    <s v="S-864157"/>
    <s v="A-039727"/>
    <d v="2024-12-15T00:00:00"/>
    <m/>
    <x v="1"/>
    <n v="25"/>
    <n v="1225"/>
    <n v="14700"/>
    <x v="0"/>
    <b v="0"/>
    <b v="0"/>
    <b v="0"/>
    <x v="1"/>
    <b v="1"/>
  </r>
  <r>
    <s v="S-d9d6ac"/>
    <s v="A-054577"/>
    <d v="2024-07-17T00:00:00"/>
    <m/>
    <x v="0"/>
    <n v="3"/>
    <n v="597"/>
    <n v="7164"/>
    <x v="0"/>
    <b v="0"/>
    <b v="1"/>
    <b v="0"/>
    <x v="1"/>
    <b v="1"/>
  </r>
  <r>
    <s v="S-67da25"/>
    <s v="A-5a92e7"/>
    <d v="2024-07-22T00:00:00"/>
    <m/>
    <x v="2"/>
    <n v="7"/>
    <n v="133"/>
    <n v="1596"/>
    <x v="0"/>
    <b v="0"/>
    <b v="0"/>
    <b v="0"/>
    <x v="1"/>
    <b v="1"/>
  </r>
  <r>
    <s v="S-80016a"/>
    <s v="A-1b9609"/>
    <d v="2024-01-11T00:00:00"/>
    <m/>
    <x v="0"/>
    <n v="5"/>
    <n v="995"/>
    <n v="11940"/>
    <x v="0"/>
    <b v="0"/>
    <b v="0"/>
    <b v="0"/>
    <x v="0"/>
    <b v="1"/>
  </r>
  <r>
    <s v="S-817cf0"/>
    <s v="A-378b99"/>
    <d v="2024-10-14T00:00:00"/>
    <m/>
    <x v="1"/>
    <n v="9"/>
    <n v="441"/>
    <n v="5292"/>
    <x v="0"/>
    <b v="0"/>
    <b v="0"/>
    <b v="0"/>
    <x v="1"/>
    <b v="1"/>
  </r>
  <r>
    <s v="S-c9e261"/>
    <s v="A-dcc3f1"/>
    <d v="2024-10-29T00:00:00"/>
    <m/>
    <x v="0"/>
    <n v="21"/>
    <n v="4179"/>
    <n v="50148"/>
    <x v="0"/>
    <b v="0"/>
    <b v="1"/>
    <b v="0"/>
    <x v="0"/>
    <b v="1"/>
  </r>
  <r>
    <s v="S-49b0da"/>
    <s v="A-fe79a5"/>
    <d v="2024-11-14T00:00:00"/>
    <m/>
    <x v="0"/>
    <n v="9"/>
    <n v="1791"/>
    <n v="21492"/>
    <x v="0"/>
    <b v="0"/>
    <b v="0"/>
    <b v="0"/>
    <x v="1"/>
    <b v="1"/>
  </r>
  <r>
    <s v="S-765100"/>
    <s v="A-b7ef83"/>
    <d v="2024-06-29T00:00:00"/>
    <m/>
    <x v="2"/>
    <n v="43"/>
    <n v="817"/>
    <n v="9804"/>
    <x v="0"/>
    <b v="0"/>
    <b v="0"/>
    <b v="0"/>
    <x v="0"/>
    <b v="1"/>
  </r>
  <r>
    <s v="S-62fb8e"/>
    <s v="A-ef84cf"/>
    <d v="2024-03-12T00:00:00"/>
    <m/>
    <x v="0"/>
    <n v="8"/>
    <n v="0"/>
    <n v="0"/>
    <x v="1"/>
    <b v="0"/>
    <b v="0"/>
    <b v="0"/>
    <x v="0"/>
    <b v="1"/>
  </r>
  <r>
    <s v="S-3e0382"/>
    <s v="A-425e76"/>
    <d v="2024-05-24T00:00:00"/>
    <m/>
    <x v="2"/>
    <n v="27"/>
    <n v="513"/>
    <n v="6156"/>
    <x v="0"/>
    <b v="0"/>
    <b v="0"/>
    <b v="0"/>
    <x v="0"/>
    <b v="1"/>
  </r>
  <r>
    <s v="S-fc4ac6"/>
    <s v="A-ac14bb"/>
    <d v="2024-02-22T00:00:00"/>
    <d v="2024-06-13T00:00:00"/>
    <x v="2"/>
    <n v="21"/>
    <n v="399"/>
    <n v="4788"/>
    <x v="0"/>
    <b v="0"/>
    <b v="0"/>
    <b v="1"/>
    <x v="0"/>
    <b v="1"/>
  </r>
  <r>
    <s v="S-798707"/>
    <s v="A-6e7827"/>
    <d v="2023-08-02T00:00:00"/>
    <m/>
    <x v="1"/>
    <n v="8"/>
    <n v="392"/>
    <n v="4704"/>
    <x v="0"/>
    <b v="1"/>
    <b v="0"/>
    <b v="0"/>
    <x v="1"/>
    <b v="1"/>
  </r>
  <r>
    <s v="S-039a8e"/>
    <s v="A-331424"/>
    <d v="2024-02-16T00:00:00"/>
    <d v="2024-08-12T00:00:00"/>
    <x v="2"/>
    <n v="11"/>
    <n v="209"/>
    <n v="2508"/>
    <x v="0"/>
    <b v="0"/>
    <b v="0"/>
    <b v="1"/>
    <x v="1"/>
    <b v="0"/>
  </r>
  <r>
    <s v="S-d9f518"/>
    <s v="A-09540c"/>
    <d v="2024-11-14T00:00:00"/>
    <m/>
    <x v="1"/>
    <n v="67"/>
    <n v="3283"/>
    <n v="39396"/>
    <x v="0"/>
    <b v="0"/>
    <b v="0"/>
    <b v="0"/>
    <x v="1"/>
    <b v="1"/>
  </r>
  <r>
    <s v="S-eb23dd"/>
    <s v="A-4ef964"/>
    <d v="2024-09-27T00:00:00"/>
    <d v="2024-10-29T00:00:00"/>
    <x v="2"/>
    <n v="38"/>
    <n v="722"/>
    <n v="8664"/>
    <x v="0"/>
    <b v="0"/>
    <b v="0"/>
    <b v="1"/>
    <x v="0"/>
    <b v="1"/>
  </r>
  <r>
    <s v="S-816354"/>
    <s v="A-186a44"/>
    <d v="2024-05-20T00:00:00"/>
    <m/>
    <x v="1"/>
    <n v="20"/>
    <n v="0"/>
    <n v="0"/>
    <x v="1"/>
    <b v="0"/>
    <b v="0"/>
    <b v="0"/>
    <x v="0"/>
    <b v="1"/>
  </r>
  <r>
    <s v="S-4e4b10"/>
    <s v="A-4e631b"/>
    <d v="2024-08-22T00:00:00"/>
    <m/>
    <x v="2"/>
    <n v="22"/>
    <n v="418"/>
    <n v="5016"/>
    <x v="0"/>
    <b v="0"/>
    <b v="0"/>
    <b v="0"/>
    <x v="0"/>
    <b v="0"/>
  </r>
  <r>
    <s v="S-2fd486"/>
    <s v="A-18793f"/>
    <d v="2024-12-29T00:00:00"/>
    <m/>
    <x v="1"/>
    <n v="148"/>
    <n v="7252"/>
    <n v="87024"/>
    <x v="0"/>
    <b v="0"/>
    <b v="0"/>
    <b v="0"/>
    <x v="1"/>
    <b v="1"/>
  </r>
  <r>
    <s v="S-70a8d6"/>
    <s v="A-bcbe98"/>
    <d v="2024-11-20T00:00:00"/>
    <m/>
    <x v="1"/>
    <n v="46"/>
    <n v="2254"/>
    <n v="27048"/>
    <x v="0"/>
    <b v="1"/>
    <b v="0"/>
    <b v="0"/>
    <x v="1"/>
    <b v="1"/>
  </r>
  <r>
    <s v="S-3bb8a2"/>
    <s v="A-659280"/>
    <d v="2024-04-28T00:00:00"/>
    <m/>
    <x v="0"/>
    <n v="19"/>
    <n v="3781"/>
    <n v="45372"/>
    <x v="0"/>
    <b v="0"/>
    <b v="0"/>
    <b v="0"/>
    <x v="0"/>
    <b v="0"/>
  </r>
  <r>
    <s v="S-b0e621"/>
    <s v="A-ced9aa"/>
    <d v="2024-11-23T00:00:00"/>
    <m/>
    <x v="1"/>
    <n v="3"/>
    <n v="147"/>
    <n v="1764"/>
    <x v="0"/>
    <b v="0"/>
    <b v="0"/>
    <b v="0"/>
    <x v="0"/>
    <b v="1"/>
  </r>
  <r>
    <s v="S-7018bf"/>
    <s v="A-625d0b"/>
    <d v="2024-10-17T00:00:00"/>
    <m/>
    <x v="1"/>
    <n v="42"/>
    <n v="2058"/>
    <n v="24696"/>
    <x v="0"/>
    <b v="0"/>
    <b v="0"/>
    <b v="0"/>
    <x v="0"/>
    <b v="0"/>
  </r>
  <r>
    <s v="S-326577"/>
    <s v="A-fda07f"/>
    <d v="2024-09-22T00:00:00"/>
    <m/>
    <x v="2"/>
    <n v="7"/>
    <n v="133"/>
    <n v="1596"/>
    <x v="0"/>
    <b v="0"/>
    <b v="0"/>
    <b v="0"/>
    <x v="1"/>
    <b v="1"/>
  </r>
  <r>
    <s v="S-26deeb"/>
    <s v="A-8adedc"/>
    <d v="2024-09-07T00:00:00"/>
    <m/>
    <x v="1"/>
    <n v="68"/>
    <n v="3332"/>
    <n v="39984"/>
    <x v="0"/>
    <b v="0"/>
    <b v="0"/>
    <b v="0"/>
    <x v="1"/>
    <b v="1"/>
  </r>
  <r>
    <s v="S-59c612"/>
    <s v="A-aa9511"/>
    <d v="2023-10-25T00:00:00"/>
    <m/>
    <x v="2"/>
    <n v="23"/>
    <n v="437"/>
    <n v="5244"/>
    <x v="0"/>
    <b v="0"/>
    <b v="0"/>
    <b v="0"/>
    <x v="0"/>
    <b v="1"/>
  </r>
  <r>
    <s v="S-d933e7"/>
    <s v="A-fdfc91"/>
    <d v="2024-03-31T00:00:00"/>
    <m/>
    <x v="1"/>
    <n v="29"/>
    <n v="1421"/>
    <n v="17052"/>
    <x v="0"/>
    <b v="0"/>
    <b v="0"/>
    <b v="0"/>
    <x v="0"/>
    <b v="1"/>
  </r>
  <r>
    <s v="S-45ee20"/>
    <s v="A-1619f8"/>
    <d v="2024-07-21T00:00:00"/>
    <m/>
    <x v="2"/>
    <n v="29"/>
    <n v="551"/>
    <n v="6612"/>
    <x v="0"/>
    <b v="0"/>
    <b v="0"/>
    <b v="0"/>
    <x v="0"/>
    <b v="1"/>
  </r>
  <r>
    <s v="S-8c9649"/>
    <s v="A-c9bb3e"/>
    <d v="2024-09-30T00:00:00"/>
    <m/>
    <x v="1"/>
    <n v="10"/>
    <n v="490"/>
    <n v="5880"/>
    <x v="0"/>
    <b v="0"/>
    <b v="0"/>
    <b v="0"/>
    <x v="0"/>
    <b v="0"/>
  </r>
  <r>
    <s v="S-83b708"/>
    <s v="A-2d1036"/>
    <d v="2024-09-02T00:00:00"/>
    <m/>
    <x v="2"/>
    <n v="69"/>
    <n v="1311"/>
    <n v="15732"/>
    <x v="0"/>
    <b v="0"/>
    <b v="0"/>
    <b v="0"/>
    <x v="0"/>
    <b v="1"/>
  </r>
  <r>
    <s v="S-f84a6f"/>
    <s v="A-d27f50"/>
    <d v="2024-07-22T00:00:00"/>
    <d v="2024-10-14T00:00:00"/>
    <x v="0"/>
    <n v="44"/>
    <n v="8756"/>
    <n v="105072"/>
    <x v="0"/>
    <b v="0"/>
    <b v="0"/>
    <b v="1"/>
    <x v="0"/>
    <b v="1"/>
  </r>
  <r>
    <s v="S-369495"/>
    <s v="A-b3fe05"/>
    <d v="2024-10-20T00:00:00"/>
    <d v="2024-11-18T00:00:00"/>
    <x v="1"/>
    <n v="8"/>
    <n v="392"/>
    <n v="4704"/>
    <x v="0"/>
    <b v="0"/>
    <b v="0"/>
    <b v="1"/>
    <x v="0"/>
    <b v="1"/>
  </r>
  <r>
    <s v="S-6f0aa3"/>
    <s v="A-1986ca"/>
    <d v="2023-11-16T00:00:00"/>
    <m/>
    <x v="0"/>
    <n v="20"/>
    <n v="0"/>
    <n v="0"/>
    <x v="1"/>
    <b v="0"/>
    <b v="0"/>
    <b v="0"/>
    <x v="0"/>
    <b v="1"/>
  </r>
  <r>
    <s v="S-da198f"/>
    <s v="A-b07346"/>
    <d v="2024-11-06T00:00:00"/>
    <m/>
    <x v="2"/>
    <n v="51"/>
    <n v="969"/>
    <n v="11628"/>
    <x v="0"/>
    <b v="0"/>
    <b v="0"/>
    <b v="0"/>
    <x v="1"/>
    <b v="1"/>
  </r>
  <r>
    <s v="S-c0a7d8"/>
    <s v="A-0dbdc6"/>
    <d v="2024-10-26T00:00:00"/>
    <m/>
    <x v="0"/>
    <n v="30"/>
    <n v="5970"/>
    <n v="71640"/>
    <x v="0"/>
    <b v="0"/>
    <b v="0"/>
    <b v="0"/>
    <x v="0"/>
    <b v="1"/>
  </r>
  <r>
    <s v="S-b6aefa"/>
    <s v="A-6da850"/>
    <d v="2024-09-01T00:00:00"/>
    <m/>
    <x v="1"/>
    <n v="5"/>
    <n v="245"/>
    <n v="2940"/>
    <x v="0"/>
    <b v="0"/>
    <b v="0"/>
    <b v="0"/>
    <x v="1"/>
    <b v="1"/>
  </r>
  <r>
    <s v="S-d19216"/>
    <s v="A-17939a"/>
    <d v="2024-12-28T00:00:00"/>
    <d v="2024-12-29T00:00:00"/>
    <x v="2"/>
    <n v="86"/>
    <n v="1634"/>
    <n v="19608"/>
    <x v="0"/>
    <b v="0"/>
    <b v="0"/>
    <b v="1"/>
    <x v="0"/>
    <b v="1"/>
  </r>
  <r>
    <s v="S-330457"/>
    <s v="A-ad3abd"/>
    <d v="2024-07-20T00:00:00"/>
    <m/>
    <x v="1"/>
    <n v="44"/>
    <n v="2156"/>
    <n v="25872"/>
    <x v="0"/>
    <b v="0"/>
    <b v="0"/>
    <b v="0"/>
    <x v="0"/>
    <b v="0"/>
  </r>
  <r>
    <s v="S-495d33"/>
    <s v="A-50f3f7"/>
    <d v="2024-07-24T00:00:00"/>
    <m/>
    <x v="2"/>
    <n v="31"/>
    <n v="589"/>
    <n v="7068"/>
    <x v="0"/>
    <b v="0"/>
    <b v="0"/>
    <b v="0"/>
    <x v="0"/>
    <b v="1"/>
  </r>
  <r>
    <s v="S-adf00a"/>
    <s v="A-de24d5"/>
    <d v="2024-11-15T00:00:00"/>
    <m/>
    <x v="0"/>
    <n v="17"/>
    <n v="3383"/>
    <n v="40596"/>
    <x v="0"/>
    <b v="0"/>
    <b v="0"/>
    <b v="0"/>
    <x v="1"/>
    <b v="1"/>
  </r>
  <r>
    <s v="S-a54381"/>
    <s v="A-149a69"/>
    <d v="2024-12-05T00:00:00"/>
    <m/>
    <x v="2"/>
    <n v="34"/>
    <n v="646"/>
    <n v="7752"/>
    <x v="0"/>
    <b v="0"/>
    <b v="0"/>
    <b v="0"/>
    <x v="0"/>
    <b v="0"/>
  </r>
  <r>
    <s v="S-21b68e"/>
    <s v="A-4f18f0"/>
    <d v="2024-04-25T00:00:00"/>
    <m/>
    <x v="0"/>
    <n v="25"/>
    <n v="0"/>
    <n v="0"/>
    <x v="1"/>
    <b v="0"/>
    <b v="0"/>
    <b v="0"/>
    <x v="0"/>
    <b v="1"/>
  </r>
  <r>
    <s v="S-4040a9"/>
    <s v="A-6f50ae"/>
    <d v="2024-05-14T00:00:00"/>
    <m/>
    <x v="1"/>
    <n v="19"/>
    <n v="931"/>
    <n v="11172"/>
    <x v="0"/>
    <b v="0"/>
    <b v="0"/>
    <b v="0"/>
    <x v="0"/>
    <b v="0"/>
  </r>
  <r>
    <s v="S-8966c9"/>
    <s v="A-cd458b"/>
    <d v="2024-09-26T00:00:00"/>
    <m/>
    <x v="2"/>
    <n v="27"/>
    <n v="513"/>
    <n v="6156"/>
    <x v="0"/>
    <b v="0"/>
    <b v="0"/>
    <b v="0"/>
    <x v="0"/>
    <b v="1"/>
  </r>
  <r>
    <s v="S-70275b"/>
    <s v="A-f45426"/>
    <d v="2024-08-09T00:00:00"/>
    <m/>
    <x v="2"/>
    <n v="20"/>
    <n v="380"/>
    <n v="4560"/>
    <x v="0"/>
    <b v="0"/>
    <b v="1"/>
    <b v="0"/>
    <x v="1"/>
    <b v="1"/>
  </r>
  <r>
    <s v="S-6cff51"/>
    <s v="A-c37601"/>
    <d v="2024-12-23T00:00:00"/>
    <m/>
    <x v="1"/>
    <n v="28"/>
    <n v="1372"/>
    <n v="16464"/>
    <x v="0"/>
    <b v="0"/>
    <b v="0"/>
    <b v="0"/>
    <x v="1"/>
    <b v="1"/>
  </r>
  <r>
    <s v="S-0185ce"/>
    <s v="A-50f3f7"/>
    <d v="2024-06-01T00:00:00"/>
    <m/>
    <x v="1"/>
    <n v="31"/>
    <n v="0"/>
    <n v="0"/>
    <x v="1"/>
    <b v="0"/>
    <b v="0"/>
    <b v="0"/>
    <x v="1"/>
    <b v="0"/>
  </r>
  <r>
    <s v="S-e5bed6"/>
    <s v="A-05f0e5"/>
    <d v="2024-11-23T00:00:00"/>
    <m/>
    <x v="1"/>
    <n v="58"/>
    <n v="2842"/>
    <n v="34104"/>
    <x v="0"/>
    <b v="0"/>
    <b v="0"/>
    <b v="0"/>
    <x v="1"/>
    <b v="1"/>
  </r>
  <r>
    <s v="S-3e453b"/>
    <s v="A-883b7d"/>
    <d v="2024-04-21T00:00:00"/>
    <m/>
    <x v="1"/>
    <n v="17"/>
    <n v="833"/>
    <n v="9996"/>
    <x v="0"/>
    <b v="0"/>
    <b v="0"/>
    <b v="0"/>
    <x v="1"/>
    <b v="0"/>
  </r>
  <r>
    <s v="S-c341e1"/>
    <s v="A-bb2f49"/>
    <d v="2024-09-04T00:00:00"/>
    <m/>
    <x v="1"/>
    <n v="14"/>
    <n v="686"/>
    <n v="8232"/>
    <x v="0"/>
    <b v="0"/>
    <b v="0"/>
    <b v="0"/>
    <x v="0"/>
    <b v="1"/>
  </r>
  <r>
    <s v="S-2bef13"/>
    <s v="A-c16b88"/>
    <d v="2024-06-10T00:00:00"/>
    <m/>
    <x v="0"/>
    <n v="45"/>
    <n v="8955"/>
    <n v="107460"/>
    <x v="0"/>
    <b v="0"/>
    <b v="0"/>
    <b v="0"/>
    <x v="0"/>
    <b v="0"/>
  </r>
  <r>
    <s v="S-ccf9c8"/>
    <s v="A-956988"/>
    <d v="2024-12-14T00:00:00"/>
    <m/>
    <x v="2"/>
    <n v="1"/>
    <n v="19"/>
    <n v="228"/>
    <x v="0"/>
    <b v="0"/>
    <b v="0"/>
    <b v="0"/>
    <x v="0"/>
    <b v="0"/>
  </r>
  <r>
    <s v="S-8eff6d"/>
    <s v="A-9b9fe9"/>
    <d v="2023-11-20T00:00:00"/>
    <m/>
    <x v="1"/>
    <n v="9"/>
    <n v="441"/>
    <n v="5292"/>
    <x v="0"/>
    <b v="0"/>
    <b v="1"/>
    <b v="0"/>
    <x v="1"/>
    <b v="1"/>
  </r>
  <r>
    <s v="S-927235"/>
    <s v="A-e61e98"/>
    <d v="2024-01-15T00:00:00"/>
    <m/>
    <x v="2"/>
    <n v="19"/>
    <n v="361"/>
    <n v="4332"/>
    <x v="0"/>
    <b v="0"/>
    <b v="0"/>
    <b v="0"/>
    <x v="0"/>
    <b v="1"/>
  </r>
  <r>
    <s v="S-0ff1eb"/>
    <s v="A-cb5333"/>
    <d v="2024-09-30T00:00:00"/>
    <m/>
    <x v="0"/>
    <n v="33"/>
    <n v="6567"/>
    <n v="78804"/>
    <x v="0"/>
    <b v="0"/>
    <b v="0"/>
    <b v="0"/>
    <x v="0"/>
    <b v="1"/>
  </r>
  <r>
    <s v="S-c287ef"/>
    <s v="A-6dee43"/>
    <d v="2024-07-29T00:00:00"/>
    <m/>
    <x v="2"/>
    <n v="23"/>
    <n v="437"/>
    <n v="5244"/>
    <x v="0"/>
    <b v="0"/>
    <b v="0"/>
    <b v="0"/>
    <x v="1"/>
    <b v="0"/>
  </r>
  <r>
    <s v="S-8eb955"/>
    <s v="A-bcbe98"/>
    <d v="2024-08-09T00:00:00"/>
    <m/>
    <x v="2"/>
    <n v="46"/>
    <n v="874"/>
    <n v="10488"/>
    <x v="0"/>
    <b v="0"/>
    <b v="0"/>
    <b v="0"/>
    <x v="0"/>
    <b v="1"/>
  </r>
  <r>
    <s v="S-0891f1"/>
    <s v="A-e1b9cd"/>
    <d v="2024-01-03T00:00:00"/>
    <m/>
    <x v="2"/>
    <n v="40"/>
    <n v="760"/>
    <n v="9120"/>
    <x v="0"/>
    <b v="0"/>
    <b v="1"/>
    <b v="0"/>
    <x v="1"/>
    <b v="0"/>
  </r>
  <r>
    <s v="S-266ada"/>
    <s v="A-794a0b"/>
    <d v="2024-06-24T00:00:00"/>
    <m/>
    <x v="1"/>
    <n v="23"/>
    <n v="1127"/>
    <n v="13524"/>
    <x v="0"/>
    <b v="0"/>
    <b v="0"/>
    <b v="0"/>
    <x v="0"/>
    <b v="1"/>
  </r>
  <r>
    <s v="S-e50f43"/>
    <s v="A-4a4c2d"/>
    <d v="2023-09-20T00:00:00"/>
    <m/>
    <x v="0"/>
    <n v="54"/>
    <n v="10746"/>
    <n v="128952"/>
    <x v="0"/>
    <b v="0"/>
    <b v="0"/>
    <b v="0"/>
    <x v="1"/>
    <b v="1"/>
  </r>
  <r>
    <s v="S-3647aa"/>
    <s v="A-94d3da"/>
    <d v="2023-09-09T00:00:00"/>
    <m/>
    <x v="1"/>
    <n v="41"/>
    <n v="0"/>
    <n v="0"/>
    <x v="1"/>
    <b v="0"/>
    <b v="0"/>
    <b v="0"/>
    <x v="0"/>
    <b v="1"/>
  </r>
  <r>
    <s v="S-cfb886"/>
    <s v="A-54d94a"/>
    <d v="2024-12-19T00:00:00"/>
    <m/>
    <x v="1"/>
    <n v="27"/>
    <n v="1323"/>
    <n v="15876"/>
    <x v="0"/>
    <b v="0"/>
    <b v="0"/>
    <b v="0"/>
    <x v="1"/>
    <b v="1"/>
  </r>
  <r>
    <s v="S-15d2d2"/>
    <s v="A-96bbc6"/>
    <d v="2024-06-07T00:00:00"/>
    <m/>
    <x v="0"/>
    <n v="39"/>
    <n v="7761"/>
    <n v="93132"/>
    <x v="0"/>
    <b v="0"/>
    <b v="0"/>
    <b v="0"/>
    <x v="0"/>
    <b v="1"/>
  </r>
  <r>
    <s v="S-462bd2"/>
    <s v="A-e7a1e2"/>
    <d v="2024-10-23T00:00:00"/>
    <m/>
    <x v="0"/>
    <n v="3"/>
    <n v="0"/>
    <n v="0"/>
    <x v="1"/>
    <b v="0"/>
    <b v="0"/>
    <b v="0"/>
    <x v="1"/>
    <b v="1"/>
  </r>
  <r>
    <s v="S-83e7bb"/>
    <s v="A-781cc0"/>
    <d v="2024-10-09T00:00:00"/>
    <m/>
    <x v="1"/>
    <n v="16"/>
    <n v="0"/>
    <n v="0"/>
    <x v="1"/>
    <b v="1"/>
    <b v="0"/>
    <b v="0"/>
    <x v="1"/>
    <b v="1"/>
  </r>
  <r>
    <s v="S-5178de"/>
    <s v="A-e61e98"/>
    <d v="2023-12-06T00:00:00"/>
    <m/>
    <x v="1"/>
    <n v="40"/>
    <n v="1960"/>
    <n v="23520"/>
    <x v="0"/>
    <b v="0"/>
    <b v="0"/>
    <b v="0"/>
    <x v="1"/>
    <b v="0"/>
  </r>
  <r>
    <s v="S-375190"/>
    <s v="A-d4ac0e"/>
    <d v="2024-06-01T00:00:00"/>
    <m/>
    <x v="1"/>
    <n v="25"/>
    <n v="1225"/>
    <n v="14700"/>
    <x v="0"/>
    <b v="0"/>
    <b v="0"/>
    <b v="0"/>
    <x v="0"/>
    <b v="1"/>
  </r>
  <r>
    <s v="S-2c5e1c"/>
    <s v="A-4814a3"/>
    <d v="2024-12-08T00:00:00"/>
    <m/>
    <x v="0"/>
    <n v="87"/>
    <n v="17313"/>
    <n v="207756"/>
    <x v="0"/>
    <b v="0"/>
    <b v="1"/>
    <b v="0"/>
    <x v="0"/>
    <b v="1"/>
  </r>
  <r>
    <s v="S-84e146"/>
    <s v="A-d82ef9"/>
    <d v="2024-07-21T00:00:00"/>
    <d v="2024-11-24T00:00:00"/>
    <x v="2"/>
    <n v="53"/>
    <n v="1007"/>
    <n v="12084"/>
    <x v="0"/>
    <b v="0"/>
    <b v="0"/>
    <b v="1"/>
    <x v="0"/>
    <b v="1"/>
  </r>
  <r>
    <s v="S-5fea89"/>
    <s v="A-2e3bad"/>
    <d v="2023-08-19T00:00:00"/>
    <m/>
    <x v="0"/>
    <n v="61"/>
    <n v="12139"/>
    <n v="145668"/>
    <x v="0"/>
    <b v="0"/>
    <b v="0"/>
    <b v="0"/>
    <x v="0"/>
    <b v="1"/>
  </r>
  <r>
    <s v="S-a18bb2"/>
    <s v="A-09540c"/>
    <d v="2024-12-22T00:00:00"/>
    <m/>
    <x v="1"/>
    <n v="67"/>
    <n v="3283"/>
    <n v="39396"/>
    <x v="0"/>
    <b v="0"/>
    <b v="0"/>
    <b v="0"/>
    <x v="0"/>
    <b v="1"/>
  </r>
  <r>
    <s v="S-41d4ca"/>
    <s v="A-90a8c8"/>
    <d v="2024-09-19T00:00:00"/>
    <m/>
    <x v="1"/>
    <n v="21"/>
    <n v="0"/>
    <n v="0"/>
    <x v="1"/>
    <b v="1"/>
    <b v="0"/>
    <b v="0"/>
    <x v="0"/>
    <b v="1"/>
  </r>
  <r>
    <s v="S-c6acda"/>
    <s v="A-1e1b80"/>
    <d v="2024-07-10T00:00:00"/>
    <m/>
    <x v="0"/>
    <n v="50"/>
    <n v="0"/>
    <n v="0"/>
    <x v="1"/>
    <b v="0"/>
    <b v="0"/>
    <b v="0"/>
    <x v="1"/>
    <b v="1"/>
  </r>
  <r>
    <s v="S-918151"/>
    <s v="A-855a48"/>
    <d v="2024-05-29T00:00:00"/>
    <m/>
    <x v="0"/>
    <n v="27"/>
    <n v="5373"/>
    <n v="64476"/>
    <x v="0"/>
    <b v="0"/>
    <b v="0"/>
    <b v="0"/>
    <x v="1"/>
    <b v="0"/>
  </r>
  <r>
    <s v="S-38a5fb"/>
    <s v="A-6843f2"/>
    <d v="2024-12-14T00:00:00"/>
    <m/>
    <x v="0"/>
    <n v="21"/>
    <n v="4179"/>
    <n v="50148"/>
    <x v="0"/>
    <b v="0"/>
    <b v="0"/>
    <b v="0"/>
    <x v="0"/>
    <b v="1"/>
  </r>
  <r>
    <s v="S-dea1f5"/>
    <s v="A-bb1eaa"/>
    <d v="2024-07-14T00:00:00"/>
    <m/>
    <x v="2"/>
    <n v="21"/>
    <n v="399"/>
    <n v="4788"/>
    <x v="0"/>
    <b v="0"/>
    <b v="1"/>
    <b v="0"/>
    <x v="1"/>
    <b v="1"/>
  </r>
  <r>
    <s v="S-fee7b2"/>
    <s v="A-1986ca"/>
    <d v="2024-05-07T00:00:00"/>
    <m/>
    <x v="0"/>
    <n v="31"/>
    <n v="6169"/>
    <n v="74028"/>
    <x v="0"/>
    <b v="1"/>
    <b v="0"/>
    <b v="0"/>
    <x v="0"/>
    <b v="1"/>
  </r>
  <r>
    <s v="S-875645"/>
    <s v="A-2d1036"/>
    <d v="2024-09-24T00:00:00"/>
    <m/>
    <x v="2"/>
    <n v="69"/>
    <n v="1311"/>
    <n v="15732"/>
    <x v="0"/>
    <b v="0"/>
    <b v="0"/>
    <b v="0"/>
    <x v="0"/>
    <b v="1"/>
  </r>
  <r>
    <s v="S-f018e9"/>
    <s v="A-019782"/>
    <d v="2024-06-25T00:00:00"/>
    <m/>
    <x v="2"/>
    <n v="14"/>
    <n v="266"/>
    <n v="3192"/>
    <x v="0"/>
    <b v="0"/>
    <b v="0"/>
    <b v="0"/>
    <x v="1"/>
    <b v="1"/>
  </r>
  <r>
    <s v="S-8a74bb"/>
    <s v="A-ac9111"/>
    <d v="2024-10-30T00:00:00"/>
    <m/>
    <x v="0"/>
    <n v="36"/>
    <n v="0"/>
    <n v="0"/>
    <x v="1"/>
    <b v="0"/>
    <b v="0"/>
    <b v="0"/>
    <x v="0"/>
    <b v="1"/>
  </r>
  <r>
    <s v="S-2aa395"/>
    <s v="A-c45b23"/>
    <d v="2024-07-31T00:00:00"/>
    <m/>
    <x v="2"/>
    <n v="5"/>
    <n v="95"/>
    <n v="1140"/>
    <x v="0"/>
    <b v="0"/>
    <b v="0"/>
    <b v="0"/>
    <x v="0"/>
    <b v="0"/>
  </r>
  <r>
    <s v="S-7de656"/>
    <s v="A-f17767"/>
    <d v="2023-02-15T00:00:00"/>
    <d v="2023-08-25T00:00:00"/>
    <x v="1"/>
    <n v="14"/>
    <n v="686"/>
    <n v="8232"/>
    <x v="0"/>
    <b v="0"/>
    <b v="0"/>
    <b v="1"/>
    <x v="1"/>
    <b v="1"/>
  </r>
  <r>
    <s v="S-f2ccdd"/>
    <s v="A-956988"/>
    <d v="2024-12-30T00:00:00"/>
    <m/>
    <x v="0"/>
    <n v="32"/>
    <n v="6368"/>
    <n v="76416"/>
    <x v="0"/>
    <b v="0"/>
    <b v="0"/>
    <b v="0"/>
    <x v="1"/>
    <b v="1"/>
  </r>
  <r>
    <s v="S-e2fd71"/>
    <s v="A-158f4e"/>
    <d v="2023-11-29T00:00:00"/>
    <m/>
    <x v="2"/>
    <n v="61"/>
    <n v="1159"/>
    <n v="13908"/>
    <x v="0"/>
    <b v="0"/>
    <b v="0"/>
    <b v="0"/>
    <x v="0"/>
    <b v="1"/>
  </r>
  <r>
    <s v="S-9b493e"/>
    <s v="A-5b051a"/>
    <d v="2024-11-23T00:00:00"/>
    <m/>
    <x v="2"/>
    <n v="22"/>
    <n v="418"/>
    <n v="5016"/>
    <x v="0"/>
    <b v="0"/>
    <b v="0"/>
    <b v="0"/>
    <x v="0"/>
    <b v="1"/>
  </r>
  <r>
    <s v="S-742e23"/>
    <s v="A-aa9511"/>
    <d v="2024-06-23T00:00:00"/>
    <m/>
    <x v="1"/>
    <n v="23"/>
    <n v="1127"/>
    <n v="13524"/>
    <x v="0"/>
    <b v="0"/>
    <b v="0"/>
    <b v="0"/>
    <x v="1"/>
    <b v="1"/>
  </r>
  <r>
    <s v="S-e7fe6f"/>
    <s v="A-35083d"/>
    <d v="2024-07-22T00:00:00"/>
    <m/>
    <x v="1"/>
    <n v="42"/>
    <n v="2058"/>
    <n v="24696"/>
    <x v="0"/>
    <b v="1"/>
    <b v="0"/>
    <b v="0"/>
    <x v="1"/>
    <b v="1"/>
  </r>
  <r>
    <s v="S-2940a5"/>
    <s v="A-b2225d"/>
    <d v="2024-04-02T00:00:00"/>
    <m/>
    <x v="0"/>
    <n v="47"/>
    <n v="0"/>
    <n v="0"/>
    <x v="1"/>
    <b v="0"/>
    <b v="1"/>
    <b v="0"/>
    <x v="1"/>
    <b v="0"/>
  </r>
  <r>
    <s v="S-0fc93f"/>
    <s v="A-5fe118"/>
    <d v="2024-12-04T00:00:00"/>
    <m/>
    <x v="2"/>
    <n v="39"/>
    <n v="741"/>
    <n v="8892"/>
    <x v="0"/>
    <b v="0"/>
    <b v="0"/>
    <b v="0"/>
    <x v="1"/>
    <b v="0"/>
  </r>
  <r>
    <s v="S-81a509"/>
    <s v="A-8b25f2"/>
    <d v="2024-09-10T00:00:00"/>
    <m/>
    <x v="2"/>
    <n v="11"/>
    <n v="209"/>
    <n v="2508"/>
    <x v="0"/>
    <b v="1"/>
    <b v="0"/>
    <b v="0"/>
    <x v="1"/>
    <b v="1"/>
  </r>
  <r>
    <s v="S-62f5b1"/>
    <s v="A-20736a"/>
    <d v="2024-11-23T00:00:00"/>
    <m/>
    <x v="0"/>
    <n v="50"/>
    <n v="9950"/>
    <n v="119400"/>
    <x v="0"/>
    <b v="1"/>
    <b v="0"/>
    <b v="0"/>
    <x v="1"/>
    <b v="1"/>
  </r>
  <r>
    <s v="S-a801d1"/>
    <s v="A-4c38bc"/>
    <d v="2024-04-03T00:00:00"/>
    <m/>
    <x v="0"/>
    <n v="36"/>
    <n v="7164"/>
    <n v="85968"/>
    <x v="0"/>
    <b v="0"/>
    <b v="0"/>
    <b v="0"/>
    <x v="0"/>
    <b v="1"/>
  </r>
  <r>
    <s v="S-ad1e4a"/>
    <s v="A-d3c88e"/>
    <d v="2024-11-01T00:00:00"/>
    <m/>
    <x v="2"/>
    <n v="16"/>
    <n v="0"/>
    <n v="0"/>
    <x v="1"/>
    <b v="1"/>
    <b v="0"/>
    <b v="0"/>
    <x v="0"/>
    <b v="1"/>
  </r>
  <r>
    <s v="S-ad3ef7"/>
    <s v="A-35083d"/>
    <d v="2023-06-03T00:00:00"/>
    <m/>
    <x v="0"/>
    <n v="19"/>
    <n v="0"/>
    <n v="0"/>
    <x v="1"/>
    <b v="0"/>
    <b v="0"/>
    <b v="0"/>
    <x v="1"/>
    <b v="1"/>
  </r>
  <r>
    <s v="S-a5a40b"/>
    <s v="A-180abf"/>
    <d v="2023-09-16T00:00:00"/>
    <d v="2023-11-06T00:00:00"/>
    <x v="0"/>
    <n v="64"/>
    <n v="12736"/>
    <n v="152832"/>
    <x v="0"/>
    <b v="0"/>
    <b v="0"/>
    <b v="1"/>
    <x v="1"/>
    <b v="0"/>
  </r>
  <r>
    <s v="S-05b245"/>
    <s v="A-e61e98"/>
    <d v="2024-09-01T00:00:00"/>
    <m/>
    <x v="0"/>
    <n v="34"/>
    <n v="6766"/>
    <n v="81192"/>
    <x v="0"/>
    <b v="0"/>
    <b v="0"/>
    <b v="0"/>
    <x v="1"/>
    <b v="1"/>
  </r>
  <r>
    <s v="S-3cc641"/>
    <s v="A-3be56b"/>
    <d v="2024-05-14T00:00:00"/>
    <m/>
    <x v="2"/>
    <n v="7"/>
    <n v="133"/>
    <n v="1596"/>
    <x v="0"/>
    <b v="1"/>
    <b v="0"/>
    <b v="0"/>
    <x v="0"/>
    <b v="0"/>
  </r>
  <r>
    <s v="S-f973d4"/>
    <s v="A-5247b3"/>
    <d v="2024-07-27T00:00:00"/>
    <m/>
    <x v="1"/>
    <n v="24"/>
    <n v="1176"/>
    <n v="14112"/>
    <x v="0"/>
    <b v="1"/>
    <b v="0"/>
    <b v="0"/>
    <x v="0"/>
    <b v="1"/>
  </r>
  <r>
    <s v="S-f25e72"/>
    <s v="A-66224b"/>
    <d v="2024-11-13T00:00:00"/>
    <m/>
    <x v="1"/>
    <n v="92"/>
    <n v="4508"/>
    <n v="54096"/>
    <x v="0"/>
    <b v="0"/>
    <b v="0"/>
    <b v="0"/>
    <x v="1"/>
    <b v="1"/>
  </r>
  <r>
    <s v="S-4f81c2"/>
    <s v="A-ed510f"/>
    <d v="2024-09-18T00:00:00"/>
    <m/>
    <x v="1"/>
    <n v="42"/>
    <n v="2058"/>
    <n v="24696"/>
    <x v="0"/>
    <b v="0"/>
    <b v="0"/>
    <b v="0"/>
    <x v="0"/>
    <b v="0"/>
  </r>
  <r>
    <s v="S-b65ff3"/>
    <s v="A-c37601"/>
    <d v="2024-11-11T00:00:00"/>
    <m/>
    <x v="0"/>
    <n v="6"/>
    <n v="1194"/>
    <n v="14328"/>
    <x v="0"/>
    <b v="0"/>
    <b v="0"/>
    <b v="0"/>
    <x v="1"/>
    <b v="1"/>
  </r>
  <r>
    <s v="S-5f5b36"/>
    <s v="A-d42431"/>
    <d v="2024-08-26T00:00:00"/>
    <m/>
    <x v="0"/>
    <n v="22"/>
    <n v="4378"/>
    <n v="52536"/>
    <x v="0"/>
    <b v="0"/>
    <b v="0"/>
    <b v="0"/>
    <x v="0"/>
    <b v="1"/>
  </r>
  <r>
    <s v="S-e5c35c"/>
    <s v="A-66224b"/>
    <d v="2024-11-27T00:00:00"/>
    <m/>
    <x v="0"/>
    <n v="92"/>
    <n v="18308"/>
    <n v="219696"/>
    <x v="0"/>
    <b v="0"/>
    <b v="0"/>
    <b v="0"/>
    <x v="0"/>
    <b v="1"/>
  </r>
  <r>
    <s v="S-bc66af"/>
    <s v="A-157070"/>
    <d v="2024-02-12T00:00:00"/>
    <d v="2024-10-02T00:00:00"/>
    <x v="1"/>
    <n v="18"/>
    <n v="882"/>
    <n v="10584"/>
    <x v="0"/>
    <b v="0"/>
    <b v="0"/>
    <b v="1"/>
    <x v="0"/>
    <b v="1"/>
  </r>
  <r>
    <s v="S-eff39c"/>
    <s v="A-118f1c"/>
    <d v="2024-10-31T00:00:00"/>
    <m/>
    <x v="0"/>
    <n v="32"/>
    <n v="6368"/>
    <n v="76416"/>
    <x v="0"/>
    <b v="0"/>
    <b v="0"/>
    <b v="0"/>
    <x v="1"/>
    <b v="1"/>
  </r>
  <r>
    <s v="S-3c0075"/>
    <s v="A-9123ac"/>
    <d v="2024-05-27T00:00:00"/>
    <m/>
    <x v="2"/>
    <n v="11"/>
    <n v="209"/>
    <n v="2508"/>
    <x v="0"/>
    <b v="0"/>
    <b v="0"/>
    <b v="0"/>
    <x v="0"/>
    <b v="1"/>
  </r>
  <r>
    <s v="S-aaaa83"/>
    <s v="A-712533"/>
    <d v="2024-04-26T00:00:00"/>
    <m/>
    <x v="2"/>
    <n v="45"/>
    <n v="0"/>
    <n v="0"/>
    <x v="1"/>
    <b v="0"/>
    <b v="0"/>
    <b v="0"/>
    <x v="0"/>
    <b v="1"/>
  </r>
  <r>
    <s v="S-a09141"/>
    <s v="A-e3bd71"/>
    <d v="2023-04-03T00:00:00"/>
    <m/>
    <x v="0"/>
    <n v="31"/>
    <n v="6169"/>
    <n v="74028"/>
    <x v="0"/>
    <b v="0"/>
    <b v="0"/>
    <b v="0"/>
    <x v="1"/>
    <b v="0"/>
  </r>
  <r>
    <s v="S-19edee"/>
    <s v="A-55f257"/>
    <d v="2024-08-19T00:00:00"/>
    <m/>
    <x v="0"/>
    <n v="21"/>
    <n v="4179"/>
    <n v="50148"/>
    <x v="0"/>
    <b v="0"/>
    <b v="0"/>
    <b v="0"/>
    <x v="0"/>
    <b v="0"/>
  </r>
  <r>
    <s v="S-6f0169"/>
    <s v="A-86cdb4"/>
    <d v="2024-10-23T00:00:00"/>
    <d v="2024-11-06T00:00:00"/>
    <x v="1"/>
    <n v="3"/>
    <n v="147"/>
    <n v="1764"/>
    <x v="0"/>
    <b v="0"/>
    <b v="0"/>
    <b v="1"/>
    <x v="0"/>
    <b v="1"/>
  </r>
  <r>
    <s v="S-bfdb45"/>
    <s v="A-cb6cc6"/>
    <d v="2023-04-20T00:00:00"/>
    <m/>
    <x v="0"/>
    <n v="13"/>
    <n v="0"/>
    <n v="0"/>
    <x v="1"/>
    <b v="0"/>
    <b v="0"/>
    <b v="0"/>
    <x v="1"/>
    <b v="1"/>
  </r>
  <r>
    <s v="S-9da0f3"/>
    <s v="A-1d5444"/>
    <d v="2024-05-13T00:00:00"/>
    <m/>
    <x v="0"/>
    <n v="41"/>
    <n v="8159"/>
    <n v="97908"/>
    <x v="0"/>
    <b v="1"/>
    <b v="0"/>
    <b v="0"/>
    <x v="0"/>
    <b v="1"/>
  </r>
  <r>
    <s v="S-68adfa"/>
    <s v="A-7f29a7"/>
    <d v="2024-10-06T00:00:00"/>
    <m/>
    <x v="2"/>
    <n v="41"/>
    <n v="0"/>
    <n v="0"/>
    <x v="1"/>
    <b v="0"/>
    <b v="0"/>
    <b v="0"/>
    <x v="0"/>
    <b v="1"/>
  </r>
  <r>
    <s v="S-fcd231"/>
    <s v="A-712426"/>
    <d v="2024-12-31T00:00:00"/>
    <m/>
    <x v="0"/>
    <n v="63"/>
    <n v="0"/>
    <n v="0"/>
    <x v="1"/>
    <b v="0"/>
    <b v="0"/>
    <b v="0"/>
    <x v="1"/>
    <b v="1"/>
  </r>
  <r>
    <s v="S-9a1e04"/>
    <s v="A-de24d5"/>
    <d v="2024-12-06T00:00:00"/>
    <m/>
    <x v="0"/>
    <n v="5"/>
    <n v="995"/>
    <n v="11940"/>
    <x v="0"/>
    <b v="0"/>
    <b v="0"/>
    <b v="0"/>
    <x v="1"/>
    <b v="1"/>
  </r>
  <r>
    <s v="S-38b3b4"/>
    <s v="A-533452"/>
    <d v="2024-11-28T00:00:00"/>
    <m/>
    <x v="0"/>
    <n v="26"/>
    <n v="5174"/>
    <n v="62088"/>
    <x v="0"/>
    <b v="0"/>
    <b v="0"/>
    <b v="0"/>
    <x v="1"/>
    <b v="1"/>
  </r>
  <r>
    <s v="S-b69fa2"/>
    <s v="A-029f69"/>
    <d v="2024-09-09T00:00:00"/>
    <m/>
    <x v="1"/>
    <n v="27"/>
    <n v="1323"/>
    <n v="15876"/>
    <x v="0"/>
    <b v="0"/>
    <b v="0"/>
    <b v="0"/>
    <x v="0"/>
    <b v="0"/>
  </r>
  <r>
    <s v="S-a924c2"/>
    <s v="A-3cc791"/>
    <d v="2024-07-08T00:00:00"/>
    <m/>
    <x v="1"/>
    <n v="6"/>
    <n v="294"/>
    <n v="3528"/>
    <x v="0"/>
    <b v="0"/>
    <b v="0"/>
    <b v="0"/>
    <x v="1"/>
    <b v="1"/>
  </r>
  <r>
    <s v="S-05553e"/>
    <s v="A-bc87bc"/>
    <d v="2024-11-26T00:00:00"/>
    <m/>
    <x v="0"/>
    <n v="31"/>
    <n v="6169"/>
    <n v="74028"/>
    <x v="0"/>
    <b v="0"/>
    <b v="0"/>
    <b v="0"/>
    <x v="1"/>
    <b v="1"/>
  </r>
  <r>
    <s v="S-6ace80"/>
    <s v="A-6f8ad2"/>
    <d v="2024-09-16T00:00:00"/>
    <m/>
    <x v="0"/>
    <n v="7"/>
    <n v="1393"/>
    <n v="16716"/>
    <x v="0"/>
    <b v="0"/>
    <b v="0"/>
    <b v="0"/>
    <x v="0"/>
    <b v="1"/>
  </r>
  <r>
    <s v="S-0b2faf"/>
    <s v="A-c45b23"/>
    <d v="2024-07-05T00:00:00"/>
    <m/>
    <x v="2"/>
    <n v="15"/>
    <n v="0"/>
    <n v="0"/>
    <x v="1"/>
    <b v="0"/>
    <b v="0"/>
    <b v="0"/>
    <x v="0"/>
    <b v="1"/>
  </r>
  <r>
    <s v="S-c01d79"/>
    <s v="A-296d7c"/>
    <d v="2024-07-19T00:00:00"/>
    <m/>
    <x v="2"/>
    <n v="24"/>
    <n v="0"/>
    <n v="0"/>
    <x v="1"/>
    <b v="0"/>
    <b v="0"/>
    <b v="0"/>
    <x v="0"/>
    <b v="1"/>
  </r>
  <r>
    <s v="S-df69fe"/>
    <s v="A-e7a1e2"/>
    <d v="2024-12-29T00:00:00"/>
    <m/>
    <x v="0"/>
    <n v="44"/>
    <n v="8756"/>
    <n v="105072"/>
    <x v="0"/>
    <b v="0"/>
    <b v="0"/>
    <b v="0"/>
    <x v="1"/>
    <b v="1"/>
  </r>
  <r>
    <s v="S-f9d635"/>
    <s v="A-a1b80b"/>
    <d v="2024-03-11T00:00:00"/>
    <m/>
    <x v="0"/>
    <n v="52"/>
    <n v="10348"/>
    <n v="124176"/>
    <x v="0"/>
    <b v="0"/>
    <b v="0"/>
    <b v="0"/>
    <x v="0"/>
    <b v="0"/>
  </r>
  <r>
    <s v="S-d96652"/>
    <s v="A-503d5a"/>
    <d v="2024-05-01T00:00:00"/>
    <m/>
    <x v="0"/>
    <n v="7"/>
    <n v="0"/>
    <n v="0"/>
    <x v="1"/>
    <b v="0"/>
    <b v="0"/>
    <b v="0"/>
    <x v="0"/>
    <b v="1"/>
  </r>
  <r>
    <s v="S-869bba"/>
    <s v="A-b9f5b1"/>
    <d v="2023-10-31T00:00:00"/>
    <m/>
    <x v="0"/>
    <n v="15"/>
    <n v="0"/>
    <n v="0"/>
    <x v="1"/>
    <b v="0"/>
    <b v="0"/>
    <b v="0"/>
    <x v="1"/>
    <b v="0"/>
  </r>
  <r>
    <s v="S-7c1eb9"/>
    <s v="A-d3c88e"/>
    <d v="2024-12-24T00:00:00"/>
    <m/>
    <x v="2"/>
    <n v="21"/>
    <n v="399"/>
    <n v="4788"/>
    <x v="0"/>
    <b v="0"/>
    <b v="0"/>
    <b v="0"/>
    <x v="1"/>
    <b v="0"/>
  </r>
  <r>
    <s v="S-3f00dc"/>
    <s v="A-6f50ae"/>
    <d v="2024-09-02T00:00:00"/>
    <m/>
    <x v="1"/>
    <n v="19"/>
    <n v="931"/>
    <n v="11172"/>
    <x v="0"/>
    <b v="0"/>
    <b v="0"/>
    <b v="0"/>
    <x v="1"/>
    <b v="1"/>
  </r>
  <r>
    <s v="S-60ea07"/>
    <s v="A-3be56b"/>
    <d v="2024-08-22T00:00:00"/>
    <m/>
    <x v="1"/>
    <n v="14"/>
    <n v="686"/>
    <n v="8232"/>
    <x v="0"/>
    <b v="0"/>
    <b v="0"/>
    <b v="0"/>
    <x v="1"/>
    <b v="1"/>
  </r>
  <r>
    <s v="S-7052a5"/>
    <s v="A-d5a319"/>
    <d v="2023-11-15T00:00:00"/>
    <m/>
    <x v="2"/>
    <n v="16"/>
    <n v="304"/>
    <n v="3648"/>
    <x v="0"/>
    <b v="0"/>
    <b v="0"/>
    <b v="0"/>
    <x v="1"/>
    <b v="1"/>
  </r>
  <r>
    <s v="S-1b713e"/>
    <s v="A-1d5444"/>
    <d v="2024-11-26T00:00:00"/>
    <m/>
    <x v="2"/>
    <n v="24"/>
    <n v="0"/>
    <n v="0"/>
    <x v="1"/>
    <b v="1"/>
    <b v="0"/>
    <b v="0"/>
    <x v="1"/>
    <b v="0"/>
  </r>
  <r>
    <s v="S-63e79e"/>
    <s v="A-7c5768"/>
    <d v="2024-10-20T00:00:00"/>
    <m/>
    <x v="0"/>
    <n v="25"/>
    <n v="0"/>
    <n v="0"/>
    <x v="1"/>
    <b v="0"/>
    <b v="0"/>
    <b v="0"/>
    <x v="1"/>
    <b v="1"/>
  </r>
  <r>
    <s v="S-a54fb2"/>
    <s v="A-8ae05d"/>
    <d v="2024-06-01T00:00:00"/>
    <m/>
    <x v="2"/>
    <n v="86"/>
    <n v="1634"/>
    <n v="19608"/>
    <x v="0"/>
    <b v="0"/>
    <b v="0"/>
    <b v="0"/>
    <x v="1"/>
    <b v="0"/>
  </r>
  <r>
    <s v="S-07734f"/>
    <s v="A-b7ef83"/>
    <d v="2024-11-20T00:00:00"/>
    <m/>
    <x v="2"/>
    <n v="8"/>
    <n v="152"/>
    <n v="1824"/>
    <x v="0"/>
    <b v="0"/>
    <b v="0"/>
    <b v="0"/>
    <x v="1"/>
    <b v="1"/>
  </r>
  <r>
    <s v="S-6015db"/>
    <s v="A-b179bf"/>
    <d v="2024-11-15T00:00:00"/>
    <m/>
    <x v="0"/>
    <n v="43"/>
    <n v="8557"/>
    <n v="102684"/>
    <x v="0"/>
    <b v="0"/>
    <b v="0"/>
    <b v="0"/>
    <x v="1"/>
    <b v="1"/>
  </r>
  <r>
    <s v="S-1e3a06"/>
    <s v="A-2b9d3e"/>
    <d v="2024-12-26T00:00:00"/>
    <m/>
    <x v="0"/>
    <n v="2"/>
    <n v="398"/>
    <n v="4776"/>
    <x v="0"/>
    <b v="0"/>
    <b v="0"/>
    <b v="0"/>
    <x v="0"/>
    <b v="1"/>
  </r>
  <r>
    <s v="S-82a67a"/>
    <s v="A-712426"/>
    <d v="2024-12-11T00:00:00"/>
    <d v="2024-12-13T00:00:00"/>
    <x v="1"/>
    <n v="15"/>
    <n v="735"/>
    <n v="8820"/>
    <x v="0"/>
    <b v="0"/>
    <b v="0"/>
    <b v="1"/>
    <x v="1"/>
    <b v="1"/>
  </r>
  <r>
    <s v="S-531e3a"/>
    <s v="A-e5d6ab"/>
    <d v="2024-07-22T00:00:00"/>
    <m/>
    <x v="2"/>
    <n v="39"/>
    <n v="741"/>
    <n v="8892"/>
    <x v="0"/>
    <b v="0"/>
    <b v="0"/>
    <b v="0"/>
    <x v="0"/>
    <b v="1"/>
  </r>
  <r>
    <s v="S-7d8dde"/>
    <s v="A-3932db"/>
    <d v="2024-11-29T00:00:00"/>
    <m/>
    <x v="0"/>
    <n v="35"/>
    <n v="6965"/>
    <n v="83580"/>
    <x v="0"/>
    <b v="0"/>
    <b v="0"/>
    <b v="0"/>
    <x v="0"/>
    <b v="1"/>
  </r>
  <r>
    <s v="S-f00f7e"/>
    <s v="A-35083d"/>
    <d v="2024-09-09T00:00:00"/>
    <m/>
    <x v="1"/>
    <n v="25"/>
    <n v="1225"/>
    <n v="14700"/>
    <x v="0"/>
    <b v="0"/>
    <b v="0"/>
    <b v="0"/>
    <x v="0"/>
    <b v="1"/>
  </r>
  <r>
    <s v="S-92f78a"/>
    <s v="A-6e08f3"/>
    <d v="2024-02-22T00:00:00"/>
    <m/>
    <x v="0"/>
    <n v="11"/>
    <n v="2189"/>
    <n v="26268"/>
    <x v="0"/>
    <b v="0"/>
    <b v="0"/>
    <b v="0"/>
    <x v="0"/>
    <b v="1"/>
  </r>
  <r>
    <s v="S-1200b3"/>
    <s v="A-32fb14"/>
    <d v="2023-11-19T00:00:00"/>
    <m/>
    <x v="2"/>
    <n v="26"/>
    <n v="494"/>
    <n v="5928"/>
    <x v="0"/>
    <b v="0"/>
    <b v="0"/>
    <b v="0"/>
    <x v="1"/>
    <b v="0"/>
  </r>
  <r>
    <s v="S-e2799b"/>
    <s v="A-4c56c9"/>
    <d v="2024-05-13T00:00:00"/>
    <m/>
    <x v="0"/>
    <n v="13"/>
    <n v="2587"/>
    <n v="31044"/>
    <x v="0"/>
    <b v="0"/>
    <b v="0"/>
    <b v="0"/>
    <x v="0"/>
    <b v="0"/>
  </r>
  <r>
    <s v="S-155b3e"/>
    <s v="A-18793f"/>
    <d v="2024-12-19T00:00:00"/>
    <m/>
    <x v="0"/>
    <n v="148"/>
    <n v="29452"/>
    <n v="353424"/>
    <x v="0"/>
    <b v="0"/>
    <b v="0"/>
    <b v="0"/>
    <x v="1"/>
    <b v="0"/>
  </r>
  <r>
    <s v="S-691bff"/>
    <s v="A-9174e0"/>
    <d v="2024-12-27T00:00:00"/>
    <m/>
    <x v="2"/>
    <n v="37"/>
    <n v="703"/>
    <n v="8436"/>
    <x v="0"/>
    <b v="0"/>
    <b v="0"/>
    <b v="0"/>
    <x v="1"/>
    <b v="0"/>
  </r>
  <r>
    <s v="S-5ddf8d"/>
    <s v="A-7f6b86"/>
    <d v="2024-12-06T00:00:00"/>
    <m/>
    <x v="2"/>
    <n v="45"/>
    <n v="855"/>
    <n v="10260"/>
    <x v="0"/>
    <b v="0"/>
    <b v="0"/>
    <b v="0"/>
    <x v="1"/>
    <b v="1"/>
  </r>
  <r>
    <s v="S-57019e"/>
    <s v="A-ad296b"/>
    <d v="2024-07-23T00:00:00"/>
    <m/>
    <x v="1"/>
    <n v="38"/>
    <n v="0"/>
    <n v="0"/>
    <x v="1"/>
    <b v="0"/>
    <b v="0"/>
    <b v="0"/>
    <x v="1"/>
    <b v="1"/>
  </r>
  <r>
    <s v="S-36480d"/>
    <s v="A-52dd88"/>
    <d v="2024-12-04T00:00:00"/>
    <m/>
    <x v="1"/>
    <n v="30"/>
    <n v="1470"/>
    <n v="17640"/>
    <x v="0"/>
    <b v="0"/>
    <b v="0"/>
    <b v="0"/>
    <x v="1"/>
    <b v="1"/>
  </r>
  <r>
    <s v="S-ad7716"/>
    <s v="A-af0cd2"/>
    <d v="2023-04-13T00:00:00"/>
    <m/>
    <x v="1"/>
    <n v="19"/>
    <n v="931"/>
    <n v="11172"/>
    <x v="0"/>
    <b v="0"/>
    <b v="0"/>
    <b v="0"/>
    <x v="1"/>
    <b v="0"/>
  </r>
  <r>
    <s v="S-6cd38d"/>
    <s v="A-202b67"/>
    <d v="2024-08-28T00:00:00"/>
    <m/>
    <x v="2"/>
    <n v="22"/>
    <n v="418"/>
    <n v="5016"/>
    <x v="0"/>
    <b v="0"/>
    <b v="0"/>
    <b v="0"/>
    <x v="1"/>
    <b v="1"/>
  </r>
  <r>
    <s v="S-88c79e"/>
    <s v="A-e3bd71"/>
    <d v="2024-02-18T00:00:00"/>
    <d v="2024-04-29T00:00:00"/>
    <x v="0"/>
    <n v="31"/>
    <n v="6169"/>
    <n v="74028"/>
    <x v="0"/>
    <b v="0"/>
    <b v="0"/>
    <b v="1"/>
    <x v="0"/>
    <b v="1"/>
  </r>
  <r>
    <s v="S-42fb01"/>
    <s v="A-bece89"/>
    <d v="2024-02-08T00:00:00"/>
    <m/>
    <x v="1"/>
    <n v="28"/>
    <n v="1372"/>
    <n v="16464"/>
    <x v="0"/>
    <b v="0"/>
    <b v="0"/>
    <b v="0"/>
    <x v="0"/>
    <b v="1"/>
  </r>
  <r>
    <s v="S-393c51"/>
    <s v="A-ba6516"/>
    <d v="2024-04-02T00:00:00"/>
    <m/>
    <x v="2"/>
    <n v="27"/>
    <n v="513"/>
    <n v="6156"/>
    <x v="0"/>
    <b v="0"/>
    <b v="1"/>
    <b v="0"/>
    <x v="1"/>
    <b v="1"/>
  </r>
  <r>
    <s v="S-29ec80"/>
    <s v="A-625d0b"/>
    <d v="2024-12-29T00:00:00"/>
    <m/>
    <x v="0"/>
    <n v="9"/>
    <n v="1791"/>
    <n v="21492"/>
    <x v="0"/>
    <b v="0"/>
    <b v="0"/>
    <b v="0"/>
    <x v="1"/>
    <b v="1"/>
  </r>
  <r>
    <s v="S-9bf16e"/>
    <s v="A-533452"/>
    <d v="2024-11-23T00:00:00"/>
    <d v="2024-12-20T00:00:00"/>
    <x v="1"/>
    <n v="9"/>
    <n v="441"/>
    <n v="5292"/>
    <x v="0"/>
    <b v="0"/>
    <b v="0"/>
    <b v="1"/>
    <x v="0"/>
    <b v="1"/>
  </r>
  <r>
    <s v="S-5d5a8d"/>
    <s v="A-2922b6"/>
    <d v="2024-12-17T00:00:00"/>
    <d v="2024-12-28T00:00:00"/>
    <x v="1"/>
    <n v="15"/>
    <n v="735"/>
    <n v="8820"/>
    <x v="0"/>
    <b v="0"/>
    <b v="0"/>
    <b v="1"/>
    <x v="1"/>
    <b v="1"/>
  </r>
  <r>
    <s v="S-b18d59"/>
    <s v="A-bd4708"/>
    <d v="2024-10-20T00:00:00"/>
    <m/>
    <x v="1"/>
    <n v="37"/>
    <n v="1813"/>
    <n v="21756"/>
    <x v="0"/>
    <b v="0"/>
    <b v="0"/>
    <b v="0"/>
    <x v="1"/>
    <b v="1"/>
  </r>
  <r>
    <s v="S-56cb4f"/>
    <s v="A-cab532"/>
    <d v="2024-07-23T00:00:00"/>
    <m/>
    <x v="1"/>
    <n v="23"/>
    <n v="1127"/>
    <n v="13524"/>
    <x v="0"/>
    <b v="0"/>
    <b v="0"/>
    <b v="0"/>
    <x v="1"/>
    <b v="1"/>
  </r>
  <r>
    <s v="S-3fa87d"/>
    <s v="A-81edc3"/>
    <d v="2023-11-13T00:00:00"/>
    <m/>
    <x v="0"/>
    <n v="5"/>
    <n v="995"/>
    <n v="11940"/>
    <x v="0"/>
    <b v="0"/>
    <b v="0"/>
    <b v="0"/>
    <x v="0"/>
    <b v="1"/>
  </r>
  <r>
    <s v="S-96e3e8"/>
    <s v="A-d3c88e"/>
    <d v="2024-12-10T00:00:00"/>
    <m/>
    <x v="2"/>
    <n v="16"/>
    <n v="304"/>
    <n v="3648"/>
    <x v="0"/>
    <b v="1"/>
    <b v="0"/>
    <b v="0"/>
    <x v="0"/>
    <b v="1"/>
  </r>
  <r>
    <s v="S-b834a9"/>
    <s v="A-dcc3f1"/>
    <d v="2024-05-29T00:00:00"/>
    <m/>
    <x v="2"/>
    <n v="26"/>
    <n v="494"/>
    <n v="5928"/>
    <x v="0"/>
    <b v="0"/>
    <b v="0"/>
    <b v="0"/>
    <x v="1"/>
    <b v="1"/>
  </r>
  <r>
    <s v="S-7452a4"/>
    <s v="A-118d55"/>
    <d v="2024-12-30T00:00:00"/>
    <d v="2024-12-31T00:00:00"/>
    <x v="0"/>
    <n v="29"/>
    <n v="5771"/>
    <n v="69252"/>
    <x v="0"/>
    <b v="0"/>
    <b v="0"/>
    <b v="1"/>
    <x v="0"/>
    <b v="1"/>
  </r>
  <r>
    <s v="S-7b65f4"/>
    <s v="A-7f29a7"/>
    <d v="2024-11-07T00:00:00"/>
    <d v="2024-12-02T00:00:00"/>
    <x v="2"/>
    <n v="41"/>
    <n v="779"/>
    <n v="9348"/>
    <x v="0"/>
    <b v="0"/>
    <b v="0"/>
    <b v="1"/>
    <x v="0"/>
    <b v="0"/>
  </r>
  <r>
    <s v="S-a3300f"/>
    <s v="A-81edc3"/>
    <d v="2024-12-16T00:00:00"/>
    <m/>
    <x v="0"/>
    <n v="5"/>
    <n v="995"/>
    <n v="11940"/>
    <x v="0"/>
    <b v="0"/>
    <b v="0"/>
    <b v="0"/>
    <x v="1"/>
    <b v="1"/>
  </r>
  <r>
    <s v="S-a9b904"/>
    <s v="A-7641d3"/>
    <d v="2023-04-12T00:00:00"/>
    <m/>
    <x v="2"/>
    <n v="8"/>
    <n v="152"/>
    <n v="1824"/>
    <x v="0"/>
    <b v="0"/>
    <b v="0"/>
    <b v="0"/>
    <x v="0"/>
    <b v="1"/>
  </r>
  <r>
    <s v="S-43b6e9"/>
    <s v="A-bbc346"/>
    <d v="2024-12-13T00:00:00"/>
    <m/>
    <x v="0"/>
    <n v="27"/>
    <n v="5373"/>
    <n v="64476"/>
    <x v="0"/>
    <b v="0"/>
    <b v="0"/>
    <b v="0"/>
    <x v="0"/>
    <b v="1"/>
  </r>
  <r>
    <s v="S-eec4d5"/>
    <s v="A-0532a9"/>
    <d v="2024-12-10T00:00:00"/>
    <m/>
    <x v="2"/>
    <n v="19"/>
    <n v="361"/>
    <n v="4332"/>
    <x v="0"/>
    <b v="0"/>
    <b v="0"/>
    <b v="0"/>
    <x v="1"/>
    <b v="1"/>
  </r>
  <r>
    <s v="S-7ac30a"/>
    <s v="A-54ecc2"/>
    <d v="2024-10-16T00:00:00"/>
    <m/>
    <x v="0"/>
    <n v="5"/>
    <n v="995"/>
    <n v="11940"/>
    <x v="0"/>
    <b v="0"/>
    <b v="0"/>
    <b v="0"/>
    <x v="1"/>
    <b v="1"/>
  </r>
  <r>
    <s v="S-c696fa"/>
    <s v="A-db5e9e"/>
    <d v="2024-11-12T00:00:00"/>
    <m/>
    <x v="2"/>
    <n v="9"/>
    <n v="171"/>
    <n v="2052"/>
    <x v="0"/>
    <b v="0"/>
    <b v="0"/>
    <b v="0"/>
    <x v="0"/>
    <b v="1"/>
  </r>
  <r>
    <s v="S-86ed20"/>
    <s v="A-3f9cc0"/>
    <d v="2024-07-25T00:00:00"/>
    <m/>
    <x v="0"/>
    <n v="22"/>
    <n v="4378"/>
    <n v="52536"/>
    <x v="0"/>
    <b v="0"/>
    <b v="0"/>
    <b v="0"/>
    <x v="0"/>
    <b v="0"/>
  </r>
  <r>
    <s v="S-dda681"/>
    <s v="A-8bde0c"/>
    <d v="2024-12-21T00:00:00"/>
    <m/>
    <x v="1"/>
    <n v="12"/>
    <n v="588"/>
    <n v="7056"/>
    <x v="0"/>
    <b v="0"/>
    <b v="0"/>
    <b v="0"/>
    <x v="0"/>
    <b v="0"/>
  </r>
  <r>
    <s v="S-88d746"/>
    <s v="A-0aaf6e"/>
    <d v="2024-12-26T00:00:00"/>
    <m/>
    <x v="0"/>
    <n v="18"/>
    <n v="3582"/>
    <n v="42984"/>
    <x v="0"/>
    <b v="0"/>
    <b v="0"/>
    <b v="0"/>
    <x v="0"/>
    <b v="1"/>
  </r>
  <r>
    <s v="S-fc01ba"/>
    <s v="A-ba6516"/>
    <d v="2024-09-14T00:00:00"/>
    <m/>
    <x v="1"/>
    <n v="35"/>
    <n v="0"/>
    <n v="0"/>
    <x v="1"/>
    <b v="0"/>
    <b v="1"/>
    <b v="0"/>
    <x v="0"/>
    <b v="1"/>
  </r>
  <r>
    <s v="S-0586ad"/>
    <s v="A-7920cc"/>
    <d v="2024-07-28T00:00:00"/>
    <m/>
    <x v="0"/>
    <n v="39"/>
    <n v="7761"/>
    <n v="93132"/>
    <x v="0"/>
    <b v="0"/>
    <b v="0"/>
    <b v="0"/>
    <x v="0"/>
    <b v="1"/>
  </r>
  <r>
    <s v="S-24631a"/>
    <s v="A-4d1e75"/>
    <d v="2024-09-07T00:00:00"/>
    <m/>
    <x v="2"/>
    <n v="20"/>
    <n v="380"/>
    <n v="4560"/>
    <x v="0"/>
    <b v="0"/>
    <b v="0"/>
    <b v="0"/>
    <x v="0"/>
    <b v="1"/>
  </r>
  <r>
    <s v="S-3d0e5c"/>
    <s v="A-dcc2f0"/>
    <d v="2023-11-22T00:00:00"/>
    <m/>
    <x v="0"/>
    <n v="19"/>
    <n v="0"/>
    <n v="0"/>
    <x v="1"/>
    <b v="0"/>
    <b v="0"/>
    <b v="0"/>
    <x v="0"/>
    <b v="1"/>
  </r>
  <r>
    <s v="S-519509"/>
    <s v="A-1ac5e0"/>
    <d v="2024-11-15T00:00:00"/>
    <m/>
    <x v="2"/>
    <n v="33"/>
    <n v="627"/>
    <n v="7524"/>
    <x v="0"/>
    <b v="0"/>
    <b v="0"/>
    <b v="0"/>
    <x v="1"/>
    <b v="0"/>
  </r>
  <r>
    <s v="S-8b9deb"/>
    <s v="A-6c093d"/>
    <d v="2024-09-12T00:00:00"/>
    <d v="2024-11-01T00:00:00"/>
    <x v="1"/>
    <n v="7"/>
    <n v="343"/>
    <n v="4116"/>
    <x v="0"/>
    <b v="0"/>
    <b v="0"/>
    <b v="1"/>
    <x v="0"/>
    <b v="1"/>
  </r>
  <r>
    <s v="S-31178d"/>
    <s v="A-b7ef83"/>
    <d v="2024-06-29T00:00:00"/>
    <m/>
    <x v="1"/>
    <n v="26"/>
    <n v="1274"/>
    <n v="15288"/>
    <x v="0"/>
    <b v="0"/>
    <b v="0"/>
    <b v="0"/>
    <x v="1"/>
    <b v="1"/>
  </r>
  <r>
    <s v="S-b29d83"/>
    <s v="A-51ec1b"/>
    <d v="2024-02-10T00:00:00"/>
    <m/>
    <x v="2"/>
    <n v="11"/>
    <n v="209"/>
    <n v="2508"/>
    <x v="0"/>
    <b v="0"/>
    <b v="0"/>
    <b v="0"/>
    <x v="1"/>
    <b v="1"/>
  </r>
  <r>
    <s v="S-a384d2"/>
    <s v="A-d62e02"/>
    <d v="2024-12-10T00:00:00"/>
    <m/>
    <x v="0"/>
    <n v="21"/>
    <n v="4179"/>
    <n v="50148"/>
    <x v="0"/>
    <b v="0"/>
    <b v="0"/>
    <b v="0"/>
    <x v="0"/>
    <b v="1"/>
  </r>
  <r>
    <s v="S-a61485"/>
    <s v="A-d922bf"/>
    <d v="2023-11-21T00:00:00"/>
    <m/>
    <x v="0"/>
    <n v="32"/>
    <n v="6368"/>
    <n v="76416"/>
    <x v="0"/>
    <b v="0"/>
    <b v="0"/>
    <b v="0"/>
    <x v="0"/>
    <b v="1"/>
  </r>
  <r>
    <s v="S-d1f12e"/>
    <s v="A-3a5ad8"/>
    <d v="2024-02-15T00:00:00"/>
    <m/>
    <x v="0"/>
    <n v="31"/>
    <n v="6169"/>
    <n v="74028"/>
    <x v="0"/>
    <b v="0"/>
    <b v="0"/>
    <b v="0"/>
    <x v="0"/>
    <b v="1"/>
  </r>
  <r>
    <s v="S-021985"/>
    <s v="A-66224b"/>
    <d v="2024-12-22T00:00:00"/>
    <d v="2024-12-30T00:00:00"/>
    <x v="0"/>
    <n v="92"/>
    <n v="18308"/>
    <n v="219696"/>
    <x v="0"/>
    <b v="0"/>
    <b v="0"/>
    <b v="1"/>
    <x v="0"/>
    <b v="0"/>
  </r>
  <r>
    <s v="S-6cb472"/>
    <s v="A-922109"/>
    <d v="2024-09-27T00:00:00"/>
    <m/>
    <x v="1"/>
    <n v="8"/>
    <n v="392"/>
    <n v="4704"/>
    <x v="0"/>
    <b v="0"/>
    <b v="0"/>
    <b v="0"/>
    <x v="1"/>
    <b v="1"/>
  </r>
  <r>
    <s v="S-fdb8f1"/>
    <s v="A-09316c"/>
    <d v="2024-09-23T00:00:00"/>
    <m/>
    <x v="0"/>
    <n v="70"/>
    <n v="13930"/>
    <n v="167160"/>
    <x v="0"/>
    <b v="0"/>
    <b v="0"/>
    <b v="0"/>
    <x v="1"/>
    <b v="1"/>
  </r>
  <r>
    <s v="S-d9d52b"/>
    <s v="A-22d9d2"/>
    <d v="2024-08-09T00:00:00"/>
    <m/>
    <x v="1"/>
    <n v="30"/>
    <n v="1470"/>
    <n v="17640"/>
    <x v="0"/>
    <b v="0"/>
    <b v="0"/>
    <b v="0"/>
    <x v="1"/>
    <b v="1"/>
  </r>
  <r>
    <s v="S-6754a4"/>
    <s v="A-1f559b"/>
    <d v="2024-10-17T00:00:00"/>
    <m/>
    <x v="2"/>
    <n v="10"/>
    <n v="190"/>
    <n v="2280"/>
    <x v="0"/>
    <b v="0"/>
    <b v="0"/>
    <b v="0"/>
    <x v="1"/>
    <b v="0"/>
  </r>
  <r>
    <s v="S-b11cdb"/>
    <s v="A-05d3b3"/>
    <d v="2024-08-05T00:00:00"/>
    <d v="2024-08-12T00:00:00"/>
    <x v="2"/>
    <n v="24"/>
    <n v="456"/>
    <n v="5472"/>
    <x v="0"/>
    <b v="0"/>
    <b v="0"/>
    <b v="1"/>
    <x v="1"/>
    <b v="1"/>
  </r>
  <r>
    <s v="S-a84e7f"/>
    <s v="A-e89151"/>
    <d v="2023-11-14T00:00:00"/>
    <m/>
    <x v="0"/>
    <n v="8"/>
    <n v="1592"/>
    <n v="19104"/>
    <x v="0"/>
    <b v="0"/>
    <b v="0"/>
    <b v="0"/>
    <x v="1"/>
    <b v="1"/>
  </r>
  <r>
    <s v="S-4f3f73"/>
    <s v="A-1b9609"/>
    <d v="2024-08-04T00:00:00"/>
    <d v="2024-08-12T00:00:00"/>
    <x v="1"/>
    <n v="4"/>
    <n v="196"/>
    <n v="2352"/>
    <x v="0"/>
    <b v="0"/>
    <b v="0"/>
    <b v="1"/>
    <x v="1"/>
    <b v="1"/>
  </r>
  <r>
    <s v="S-164594"/>
    <s v="A-c42f1f"/>
    <d v="2024-10-26T00:00:00"/>
    <m/>
    <x v="2"/>
    <n v="15"/>
    <n v="285"/>
    <n v="3420"/>
    <x v="0"/>
    <b v="0"/>
    <b v="0"/>
    <b v="0"/>
    <x v="1"/>
    <b v="0"/>
  </r>
  <r>
    <s v="S-aef18a"/>
    <s v="A-4a267b"/>
    <d v="2024-11-06T00:00:00"/>
    <m/>
    <x v="1"/>
    <n v="25"/>
    <n v="0"/>
    <n v="0"/>
    <x v="1"/>
    <b v="1"/>
    <b v="0"/>
    <b v="0"/>
    <x v="1"/>
    <b v="1"/>
  </r>
  <r>
    <s v="S-16dc40"/>
    <s v="A-ce550d"/>
    <d v="2024-11-16T00:00:00"/>
    <m/>
    <x v="1"/>
    <n v="51"/>
    <n v="2499"/>
    <n v="29988"/>
    <x v="0"/>
    <b v="1"/>
    <b v="0"/>
    <b v="0"/>
    <x v="0"/>
    <b v="1"/>
  </r>
  <r>
    <s v="S-a8299c"/>
    <s v="A-e60f9d"/>
    <d v="2024-12-03T00:00:00"/>
    <m/>
    <x v="0"/>
    <n v="29"/>
    <n v="5771"/>
    <n v="69252"/>
    <x v="0"/>
    <b v="0"/>
    <b v="0"/>
    <b v="0"/>
    <x v="0"/>
    <b v="1"/>
  </r>
  <r>
    <s v="S-842582"/>
    <s v="A-104f1a"/>
    <d v="2024-09-24T00:00:00"/>
    <m/>
    <x v="1"/>
    <n v="45"/>
    <n v="0"/>
    <n v="0"/>
    <x v="1"/>
    <b v="0"/>
    <b v="0"/>
    <b v="0"/>
    <x v="1"/>
    <b v="1"/>
  </r>
  <r>
    <s v="S-6956dc"/>
    <s v="A-40906c"/>
    <d v="2024-06-06T00:00:00"/>
    <m/>
    <x v="1"/>
    <n v="92"/>
    <n v="4508"/>
    <n v="54096"/>
    <x v="0"/>
    <b v="0"/>
    <b v="0"/>
    <b v="0"/>
    <x v="1"/>
    <b v="1"/>
  </r>
  <r>
    <s v="S-2aad81"/>
    <s v="A-700ade"/>
    <d v="2024-11-25T00:00:00"/>
    <m/>
    <x v="2"/>
    <n v="7"/>
    <n v="133"/>
    <n v="1596"/>
    <x v="0"/>
    <b v="0"/>
    <b v="0"/>
    <b v="0"/>
    <x v="1"/>
    <b v="1"/>
  </r>
  <r>
    <s v="S-f09511"/>
    <s v="A-4437e4"/>
    <d v="2024-05-14T00:00:00"/>
    <m/>
    <x v="0"/>
    <n v="3"/>
    <n v="597"/>
    <n v="7164"/>
    <x v="0"/>
    <b v="1"/>
    <b v="0"/>
    <b v="0"/>
    <x v="0"/>
    <b v="1"/>
  </r>
  <r>
    <s v="S-52d03a"/>
    <s v="A-342303"/>
    <d v="2024-11-30T00:00:00"/>
    <m/>
    <x v="0"/>
    <n v="10"/>
    <n v="0"/>
    <n v="0"/>
    <x v="1"/>
    <b v="0"/>
    <b v="0"/>
    <b v="0"/>
    <x v="1"/>
    <b v="1"/>
  </r>
  <r>
    <s v="S-70b537"/>
    <s v="A-526d93"/>
    <d v="2024-09-26T00:00:00"/>
    <m/>
    <x v="0"/>
    <n v="43"/>
    <n v="8557"/>
    <n v="102684"/>
    <x v="0"/>
    <b v="1"/>
    <b v="0"/>
    <b v="0"/>
    <x v="1"/>
    <b v="0"/>
  </r>
  <r>
    <s v="S-8e7d28"/>
    <s v="A-7f6b86"/>
    <d v="2024-07-05T00:00:00"/>
    <m/>
    <x v="1"/>
    <n v="45"/>
    <n v="0"/>
    <n v="0"/>
    <x v="1"/>
    <b v="0"/>
    <b v="0"/>
    <b v="0"/>
    <x v="0"/>
    <b v="1"/>
  </r>
  <r>
    <s v="S-3128b4"/>
    <s v="A-30b4ca"/>
    <d v="2024-05-27T00:00:00"/>
    <m/>
    <x v="0"/>
    <n v="86"/>
    <n v="17114"/>
    <n v="205368"/>
    <x v="0"/>
    <b v="0"/>
    <b v="0"/>
    <b v="0"/>
    <x v="0"/>
    <b v="0"/>
  </r>
  <r>
    <s v="S-ce9977"/>
    <s v="A-42e5e1"/>
    <d v="2024-08-02T00:00:00"/>
    <m/>
    <x v="0"/>
    <n v="53"/>
    <n v="0"/>
    <n v="0"/>
    <x v="1"/>
    <b v="1"/>
    <b v="0"/>
    <b v="0"/>
    <x v="0"/>
    <b v="1"/>
  </r>
  <r>
    <s v="S-16486d"/>
    <s v="A-0651a4"/>
    <d v="2024-12-15T00:00:00"/>
    <m/>
    <x v="1"/>
    <n v="16"/>
    <n v="784"/>
    <n v="9408"/>
    <x v="0"/>
    <b v="0"/>
    <b v="0"/>
    <b v="0"/>
    <x v="0"/>
    <b v="1"/>
  </r>
  <r>
    <s v="S-c5835c"/>
    <s v="A-812c5b"/>
    <d v="2024-06-25T00:00:00"/>
    <m/>
    <x v="2"/>
    <n v="55"/>
    <n v="0"/>
    <n v="0"/>
    <x v="1"/>
    <b v="0"/>
    <b v="0"/>
    <b v="0"/>
    <x v="0"/>
    <b v="1"/>
  </r>
  <r>
    <s v="S-890baf"/>
    <s v="A-6e7827"/>
    <d v="2024-04-22T00:00:00"/>
    <m/>
    <x v="1"/>
    <n v="3"/>
    <n v="147"/>
    <n v="1764"/>
    <x v="0"/>
    <b v="0"/>
    <b v="0"/>
    <b v="0"/>
    <x v="0"/>
    <b v="1"/>
  </r>
  <r>
    <s v="S-ec0efa"/>
    <s v="A-45ce7a"/>
    <d v="2024-04-04T00:00:00"/>
    <m/>
    <x v="2"/>
    <n v="22"/>
    <n v="418"/>
    <n v="5016"/>
    <x v="0"/>
    <b v="0"/>
    <b v="0"/>
    <b v="0"/>
    <x v="0"/>
    <b v="1"/>
  </r>
  <r>
    <s v="S-09ada1"/>
    <s v="A-87aa7b"/>
    <d v="2024-11-23T00:00:00"/>
    <m/>
    <x v="2"/>
    <n v="24"/>
    <n v="456"/>
    <n v="5472"/>
    <x v="0"/>
    <b v="0"/>
    <b v="0"/>
    <b v="0"/>
    <x v="1"/>
    <b v="1"/>
  </r>
  <r>
    <s v="S-2ecaea"/>
    <s v="A-756192"/>
    <d v="2024-06-28T00:00:00"/>
    <m/>
    <x v="0"/>
    <n v="25"/>
    <n v="4975"/>
    <n v="59700"/>
    <x v="0"/>
    <b v="0"/>
    <b v="0"/>
    <b v="0"/>
    <x v="0"/>
    <b v="1"/>
  </r>
  <r>
    <s v="S-0d86a4"/>
    <s v="A-700ade"/>
    <d v="2024-11-11T00:00:00"/>
    <m/>
    <x v="1"/>
    <n v="12"/>
    <n v="588"/>
    <n v="7056"/>
    <x v="0"/>
    <b v="0"/>
    <b v="0"/>
    <b v="0"/>
    <x v="0"/>
    <b v="0"/>
  </r>
  <r>
    <s v="S-a2f231"/>
    <s v="A-1f559b"/>
    <d v="2024-04-21T00:00:00"/>
    <m/>
    <x v="1"/>
    <n v="59"/>
    <n v="2891"/>
    <n v="34692"/>
    <x v="0"/>
    <b v="0"/>
    <b v="0"/>
    <b v="0"/>
    <x v="0"/>
    <b v="0"/>
  </r>
  <r>
    <s v="S-dbcf87"/>
    <s v="A-a8d89d"/>
    <d v="2024-09-26T00:00:00"/>
    <m/>
    <x v="0"/>
    <n v="13"/>
    <n v="2587"/>
    <n v="31044"/>
    <x v="0"/>
    <b v="0"/>
    <b v="0"/>
    <b v="0"/>
    <x v="0"/>
    <b v="1"/>
  </r>
  <r>
    <s v="S-d6e421"/>
    <s v="A-fd7ad3"/>
    <d v="2024-11-17T00:00:00"/>
    <m/>
    <x v="1"/>
    <n v="10"/>
    <n v="0"/>
    <n v="0"/>
    <x v="1"/>
    <b v="0"/>
    <b v="0"/>
    <b v="0"/>
    <x v="1"/>
    <b v="1"/>
  </r>
  <r>
    <s v="S-50815c"/>
    <s v="A-e3bd71"/>
    <d v="2024-01-11T00:00:00"/>
    <m/>
    <x v="2"/>
    <n v="31"/>
    <n v="589"/>
    <n v="7068"/>
    <x v="0"/>
    <b v="0"/>
    <b v="0"/>
    <b v="0"/>
    <x v="0"/>
    <b v="1"/>
  </r>
  <r>
    <s v="S-25ec8c"/>
    <s v="A-6965e1"/>
    <d v="2024-12-05T00:00:00"/>
    <m/>
    <x v="1"/>
    <n v="16"/>
    <n v="0"/>
    <n v="0"/>
    <x v="1"/>
    <b v="0"/>
    <b v="0"/>
    <b v="0"/>
    <x v="0"/>
    <b v="0"/>
  </r>
  <r>
    <s v="S-180b6c"/>
    <s v="A-f3ff05"/>
    <d v="2024-12-02T00:00:00"/>
    <m/>
    <x v="2"/>
    <n v="30"/>
    <n v="570"/>
    <n v="6840"/>
    <x v="0"/>
    <b v="0"/>
    <b v="0"/>
    <b v="0"/>
    <x v="0"/>
    <b v="1"/>
  </r>
  <r>
    <s v="S-ae20d8"/>
    <s v="A-9289f6"/>
    <d v="2023-07-04T00:00:00"/>
    <d v="2023-07-09T00:00:00"/>
    <x v="2"/>
    <n v="12"/>
    <n v="228"/>
    <n v="2736"/>
    <x v="0"/>
    <b v="1"/>
    <b v="0"/>
    <b v="1"/>
    <x v="1"/>
    <b v="1"/>
  </r>
  <r>
    <s v="S-cb3c72"/>
    <s v="A-69b156"/>
    <d v="2024-06-16T00:00:00"/>
    <m/>
    <x v="0"/>
    <n v="13"/>
    <n v="2587"/>
    <n v="31044"/>
    <x v="0"/>
    <b v="0"/>
    <b v="0"/>
    <b v="0"/>
    <x v="0"/>
    <b v="1"/>
  </r>
  <r>
    <s v="S-7bb339"/>
    <s v="A-fa3095"/>
    <d v="2023-12-06T00:00:00"/>
    <m/>
    <x v="0"/>
    <n v="70"/>
    <n v="13930"/>
    <n v="167160"/>
    <x v="0"/>
    <b v="0"/>
    <b v="0"/>
    <b v="0"/>
    <x v="1"/>
    <b v="1"/>
  </r>
  <r>
    <s v="S-374d5f"/>
    <s v="A-fabe19"/>
    <d v="2024-11-24T00:00:00"/>
    <m/>
    <x v="0"/>
    <n v="5"/>
    <n v="995"/>
    <n v="11940"/>
    <x v="0"/>
    <b v="0"/>
    <b v="0"/>
    <b v="0"/>
    <x v="1"/>
    <b v="1"/>
  </r>
  <r>
    <s v="S-2f7250"/>
    <s v="A-3ce5b8"/>
    <d v="2024-03-05T00:00:00"/>
    <m/>
    <x v="1"/>
    <n v="36"/>
    <n v="1764"/>
    <n v="21168"/>
    <x v="0"/>
    <b v="0"/>
    <b v="0"/>
    <b v="0"/>
    <x v="0"/>
    <b v="1"/>
  </r>
  <r>
    <s v="S-1d081a"/>
    <s v="A-ad3abd"/>
    <d v="2023-05-10T00:00:00"/>
    <d v="2024-07-20T00:00:00"/>
    <x v="1"/>
    <n v="44"/>
    <n v="2156"/>
    <n v="25872"/>
    <x v="0"/>
    <b v="0"/>
    <b v="0"/>
    <b v="1"/>
    <x v="1"/>
    <b v="1"/>
  </r>
  <r>
    <s v="S-0e9f04"/>
    <s v="A-7c83a1"/>
    <d v="2024-05-24T00:00:00"/>
    <m/>
    <x v="0"/>
    <n v="12"/>
    <n v="2388"/>
    <n v="28656"/>
    <x v="0"/>
    <b v="0"/>
    <b v="0"/>
    <b v="0"/>
    <x v="0"/>
    <b v="1"/>
  </r>
  <r>
    <s v="S-d7163c"/>
    <s v="A-118d55"/>
    <d v="2024-12-27T00:00:00"/>
    <m/>
    <x v="1"/>
    <n v="11"/>
    <n v="539"/>
    <n v="6468"/>
    <x v="0"/>
    <b v="0"/>
    <b v="1"/>
    <b v="0"/>
    <x v="0"/>
    <b v="1"/>
  </r>
  <r>
    <s v="S-3bdedd"/>
    <s v="A-378b99"/>
    <d v="2024-11-03T00:00:00"/>
    <m/>
    <x v="2"/>
    <n v="59"/>
    <n v="1121"/>
    <n v="13452"/>
    <x v="0"/>
    <b v="0"/>
    <b v="0"/>
    <b v="0"/>
    <x v="0"/>
    <b v="1"/>
  </r>
  <r>
    <s v="S-14a95a"/>
    <s v="A-ffc04f"/>
    <d v="2024-10-22T00:00:00"/>
    <m/>
    <x v="1"/>
    <n v="20"/>
    <n v="980"/>
    <n v="11760"/>
    <x v="0"/>
    <b v="0"/>
    <b v="0"/>
    <b v="0"/>
    <x v="0"/>
    <b v="1"/>
  </r>
  <r>
    <s v="S-f15008"/>
    <s v="A-0aaf6e"/>
    <d v="2024-12-07T00:00:00"/>
    <d v="2024-12-15T00:00:00"/>
    <x v="1"/>
    <n v="12"/>
    <n v="588"/>
    <n v="7056"/>
    <x v="0"/>
    <b v="0"/>
    <b v="0"/>
    <b v="1"/>
    <x v="1"/>
    <b v="0"/>
  </r>
  <r>
    <s v="S-c76699"/>
    <s v="A-f9cc74"/>
    <d v="2024-11-26T00:00:00"/>
    <m/>
    <x v="2"/>
    <n v="30"/>
    <n v="570"/>
    <n v="6840"/>
    <x v="0"/>
    <b v="0"/>
    <b v="0"/>
    <b v="0"/>
    <x v="0"/>
    <b v="0"/>
  </r>
  <r>
    <s v="S-7456c5"/>
    <s v="A-8ae3fc"/>
    <d v="2024-09-09T00:00:00"/>
    <m/>
    <x v="2"/>
    <n v="9"/>
    <n v="171"/>
    <n v="2052"/>
    <x v="0"/>
    <b v="0"/>
    <b v="0"/>
    <b v="0"/>
    <x v="0"/>
    <b v="1"/>
  </r>
  <r>
    <s v="S-947b62"/>
    <s v="A-34ea2f"/>
    <d v="2024-12-25T00:00:00"/>
    <m/>
    <x v="0"/>
    <n v="16"/>
    <n v="3184"/>
    <n v="38208"/>
    <x v="0"/>
    <b v="0"/>
    <b v="0"/>
    <b v="0"/>
    <x v="1"/>
    <b v="0"/>
  </r>
  <r>
    <s v="S-7b2efe"/>
    <s v="A-af0cd2"/>
    <d v="2024-09-27T00:00:00"/>
    <m/>
    <x v="2"/>
    <n v="19"/>
    <n v="361"/>
    <n v="4332"/>
    <x v="0"/>
    <b v="0"/>
    <b v="0"/>
    <b v="0"/>
    <x v="0"/>
    <b v="0"/>
  </r>
  <r>
    <s v="S-92421b"/>
    <s v="A-4e631b"/>
    <d v="2024-11-12T00:00:00"/>
    <m/>
    <x v="1"/>
    <n v="22"/>
    <n v="0"/>
    <n v="0"/>
    <x v="1"/>
    <b v="0"/>
    <b v="0"/>
    <b v="0"/>
    <x v="0"/>
    <b v="1"/>
  </r>
  <r>
    <s v="S-ede618"/>
    <s v="A-463db0"/>
    <d v="2024-12-15T00:00:00"/>
    <m/>
    <x v="1"/>
    <n v="15"/>
    <n v="735"/>
    <n v="8820"/>
    <x v="0"/>
    <b v="0"/>
    <b v="0"/>
    <b v="0"/>
    <x v="1"/>
    <b v="1"/>
  </r>
  <r>
    <s v="S-65b963"/>
    <s v="A-e888d1"/>
    <d v="2024-03-04T00:00:00"/>
    <m/>
    <x v="2"/>
    <n v="22"/>
    <n v="0"/>
    <n v="0"/>
    <x v="1"/>
    <b v="0"/>
    <b v="0"/>
    <b v="0"/>
    <x v="0"/>
    <b v="1"/>
  </r>
  <r>
    <s v="S-adbb41"/>
    <s v="A-9289f6"/>
    <d v="2024-12-11T00:00:00"/>
    <m/>
    <x v="0"/>
    <n v="24"/>
    <n v="0"/>
    <n v="0"/>
    <x v="1"/>
    <b v="0"/>
    <b v="0"/>
    <b v="0"/>
    <x v="1"/>
    <b v="0"/>
  </r>
  <r>
    <s v="S-ce6528"/>
    <s v="A-4a4c2d"/>
    <d v="2023-07-04T00:00:00"/>
    <m/>
    <x v="2"/>
    <n v="54"/>
    <n v="1026"/>
    <n v="12312"/>
    <x v="0"/>
    <b v="0"/>
    <b v="0"/>
    <b v="0"/>
    <x v="1"/>
    <b v="1"/>
  </r>
  <r>
    <s v="S-c45df0"/>
    <s v="A-a45270"/>
    <d v="2024-11-15T00:00:00"/>
    <m/>
    <x v="0"/>
    <n v="3"/>
    <n v="597"/>
    <n v="7164"/>
    <x v="0"/>
    <b v="0"/>
    <b v="0"/>
    <b v="0"/>
    <x v="0"/>
    <b v="0"/>
  </r>
  <r>
    <s v="S-faee8b"/>
    <s v="A-56962b"/>
    <d v="2024-05-15T00:00:00"/>
    <m/>
    <x v="1"/>
    <n v="163"/>
    <n v="0"/>
    <n v="0"/>
    <x v="1"/>
    <b v="0"/>
    <b v="0"/>
    <b v="0"/>
    <x v="0"/>
    <b v="0"/>
  </r>
  <r>
    <s v="S-9bb9da"/>
    <s v="A-0be015"/>
    <d v="2024-12-24T00:00:00"/>
    <m/>
    <x v="1"/>
    <n v="26"/>
    <n v="0"/>
    <n v="0"/>
    <x v="1"/>
    <b v="0"/>
    <b v="0"/>
    <b v="0"/>
    <x v="0"/>
    <b v="1"/>
  </r>
  <r>
    <s v="S-913134"/>
    <s v="A-bbc346"/>
    <d v="2024-11-29T00:00:00"/>
    <m/>
    <x v="2"/>
    <n v="40"/>
    <n v="760"/>
    <n v="9120"/>
    <x v="0"/>
    <b v="0"/>
    <b v="0"/>
    <b v="0"/>
    <x v="0"/>
    <b v="1"/>
  </r>
  <r>
    <s v="S-0ada66"/>
    <s v="A-c4ea60"/>
    <d v="2024-07-29T00:00:00"/>
    <m/>
    <x v="0"/>
    <n v="18"/>
    <n v="3582"/>
    <n v="42984"/>
    <x v="0"/>
    <b v="0"/>
    <b v="0"/>
    <b v="0"/>
    <x v="0"/>
    <b v="0"/>
  </r>
  <r>
    <s v="S-75fe32"/>
    <s v="A-3793ee"/>
    <d v="2024-03-13T00:00:00"/>
    <m/>
    <x v="1"/>
    <n v="49"/>
    <n v="2401"/>
    <n v="28812"/>
    <x v="0"/>
    <b v="0"/>
    <b v="0"/>
    <b v="0"/>
    <x v="1"/>
    <b v="1"/>
  </r>
  <r>
    <s v="S-1dfdd0"/>
    <s v="A-712426"/>
    <d v="2024-12-30T00:00:00"/>
    <m/>
    <x v="2"/>
    <n v="13"/>
    <n v="247"/>
    <n v="2964"/>
    <x v="0"/>
    <b v="0"/>
    <b v="0"/>
    <b v="0"/>
    <x v="0"/>
    <b v="1"/>
  </r>
  <r>
    <s v="S-4815a3"/>
    <s v="A-19b2c8"/>
    <d v="2023-08-01T00:00:00"/>
    <m/>
    <x v="2"/>
    <n v="22"/>
    <n v="418"/>
    <n v="5016"/>
    <x v="0"/>
    <b v="0"/>
    <b v="0"/>
    <b v="0"/>
    <x v="0"/>
    <b v="1"/>
  </r>
  <r>
    <s v="S-691d69"/>
    <s v="A-cea1f0"/>
    <d v="2024-10-18T00:00:00"/>
    <m/>
    <x v="0"/>
    <n v="22"/>
    <n v="4378"/>
    <n v="52536"/>
    <x v="0"/>
    <b v="1"/>
    <b v="0"/>
    <b v="0"/>
    <x v="0"/>
    <b v="1"/>
  </r>
  <r>
    <s v="S-e90e70"/>
    <s v="A-f51f16"/>
    <d v="2024-08-27T00:00:00"/>
    <m/>
    <x v="2"/>
    <n v="2"/>
    <n v="38"/>
    <n v="456"/>
    <x v="0"/>
    <b v="0"/>
    <b v="0"/>
    <b v="0"/>
    <x v="1"/>
    <b v="1"/>
  </r>
  <r>
    <s v="S-8eb6df"/>
    <s v="A-c7ffc2"/>
    <d v="2024-02-17T00:00:00"/>
    <m/>
    <x v="0"/>
    <n v="30"/>
    <n v="5970"/>
    <n v="71640"/>
    <x v="0"/>
    <b v="0"/>
    <b v="0"/>
    <b v="0"/>
    <x v="0"/>
    <b v="1"/>
  </r>
  <r>
    <s v="S-4dae4f"/>
    <s v="A-6e08f3"/>
    <d v="2024-05-09T00:00:00"/>
    <m/>
    <x v="0"/>
    <n v="20"/>
    <n v="3980"/>
    <n v="47760"/>
    <x v="0"/>
    <b v="0"/>
    <b v="0"/>
    <b v="0"/>
    <x v="0"/>
    <b v="1"/>
  </r>
  <r>
    <s v="S-f4376f"/>
    <s v="A-9ee962"/>
    <d v="2024-05-21T00:00:00"/>
    <m/>
    <x v="2"/>
    <n v="9"/>
    <n v="171"/>
    <n v="2052"/>
    <x v="0"/>
    <b v="0"/>
    <b v="0"/>
    <b v="0"/>
    <x v="1"/>
    <b v="0"/>
  </r>
  <r>
    <s v="S-ce5e0e"/>
    <s v="A-158f4e"/>
    <d v="2023-09-17T00:00:00"/>
    <m/>
    <x v="1"/>
    <n v="61"/>
    <n v="2989"/>
    <n v="35868"/>
    <x v="0"/>
    <b v="0"/>
    <b v="0"/>
    <b v="0"/>
    <x v="1"/>
    <b v="1"/>
  </r>
  <r>
    <s v="S-5bc71c"/>
    <s v="A-d77f4c"/>
    <d v="2023-10-24T00:00:00"/>
    <d v="2024-02-19T00:00:00"/>
    <x v="2"/>
    <n v="8"/>
    <n v="152"/>
    <n v="1824"/>
    <x v="0"/>
    <b v="0"/>
    <b v="0"/>
    <b v="1"/>
    <x v="0"/>
    <b v="1"/>
  </r>
  <r>
    <s v="S-80af85"/>
    <s v="A-2edab2"/>
    <d v="2023-11-22T00:00:00"/>
    <m/>
    <x v="2"/>
    <n v="17"/>
    <n v="323"/>
    <n v="3876"/>
    <x v="0"/>
    <b v="0"/>
    <b v="0"/>
    <b v="0"/>
    <x v="1"/>
    <b v="1"/>
  </r>
  <r>
    <s v="S-9a115f"/>
    <s v="A-f5641b"/>
    <d v="2024-12-29T00:00:00"/>
    <m/>
    <x v="0"/>
    <n v="45"/>
    <n v="8955"/>
    <n v="107460"/>
    <x v="0"/>
    <b v="0"/>
    <b v="0"/>
    <b v="0"/>
    <x v="0"/>
    <b v="1"/>
  </r>
  <r>
    <s v="S-a959a3"/>
    <s v="A-ad3abd"/>
    <d v="2023-03-18T00:00:00"/>
    <m/>
    <x v="0"/>
    <n v="44"/>
    <n v="8756"/>
    <n v="105072"/>
    <x v="0"/>
    <b v="0"/>
    <b v="0"/>
    <b v="0"/>
    <x v="0"/>
    <b v="0"/>
  </r>
  <r>
    <s v="S-6def60"/>
    <s v="A-1e1b80"/>
    <d v="2023-10-11T00:00:00"/>
    <m/>
    <x v="2"/>
    <n v="50"/>
    <n v="950"/>
    <n v="11400"/>
    <x v="0"/>
    <b v="0"/>
    <b v="0"/>
    <b v="0"/>
    <x v="0"/>
    <b v="1"/>
  </r>
  <r>
    <s v="S-2a57b3"/>
    <s v="A-7e0a10"/>
    <d v="2024-06-29T00:00:00"/>
    <m/>
    <x v="2"/>
    <n v="46"/>
    <n v="874"/>
    <n v="10488"/>
    <x v="0"/>
    <b v="0"/>
    <b v="0"/>
    <b v="0"/>
    <x v="1"/>
    <b v="1"/>
  </r>
  <r>
    <s v="S-b39049"/>
    <s v="A-4e44e8"/>
    <d v="2024-11-08T00:00:00"/>
    <m/>
    <x v="1"/>
    <n v="18"/>
    <n v="0"/>
    <n v="0"/>
    <x v="1"/>
    <b v="0"/>
    <b v="0"/>
    <b v="0"/>
    <x v="0"/>
    <b v="1"/>
  </r>
  <r>
    <s v="S-802cc6"/>
    <s v="A-eafc6e"/>
    <d v="2023-11-15T00:00:00"/>
    <m/>
    <x v="0"/>
    <n v="34"/>
    <n v="6766"/>
    <n v="81192"/>
    <x v="0"/>
    <b v="0"/>
    <b v="0"/>
    <b v="0"/>
    <x v="1"/>
    <b v="1"/>
  </r>
  <r>
    <s v="S-19c44c"/>
    <s v="A-8b0451"/>
    <d v="2024-12-09T00:00:00"/>
    <m/>
    <x v="2"/>
    <n v="41"/>
    <n v="779"/>
    <n v="9348"/>
    <x v="0"/>
    <b v="0"/>
    <b v="0"/>
    <b v="0"/>
    <x v="0"/>
    <b v="1"/>
  </r>
  <r>
    <s v="S-396a83"/>
    <s v="A-1b7577"/>
    <d v="2024-11-28T00:00:00"/>
    <m/>
    <x v="0"/>
    <n v="4"/>
    <n v="796"/>
    <n v="9552"/>
    <x v="0"/>
    <b v="0"/>
    <b v="0"/>
    <b v="0"/>
    <x v="0"/>
    <b v="1"/>
  </r>
  <r>
    <s v="S-d1aacf"/>
    <s v="A-c70870"/>
    <d v="2024-12-06T00:00:00"/>
    <m/>
    <x v="2"/>
    <n v="31"/>
    <n v="589"/>
    <n v="7068"/>
    <x v="0"/>
    <b v="1"/>
    <b v="0"/>
    <b v="0"/>
    <x v="1"/>
    <b v="1"/>
  </r>
  <r>
    <s v="S-2beaee"/>
    <s v="A-ffdfd5"/>
    <d v="2024-09-14T00:00:00"/>
    <m/>
    <x v="1"/>
    <n v="92"/>
    <n v="4508"/>
    <n v="54096"/>
    <x v="0"/>
    <b v="0"/>
    <b v="0"/>
    <b v="0"/>
    <x v="1"/>
    <b v="0"/>
  </r>
  <r>
    <s v="S-16e21f"/>
    <s v="A-82d8a6"/>
    <d v="2024-12-13T00:00:00"/>
    <m/>
    <x v="0"/>
    <n v="27"/>
    <n v="5373"/>
    <n v="64476"/>
    <x v="0"/>
    <b v="0"/>
    <b v="0"/>
    <b v="0"/>
    <x v="1"/>
    <b v="0"/>
  </r>
  <r>
    <s v="S-a918f3"/>
    <s v="A-d27f50"/>
    <d v="2024-12-05T00:00:00"/>
    <m/>
    <x v="0"/>
    <n v="44"/>
    <n v="8756"/>
    <n v="105072"/>
    <x v="0"/>
    <b v="0"/>
    <b v="0"/>
    <b v="0"/>
    <x v="0"/>
    <b v="1"/>
  </r>
  <r>
    <s v="S-b4b400"/>
    <s v="A-35083d"/>
    <d v="2024-04-16T00:00:00"/>
    <m/>
    <x v="1"/>
    <n v="19"/>
    <n v="931"/>
    <n v="11172"/>
    <x v="0"/>
    <b v="1"/>
    <b v="0"/>
    <b v="0"/>
    <x v="1"/>
    <b v="1"/>
  </r>
  <r>
    <s v="S-52699f"/>
    <s v="A-df10db"/>
    <d v="2023-08-25T00:00:00"/>
    <d v="2024-12-03T00:00:00"/>
    <x v="2"/>
    <n v="14"/>
    <n v="266"/>
    <n v="3192"/>
    <x v="0"/>
    <b v="0"/>
    <b v="0"/>
    <b v="1"/>
    <x v="0"/>
    <b v="1"/>
  </r>
  <r>
    <s v="S-52404a"/>
    <s v="A-cd458b"/>
    <d v="2024-10-26T00:00:00"/>
    <m/>
    <x v="2"/>
    <n v="26"/>
    <n v="494"/>
    <n v="5928"/>
    <x v="0"/>
    <b v="0"/>
    <b v="0"/>
    <b v="0"/>
    <x v="1"/>
    <b v="1"/>
  </r>
  <r>
    <s v="S-dacc80"/>
    <s v="A-6965e1"/>
    <d v="2024-12-30T00:00:00"/>
    <m/>
    <x v="2"/>
    <n v="13"/>
    <n v="247"/>
    <n v="2964"/>
    <x v="0"/>
    <b v="0"/>
    <b v="0"/>
    <b v="0"/>
    <x v="0"/>
    <b v="1"/>
  </r>
  <r>
    <s v="S-91c435"/>
    <s v="A-dfbd31"/>
    <d v="2024-12-09T00:00:00"/>
    <m/>
    <x v="2"/>
    <n v="14"/>
    <n v="266"/>
    <n v="3192"/>
    <x v="0"/>
    <b v="0"/>
    <b v="0"/>
    <b v="0"/>
    <x v="0"/>
    <b v="1"/>
  </r>
  <r>
    <s v="S-64d514"/>
    <s v="A-65aeb5"/>
    <d v="2024-09-06T00:00:00"/>
    <m/>
    <x v="0"/>
    <n v="56"/>
    <n v="11144"/>
    <n v="133728"/>
    <x v="0"/>
    <b v="0"/>
    <b v="0"/>
    <b v="0"/>
    <x v="1"/>
    <b v="0"/>
  </r>
  <r>
    <s v="S-006fed"/>
    <s v="A-ac9111"/>
    <d v="2023-10-09T00:00:00"/>
    <d v="2024-06-20T00:00:00"/>
    <x v="2"/>
    <n v="21"/>
    <n v="399"/>
    <n v="4788"/>
    <x v="0"/>
    <b v="0"/>
    <b v="0"/>
    <b v="1"/>
    <x v="0"/>
    <b v="1"/>
  </r>
  <r>
    <s v="S-2aafa6"/>
    <s v="A-bbc346"/>
    <d v="2024-10-03T00:00:00"/>
    <m/>
    <x v="0"/>
    <n v="19"/>
    <n v="3781"/>
    <n v="45372"/>
    <x v="0"/>
    <b v="0"/>
    <b v="0"/>
    <b v="0"/>
    <x v="1"/>
    <b v="1"/>
  </r>
  <r>
    <s v="S-1577c3"/>
    <s v="A-544d0a"/>
    <d v="2024-11-29T00:00:00"/>
    <m/>
    <x v="2"/>
    <n v="3"/>
    <n v="0"/>
    <n v="0"/>
    <x v="1"/>
    <b v="0"/>
    <b v="0"/>
    <b v="0"/>
    <x v="0"/>
    <b v="1"/>
  </r>
  <r>
    <s v="S-3ea3af"/>
    <s v="A-019782"/>
    <d v="2024-05-16T00:00:00"/>
    <m/>
    <x v="1"/>
    <n v="11"/>
    <n v="539"/>
    <n v="6468"/>
    <x v="0"/>
    <b v="0"/>
    <b v="0"/>
    <b v="0"/>
    <x v="0"/>
    <b v="0"/>
  </r>
  <r>
    <s v="S-615537"/>
    <s v="A-7f4db3"/>
    <d v="2024-03-30T00:00:00"/>
    <m/>
    <x v="1"/>
    <n v="16"/>
    <n v="784"/>
    <n v="9408"/>
    <x v="0"/>
    <b v="0"/>
    <b v="0"/>
    <b v="0"/>
    <x v="1"/>
    <b v="1"/>
  </r>
  <r>
    <s v="S-fc8463"/>
    <s v="A-4e44e8"/>
    <d v="2024-10-16T00:00:00"/>
    <m/>
    <x v="2"/>
    <n v="10"/>
    <n v="190"/>
    <n v="2280"/>
    <x v="0"/>
    <b v="0"/>
    <b v="0"/>
    <b v="0"/>
    <x v="1"/>
    <b v="1"/>
  </r>
  <r>
    <s v="S-8106d9"/>
    <s v="A-3a5ad8"/>
    <d v="2024-11-06T00:00:00"/>
    <m/>
    <x v="1"/>
    <n v="36"/>
    <n v="1764"/>
    <n v="21168"/>
    <x v="0"/>
    <b v="0"/>
    <b v="0"/>
    <b v="0"/>
    <x v="0"/>
    <b v="0"/>
  </r>
  <r>
    <s v="S-5b699e"/>
    <s v="A-b7b7b7"/>
    <d v="2024-09-16T00:00:00"/>
    <m/>
    <x v="2"/>
    <n v="24"/>
    <n v="456"/>
    <n v="5472"/>
    <x v="0"/>
    <b v="0"/>
    <b v="0"/>
    <b v="0"/>
    <x v="1"/>
    <b v="1"/>
  </r>
  <r>
    <s v="S-021297"/>
    <s v="A-5ed98d"/>
    <d v="2024-06-28T00:00:00"/>
    <m/>
    <x v="0"/>
    <n v="24"/>
    <n v="4776"/>
    <n v="57312"/>
    <x v="0"/>
    <b v="0"/>
    <b v="0"/>
    <b v="0"/>
    <x v="1"/>
    <b v="1"/>
  </r>
  <r>
    <s v="S-0f7a92"/>
    <s v="A-700ade"/>
    <d v="2024-12-23T00:00:00"/>
    <m/>
    <x v="1"/>
    <n v="1"/>
    <n v="49"/>
    <n v="588"/>
    <x v="0"/>
    <b v="0"/>
    <b v="0"/>
    <b v="0"/>
    <x v="0"/>
    <b v="0"/>
  </r>
  <r>
    <s v="S-85caaf"/>
    <s v="A-089363"/>
    <d v="2023-06-03T00:00:00"/>
    <m/>
    <x v="1"/>
    <n v="2"/>
    <n v="98"/>
    <n v="1176"/>
    <x v="0"/>
    <b v="1"/>
    <b v="0"/>
    <b v="0"/>
    <x v="1"/>
    <b v="1"/>
  </r>
  <r>
    <s v="S-d8a52e"/>
    <s v="A-cc102e"/>
    <d v="2024-11-19T00:00:00"/>
    <m/>
    <x v="0"/>
    <n v="15"/>
    <n v="2985"/>
    <n v="35820"/>
    <x v="0"/>
    <b v="0"/>
    <b v="0"/>
    <b v="0"/>
    <x v="0"/>
    <b v="1"/>
  </r>
  <r>
    <s v="S-7b3fd3"/>
    <s v="A-5a92e7"/>
    <d v="2024-07-08T00:00:00"/>
    <d v="2024-10-15T00:00:00"/>
    <x v="0"/>
    <n v="4"/>
    <n v="796"/>
    <n v="9552"/>
    <x v="0"/>
    <b v="0"/>
    <b v="0"/>
    <b v="1"/>
    <x v="1"/>
    <b v="1"/>
  </r>
  <r>
    <s v="S-9a1297"/>
    <s v="A-b11cd0"/>
    <d v="2024-07-20T00:00:00"/>
    <m/>
    <x v="1"/>
    <n v="26"/>
    <n v="1274"/>
    <n v="15288"/>
    <x v="0"/>
    <b v="0"/>
    <b v="0"/>
    <b v="0"/>
    <x v="1"/>
    <b v="1"/>
  </r>
  <r>
    <s v="S-858aa0"/>
    <s v="A-6da850"/>
    <d v="2024-10-09T00:00:00"/>
    <m/>
    <x v="0"/>
    <n v="25"/>
    <n v="4975"/>
    <n v="59700"/>
    <x v="0"/>
    <b v="0"/>
    <b v="0"/>
    <b v="0"/>
    <x v="1"/>
    <b v="0"/>
  </r>
  <r>
    <s v="S-8b345c"/>
    <s v="A-c43359"/>
    <d v="2024-12-10T00:00:00"/>
    <m/>
    <x v="1"/>
    <n v="38"/>
    <n v="0"/>
    <n v="0"/>
    <x v="1"/>
    <b v="0"/>
    <b v="1"/>
    <b v="0"/>
    <x v="0"/>
    <b v="1"/>
  </r>
  <r>
    <s v="S-456829"/>
    <s v="A-f92792"/>
    <d v="2024-07-07T00:00:00"/>
    <m/>
    <x v="1"/>
    <n v="26"/>
    <n v="1274"/>
    <n v="15288"/>
    <x v="0"/>
    <b v="0"/>
    <b v="0"/>
    <b v="0"/>
    <x v="1"/>
    <b v="0"/>
  </r>
  <r>
    <s v="S-c2cc5c"/>
    <s v="A-2bc93d"/>
    <d v="2023-11-24T00:00:00"/>
    <m/>
    <x v="0"/>
    <n v="20"/>
    <n v="3980"/>
    <n v="47760"/>
    <x v="0"/>
    <b v="0"/>
    <b v="0"/>
    <b v="0"/>
    <x v="1"/>
    <b v="1"/>
  </r>
  <r>
    <s v="S-2126cd"/>
    <s v="A-f45426"/>
    <d v="2024-12-29T00:00:00"/>
    <m/>
    <x v="1"/>
    <n v="9"/>
    <n v="441"/>
    <n v="5292"/>
    <x v="0"/>
    <b v="0"/>
    <b v="0"/>
    <b v="0"/>
    <x v="0"/>
    <b v="0"/>
  </r>
  <r>
    <s v="S-91ab2e"/>
    <s v="A-c62e55"/>
    <d v="2023-11-15T00:00:00"/>
    <m/>
    <x v="1"/>
    <n v="34"/>
    <n v="1666"/>
    <n v="19992"/>
    <x v="0"/>
    <b v="0"/>
    <b v="0"/>
    <b v="0"/>
    <x v="1"/>
    <b v="0"/>
  </r>
  <r>
    <s v="S-8cba1c"/>
    <s v="A-4814a3"/>
    <d v="2024-10-19T00:00:00"/>
    <m/>
    <x v="0"/>
    <n v="87"/>
    <n v="0"/>
    <n v="0"/>
    <x v="1"/>
    <b v="0"/>
    <b v="0"/>
    <b v="0"/>
    <x v="0"/>
    <b v="0"/>
  </r>
  <r>
    <s v="S-6ee525"/>
    <s v="A-9badbd"/>
    <d v="2024-09-05T00:00:00"/>
    <m/>
    <x v="0"/>
    <n v="23"/>
    <n v="4577"/>
    <n v="54924"/>
    <x v="0"/>
    <b v="0"/>
    <b v="0"/>
    <b v="0"/>
    <x v="1"/>
    <b v="1"/>
  </r>
  <r>
    <s v="S-400e62"/>
    <s v="A-0f3e88"/>
    <d v="2024-04-18T00:00:00"/>
    <m/>
    <x v="2"/>
    <n v="14"/>
    <n v="266"/>
    <n v="3192"/>
    <x v="0"/>
    <b v="0"/>
    <b v="0"/>
    <b v="0"/>
    <x v="1"/>
    <b v="0"/>
  </r>
  <r>
    <s v="S-5f2554"/>
    <s v="A-81edc3"/>
    <d v="2023-11-07T00:00:00"/>
    <m/>
    <x v="1"/>
    <n v="12"/>
    <n v="588"/>
    <n v="7056"/>
    <x v="0"/>
    <b v="0"/>
    <b v="0"/>
    <b v="0"/>
    <x v="0"/>
    <b v="0"/>
  </r>
  <r>
    <s v="S-877508"/>
    <s v="A-b3fe05"/>
    <d v="2024-06-06T00:00:00"/>
    <m/>
    <x v="1"/>
    <n v="11"/>
    <n v="0"/>
    <n v="0"/>
    <x v="1"/>
    <b v="0"/>
    <b v="0"/>
    <b v="0"/>
    <x v="1"/>
    <b v="1"/>
  </r>
  <r>
    <s v="S-37b367"/>
    <s v="A-a8d89d"/>
    <d v="2024-09-17T00:00:00"/>
    <m/>
    <x v="2"/>
    <n v="13"/>
    <n v="247"/>
    <n v="2964"/>
    <x v="0"/>
    <b v="0"/>
    <b v="0"/>
    <b v="0"/>
    <x v="1"/>
    <b v="1"/>
  </r>
  <r>
    <s v="S-ac6547"/>
    <s v="A-b20d99"/>
    <d v="2024-07-19T00:00:00"/>
    <m/>
    <x v="2"/>
    <n v="20"/>
    <n v="380"/>
    <n v="4560"/>
    <x v="0"/>
    <b v="0"/>
    <b v="0"/>
    <b v="0"/>
    <x v="1"/>
    <b v="1"/>
  </r>
  <r>
    <s v="S-525864"/>
    <s v="A-a09355"/>
    <d v="2024-12-29T00:00:00"/>
    <m/>
    <x v="1"/>
    <n v="14"/>
    <n v="686"/>
    <n v="8232"/>
    <x v="0"/>
    <b v="0"/>
    <b v="0"/>
    <b v="0"/>
    <x v="0"/>
    <b v="1"/>
  </r>
  <r>
    <s v="S-856627"/>
    <s v="A-b48f73"/>
    <d v="2024-11-24T00:00:00"/>
    <m/>
    <x v="1"/>
    <n v="80"/>
    <n v="3920"/>
    <n v="47040"/>
    <x v="0"/>
    <b v="0"/>
    <b v="0"/>
    <b v="0"/>
    <x v="1"/>
    <b v="0"/>
  </r>
  <r>
    <s v="S-195cd5"/>
    <s v="A-ae052e"/>
    <d v="2024-11-28T00:00:00"/>
    <d v="2024-12-06T00:00:00"/>
    <x v="1"/>
    <n v="40"/>
    <n v="1960"/>
    <n v="23520"/>
    <x v="0"/>
    <b v="0"/>
    <b v="0"/>
    <b v="1"/>
    <x v="0"/>
    <b v="1"/>
  </r>
  <r>
    <s v="S-4e4ab7"/>
    <s v="A-eb1312"/>
    <d v="2024-10-08T00:00:00"/>
    <m/>
    <x v="2"/>
    <n v="25"/>
    <n v="475"/>
    <n v="5700"/>
    <x v="0"/>
    <b v="0"/>
    <b v="0"/>
    <b v="0"/>
    <x v="0"/>
    <b v="0"/>
  </r>
  <r>
    <s v="S-cfca40"/>
    <s v="A-7d514c"/>
    <d v="2024-04-01T00:00:00"/>
    <m/>
    <x v="0"/>
    <n v="34"/>
    <n v="6766"/>
    <n v="81192"/>
    <x v="0"/>
    <b v="0"/>
    <b v="0"/>
    <b v="0"/>
    <x v="0"/>
    <b v="1"/>
  </r>
  <r>
    <s v="S-a82909"/>
    <s v="A-3a5ad8"/>
    <d v="2024-11-19T00:00:00"/>
    <m/>
    <x v="0"/>
    <n v="70"/>
    <n v="13930"/>
    <n v="167160"/>
    <x v="0"/>
    <b v="0"/>
    <b v="0"/>
    <b v="0"/>
    <x v="1"/>
    <b v="1"/>
  </r>
  <r>
    <s v="S-ab212b"/>
    <s v="A-f1f639"/>
    <d v="2024-01-16T00:00:00"/>
    <m/>
    <x v="2"/>
    <n v="2"/>
    <n v="38"/>
    <n v="456"/>
    <x v="0"/>
    <b v="1"/>
    <b v="0"/>
    <b v="0"/>
    <x v="0"/>
    <b v="1"/>
  </r>
  <r>
    <s v="S-92e1fc"/>
    <s v="A-45ce7a"/>
    <d v="2024-04-13T00:00:00"/>
    <m/>
    <x v="1"/>
    <n v="16"/>
    <n v="0"/>
    <n v="0"/>
    <x v="1"/>
    <b v="0"/>
    <b v="0"/>
    <b v="0"/>
    <x v="0"/>
    <b v="1"/>
  </r>
  <r>
    <s v="S-add36b"/>
    <s v="A-e3bd71"/>
    <d v="2024-03-20T00:00:00"/>
    <m/>
    <x v="0"/>
    <n v="31"/>
    <n v="6169"/>
    <n v="74028"/>
    <x v="0"/>
    <b v="1"/>
    <b v="1"/>
    <b v="0"/>
    <x v="0"/>
    <b v="1"/>
  </r>
  <r>
    <s v="S-dcde3f"/>
    <s v="A-ffc04f"/>
    <d v="2024-08-05T00:00:00"/>
    <m/>
    <x v="1"/>
    <n v="13"/>
    <n v="0"/>
    <n v="0"/>
    <x v="1"/>
    <b v="0"/>
    <b v="0"/>
    <b v="0"/>
    <x v="0"/>
    <b v="0"/>
  </r>
  <r>
    <s v="S-94fa70"/>
    <s v="A-1b7577"/>
    <d v="2024-12-30T00:00:00"/>
    <m/>
    <x v="1"/>
    <n v="41"/>
    <n v="2009"/>
    <n v="24108"/>
    <x v="0"/>
    <b v="0"/>
    <b v="0"/>
    <b v="0"/>
    <x v="0"/>
    <b v="1"/>
  </r>
  <r>
    <s v="S-80f65d"/>
    <s v="A-474ad4"/>
    <d v="2024-01-06T00:00:00"/>
    <m/>
    <x v="2"/>
    <n v="23"/>
    <n v="437"/>
    <n v="5244"/>
    <x v="0"/>
    <b v="0"/>
    <b v="0"/>
    <b v="0"/>
    <x v="0"/>
    <b v="1"/>
  </r>
  <r>
    <s v="S-1b373c"/>
    <s v="A-5b1bcd"/>
    <d v="2024-07-04T00:00:00"/>
    <m/>
    <x v="1"/>
    <n v="73"/>
    <n v="3577"/>
    <n v="42924"/>
    <x v="0"/>
    <b v="0"/>
    <b v="0"/>
    <b v="0"/>
    <x v="1"/>
    <b v="0"/>
  </r>
  <r>
    <s v="S-54a3ed"/>
    <s v="A-f446b6"/>
    <d v="2024-07-21T00:00:00"/>
    <m/>
    <x v="1"/>
    <n v="5"/>
    <n v="245"/>
    <n v="2940"/>
    <x v="0"/>
    <b v="0"/>
    <b v="0"/>
    <b v="0"/>
    <x v="0"/>
    <b v="1"/>
  </r>
  <r>
    <s v="S-77c22b"/>
    <s v="A-6c093d"/>
    <d v="2024-03-13T00:00:00"/>
    <m/>
    <x v="0"/>
    <n v="7"/>
    <n v="1393"/>
    <n v="16716"/>
    <x v="0"/>
    <b v="0"/>
    <b v="0"/>
    <b v="0"/>
    <x v="1"/>
    <b v="1"/>
  </r>
  <r>
    <s v="S-bf9e6d"/>
    <s v="A-9779ad"/>
    <d v="2024-10-23T00:00:00"/>
    <m/>
    <x v="0"/>
    <n v="40"/>
    <n v="7960"/>
    <n v="95520"/>
    <x v="0"/>
    <b v="0"/>
    <b v="0"/>
    <b v="0"/>
    <x v="1"/>
    <b v="1"/>
  </r>
  <r>
    <s v="S-9daaad"/>
    <s v="A-e693b6"/>
    <d v="2024-03-21T00:00:00"/>
    <m/>
    <x v="0"/>
    <n v="55"/>
    <n v="0"/>
    <n v="0"/>
    <x v="1"/>
    <b v="0"/>
    <b v="0"/>
    <b v="0"/>
    <x v="0"/>
    <b v="1"/>
  </r>
  <r>
    <s v="S-d316df"/>
    <s v="A-726cfa"/>
    <d v="2024-07-12T00:00:00"/>
    <m/>
    <x v="2"/>
    <n v="33"/>
    <n v="627"/>
    <n v="7524"/>
    <x v="0"/>
    <b v="0"/>
    <b v="0"/>
    <b v="0"/>
    <x v="1"/>
    <b v="1"/>
  </r>
  <r>
    <s v="S-d106d4"/>
    <s v="A-19b2c8"/>
    <d v="2023-11-06T00:00:00"/>
    <m/>
    <x v="0"/>
    <n v="20"/>
    <n v="3980"/>
    <n v="47760"/>
    <x v="0"/>
    <b v="0"/>
    <b v="0"/>
    <b v="0"/>
    <x v="0"/>
    <b v="1"/>
  </r>
  <r>
    <s v="S-4757c8"/>
    <s v="A-32728c"/>
    <d v="2024-09-17T00:00:00"/>
    <m/>
    <x v="2"/>
    <n v="42"/>
    <n v="798"/>
    <n v="9576"/>
    <x v="0"/>
    <b v="0"/>
    <b v="0"/>
    <b v="0"/>
    <x v="1"/>
    <b v="1"/>
  </r>
  <r>
    <s v="S-504bce"/>
    <s v="A-474ad4"/>
    <d v="2024-11-28T00:00:00"/>
    <d v="2024-12-30T00:00:00"/>
    <x v="0"/>
    <n v="41"/>
    <n v="0"/>
    <n v="0"/>
    <x v="1"/>
    <b v="0"/>
    <b v="0"/>
    <b v="1"/>
    <x v="1"/>
    <b v="1"/>
  </r>
  <r>
    <s v="S-16be20"/>
    <s v="A-9c18c4"/>
    <d v="2024-03-03T00:00:00"/>
    <m/>
    <x v="1"/>
    <n v="11"/>
    <n v="539"/>
    <n v="6468"/>
    <x v="0"/>
    <b v="0"/>
    <b v="0"/>
    <b v="0"/>
    <x v="0"/>
    <b v="1"/>
  </r>
  <r>
    <s v="S-2ae5d8"/>
    <s v="A-c9bb3e"/>
    <d v="2024-06-08T00:00:00"/>
    <m/>
    <x v="1"/>
    <n v="5"/>
    <n v="245"/>
    <n v="2940"/>
    <x v="0"/>
    <b v="0"/>
    <b v="0"/>
    <b v="0"/>
    <x v="0"/>
    <b v="1"/>
  </r>
  <r>
    <s v="S-6522e4"/>
    <s v="A-9f0b68"/>
    <d v="2024-05-17T00:00:00"/>
    <m/>
    <x v="2"/>
    <n v="22"/>
    <n v="418"/>
    <n v="5016"/>
    <x v="0"/>
    <b v="0"/>
    <b v="0"/>
    <b v="0"/>
    <x v="1"/>
    <b v="0"/>
  </r>
  <r>
    <s v="S-bc736c"/>
    <s v="A-d49cc5"/>
    <d v="2024-09-28T00:00:00"/>
    <m/>
    <x v="2"/>
    <n v="50"/>
    <n v="950"/>
    <n v="11400"/>
    <x v="0"/>
    <b v="0"/>
    <b v="0"/>
    <b v="0"/>
    <x v="0"/>
    <b v="1"/>
  </r>
  <r>
    <s v="S-1b7677"/>
    <s v="A-ced9aa"/>
    <d v="2024-12-04T00:00:00"/>
    <d v="2024-12-20T00:00:00"/>
    <x v="0"/>
    <n v="6"/>
    <n v="1194"/>
    <n v="14328"/>
    <x v="0"/>
    <b v="0"/>
    <b v="0"/>
    <b v="1"/>
    <x v="1"/>
    <b v="1"/>
  </r>
  <r>
    <s v="S-b8d2f6"/>
    <s v="A-17939a"/>
    <d v="2024-12-28T00:00:00"/>
    <d v="2024-12-30T00:00:00"/>
    <x v="2"/>
    <n v="19"/>
    <n v="0"/>
    <n v="0"/>
    <x v="1"/>
    <b v="0"/>
    <b v="0"/>
    <b v="1"/>
    <x v="0"/>
    <b v="1"/>
  </r>
  <r>
    <s v="S-509f0d"/>
    <s v="A-794a0b"/>
    <d v="2024-02-05T00:00:00"/>
    <m/>
    <x v="1"/>
    <n v="35"/>
    <n v="1715"/>
    <n v="20580"/>
    <x v="0"/>
    <b v="0"/>
    <b v="0"/>
    <b v="0"/>
    <x v="0"/>
    <b v="1"/>
  </r>
  <r>
    <s v="S-708ac6"/>
    <s v="A-ab438f"/>
    <d v="2024-10-23T00:00:00"/>
    <m/>
    <x v="0"/>
    <n v="30"/>
    <n v="5970"/>
    <n v="71640"/>
    <x v="0"/>
    <b v="0"/>
    <b v="0"/>
    <b v="0"/>
    <x v="0"/>
    <b v="1"/>
  </r>
  <r>
    <s v="S-81510a"/>
    <s v="A-b54c01"/>
    <d v="2024-10-29T00:00:00"/>
    <m/>
    <x v="1"/>
    <n v="29"/>
    <n v="1421"/>
    <n v="17052"/>
    <x v="0"/>
    <b v="0"/>
    <b v="0"/>
    <b v="0"/>
    <x v="1"/>
    <b v="1"/>
  </r>
  <r>
    <s v="S-80c24c"/>
    <s v="A-139c3b"/>
    <d v="2024-11-26T00:00:00"/>
    <d v="2024-12-31T00:00:00"/>
    <x v="1"/>
    <n v="17"/>
    <n v="833"/>
    <n v="9996"/>
    <x v="0"/>
    <b v="1"/>
    <b v="0"/>
    <b v="1"/>
    <x v="0"/>
    <b v="1"/>
  </r>
  <r>
    <s v="S-843a53"/>
    <s v="A-bb1eaa"/>
    <d v="2024-09-11T00:00:00"/>
    <m/>
    <x v="0"/>
    <n v="21"/>
    <n v="4179"/>
    <n v="50148"/>
    <x v="0"/>
    <b v="0"/>
    <b v="0"/>
    <b v="0"/>
    <x v="1"/>
    <b v="1"/>
  </r>
  <r>
    <s v="S-3b5031"/>
    <s v="A-dcc2f0"/>
    <d v="2024-03-13T00:00:00"/>
    <m/>
    <x v="1"/>
    <n v="22"/>
    <n v="1078"/>
    <n v="12936"/>
    <x v="0"/>
    <b v="1"/>
    <b v="0"/>
    <b v="0"/>
    <x v="1"/>
    <b v="1"/>
  </r>
  <r>
    <s v="S-a29ba3"/>
    <s v="A-95b24a"/>
    <d v="2023-10-12T00:00:00"/>
    <m/>
    <x v="0"/>
    <n v="38"/>
    <n v="7562"/>
    <n v="90744"/>
    <x v="0"/>
    <b v="0"/>
    <b v="0"/>
    <b v="0"/>
    <x v="0"/>
    <b v="0"/>
  </r>
  <r>
    <s v="S-ce7c30"/>
    <s v="A-075038"/>
    <d v="2024-07-02T00:00:00"/>
    <m/>
    <x v="0"/>
    <n v="17"/>
    <n v="3383"/>
    <n v="40596"/>
    <x v="0"/>
    <b v="0"/>
    <b v="0"/>
    <b v="0"/>
    <x v="0"/>
    <b v="1"/>
  </r>
  <r>
    <s v="S-90c2a9"/>
    <s v="A-ced9aa"/>
    <d v="2024-11-07T00:00:00"/>
    <m/>
    <x v="1"/>
    <n v="3"/>
    <n v="147"/>
    <n v="1764"/>
    <x v="0"/>
    <b v="0"/>
    <b v="0"/>
    <b v="0"/>
    <x v="1"/>
    <b v="1"/>
  </r>
  <r>
    <s v="S-3c52a6"/>
    <s v="A-2f6a32"/>
    <d v="2024-09-25T00:00:00"/>
    <d v="2024-11-16T00:00:00"/>
    <x v="2"/>
    <n v="19"/>
    <n v="361"/>
    <n v="4332"/>
    <x v="0"/>
    <b v="0"/>
    <b v="0"/>
    <b v="1"/>
    <x v="1"/>
    <b v="1"/>
  </r>
  <r>
    <s v="S-44ed0c"/>
    <s v="A-993085"/>
    <d v="2023-10-30T00:00:00"/>
    <m/>
    <x v="0"/>
    <n v="31"/>
    <n v="6169"/>
    <n v="74028"/>
    <x v="0"/>
    <b v="0"/>
    <b v="1"/>
    <b v="0"/>
    <x v="1"/>
    <b v="0"/>
  </r>
  <r>
    <s v="S-2c9cea"/>
    <s v="A-df1e44"/>
    <d v="2024-06-03T00:00:00"/>
    <m/>
    <x v="2"/>
    <n v="35"/>
    <n v="0"/>
    <n v="0"/>
    <x v="1"/>
    <b v="0"/>
    <b v="0"/>
    <b v="0"/>
    <x v="1"/>
    <b v="1"/>
  </r>
  <r>
    <s v="S-47cf94"/>
    <s v="A-e5d6ab"/>
    <d v="2023-10-02T00:00:00"/>
    <d v="2024-05-03T00:00:00"/>
    <x v="2"/>
    <n v="35"/>
    <n v="665"/>
    <n v="7980"/>
    <x v="0"/>
    <b v="0"/>
    <b v="0"/>
    <b v="1"/>
    <x v="1"/>
    <b v="1"/>
  </r>
  <r>
    <s v="S-f3d5d7"/>
    <s v="A-49b828"/>
    <d v="2024-11-22T00:00:00"/>
    <m/>
    <x v="0"/>
    <n v="20"/>
    <n v="3980"/>
    <n v="47760"/>
    <x v="0"/>
    <b v="0"/>
    <b v="0"/>
    <b v="0"/>
    <x v="1"/>
    <b v="1"/>
  </r>
  <r>
    <s v="S-519f1c"/>
    <s v="A-0354fe"/>
    <d v="2024-11-03T00:00:00"/>
    <m/>
    <x v="2"/>
    <n v="34"/>
    <n v="646"/>
    <n v="7752"/>
    <x v="0"/>
    <b v="0"/>
    <b v="0"/>
    <b v="0"/>
    <x v="0"/>
    <b v="0"/>
  </r>
  <r>
    <s v="S-b75eaa"/>
    <s v="A-bf7919"/>
    <d v="2024-12-24T00:00:00"/>
    <m/>
    <x v="2"/>
    <n v="12"/>
    <n v="228"/>
    <n v="2736"/>
    <x v="0"/>
    <b v="0"/>
    <b v="0"/>
    <b v="0"/>
    <x v="0"/>
    <b v="0"/>
  </r>
  <r>
    <s v="S-106283"/>
    <s v="A-a45270"/>
    <d v="2024-07-27T00:00:00"/>
    <m/>
    <x v="0"/>
    <n v="23"/>
    <n v="4577"/>
    <n v="54924"/>
    <x v="0"/>
    <b v="0"/>
    <b v="0"/>
    <b v="0"/>
    <x v="1"/>
    <b v="1"/>
  </r>
  <r>
    <s v="S-f093d0"/>
    <s v="A-f19b24"/>
    <d v="2024-03-17T00:00:00"/>
    <m/>
    <x v="1"/>
    <n v="29"/>
    <n v="1421"/>
    <n v="17052"/>
    <x v="0"/>
    <b v="0"/>
    <b v="0"/>
    <b v="0"/>
    <x v="0"/>
    <b v="1"/>
  </r>
  <r>
    <s v="S-9c19fe"/>
    <s v="A-bd4513"/>
    <d v="2024-12-20T00:00:00"/>
    <m/>
    <x v="0"/>
    <n v="50"/>
    <n v="9950"/>
    <n v="119400"/>
    <x v="0"/>
    <b v="0"/>
    <b v="0"/>
    <b v="0"/>
    <x v="0"/>
    <b v="0"/>
  </r>
  <r>
    <s v="S-f27134"/>
    <s v="A-d4ac0e"/>
    <d v="2024-09-17T00:00:00"/>
    <m/>
    <x v="2"/>
    <n v="29"/>
    <n v="551"/>
    <n v="6612"/>
    <x v="0"/>
    <b v="0"/>
    <b v="0"/>
    <b v="0"/>
    <x v="1"/>
    <b v="1"/>
  </r>
  <r>
    <s v="S-ef83b4"/>
    <s v="A-a09355"/>
    <d v="2024-11-04T00:00:00"/>
    <m/>
    <x v="0"/>
    <n v="33"/>
    <n v="6567"/>
    <n v="78804"/>
    <x v="0"/>
    <b v="0"/>
    <b v="0"/>
    <b v="0"/>
    <x v="0"/>
    <b v="1"/>
  </r>
  <r>
    <s v="S-00fcc5"/>
    <s v="A-40de06"/>
    <d v="2023-06-23T00:00:00"/>
    <m/>
    <x v="2"/>
    <n v="62"/>
    <n v="1178"/>
    <n v="14136"/>
    <x v="0"/>
    <b v="0"/>
    <b v="0"/>
    <b v="0"/>
    <x v="1"/>
    <b v="0"/>
  </r>
  <r>
    <s v="S-a6f0f1"/>
    <s v="A-d792a6"/>
    <d v="2024-04-26T00:00:00"/>
    <m/>
    <x v="1"/>
    <n v="4"/>
    <n v="196"/>
    <n v="2352"/>
    <x v="0"/>
    <b v="0"/>
    <b v="0"/>
    <b v="0"/>
    <x v="1"/>
    <b v="1"/>
  </r>
  <r>
    <s v="S-2c4527"/>
    <s v="A-6965e1"/>
    <d v="2024-12-22T00:00:00"/>
    <m/>
    <x v="1"/>
    <n v="13"/>
    <n v="637"/>
    <n v="7644"/>
    <x v="0"/>
    <b v="0"/>
    <b v="0"/>
    <b v="0"/>
    <x v="1"/>
    <b v="1"/>
  </r>
  <r>
    <s v="S-0144ac"/>
    <s v="A-5a215a"/>
    <d v="2024-03-13T00:00:00"/>
    <m/>
    <x v="0"/>
    <n v="87"/>
    <n v="17313"/>
    <n v="207756"/>
    <x v="0"/>
    <b v="0"/>
    <b v="0"/>
    <b v="0"/>
    <x v="0"/>
    <b v="1"/>
  </r>
  <r>
    <s v="S-8a50a0"/>
    <s v="A-cb5333"/>
    <d v="2024-12-11T00:00:00"/>
    <m/>
    <x v="2"/>
    <n v="33"/>
    <n v="627"/>
    <n v="7524"/>
    <x v="0"/>
    <b v="0"/>
    <b v="0"/>
    <b v="0"/>
    <x v="0"/>
    <b v="1"/>
  </r>
  <r>
    <s v="S-363c29"/>
    <s v="A-e7beab"/>
    <d v="2023-10-23T00:00:00"/>
    <d v="2024-08-21T00:00:00"/>
    <x v="0"/>
    <n v="21"/>
    <n v="4179"/>
    <n v="50148"/>
    <x v="0"/>
    <b v="0"/>
    <b v="0"/>
    <b v="1"/>
    <x v="1"/>
    <b v="1"/>
  </r>
  <r>
    <s v="S-f28cde"/>
    <s v="A-cdf020"/>
    <d v="2024-07-13T00:00:00"/>
    <m/>
    <x v="1"/>
    <n v="23"/>
    <n v="1127"/>
    <n v="13524"/>
    <x v="0"/>
    <b v="1"/>
    <b v="0"/>
    <b v="0"/>
    <x v="1"/>
    <b v="1"/>
  </r>
  <r>
    <s v="S-ef00f5"/>
    <s v="A-e36807"/>
    <d v="2024-09-06T00:00:00"/>
    <m/>
    <x v="2"/>
    <n v="6"/>
    <n v="114"/>
    <n v="1368"/>
    <x v="0"/>
    <b v="0"/>
    <b v="0"/>
    <b v="0"/>
    <x v="1"/>
    <b v="1"/>
  </r>
  <r>
    <s v="S-dbe2ac"/>
    <s v="A-5f7781"/>
    <d v="2024-09-13T00:00:00"/>
    <m/>
    <x v="2"/>
    <n v="22"/>
    <n v="418"/>
    <n v="5016"/>
    <x v="0"/>
    <b v="1"/>
    <b v="0"/>
    <b v="0"/>
    <x v="1"/>
    <b v="1"/>
  </r>
  <r>
    <s v="S-b8fcc5"/>
    <s v="A-dbc825"/>
    <d v="2024-06-29T00:00:00"/>
    <d v="2024-11-20T00:00:00"/>
    <x v="2"/>
    <n v="85"/>
    <n v="1615"/>
    <n v="19380"/>
    <x v="0"/>
    <b v="1"/>
    <b v="0"/>
    <b v="1"/>
    <x v="1"/>
    <b v="0"/>
  </r>
  <r>
    <s v="S-37b6b2"/>
    <s v="A-4c6f11"/>
    <d v="2024-05-10T00:00:00"/>
    <m/>
    <x v="1"/>
    <n v="24"/>
    <n v="1176"/>
    <n v="14112"/>
    <x v="0"/>
    <b v="0"/>
    <b v="0"/>
    <b v="0"/>
    <x v="1"/>
    <b v="0"/>
  </r>
  <r>
    <s v="S-a83bf1"/>
    <s v="A-089363"/>
    <d v="2023-11-04T00:00:00"/>
    <m/>
    <x v="2"/>
    <n v="40"/>
    <n v="760"/>
    <n v="9120"/>
    <x v="0"/>
    <b v="0"/>
    <b v="0"/>
    <b v="0"/>
    <x v="0"/>
    <b v="0"/>
  </r>
  <r>
    <s v="S-e301c9"/>
    <s v="A-1e1b80"/>
    <d v="2024-09-22T00:00:00"/>
    <m/>
    <x v="0"/>
    <n v="50"/>
    <n v="0"/>
    <n v="0"/>
    <x v="1"/>
    <b v="0"/>
    <b v="0"/>
    <b v="0"/>
    <x v="0"/>
    <b v="1"/>
  </r>
  <r>
    <s v="S-762cae"/>
    <s v="A-6e08f3"/>
    <d v="2024-08-11T00:00:00"/>
    <m/>
    <x v="1"/>
    <n v="18"/>
    <n v="882"/>
    <n v="10584"/>
    <x v="0"/>
    <b v="0"/>
    <b v="0"/>
    <b v="0"/>
    <x v="1"/>
    <b v="1"/>
  </r>
  <r>
    <s v="S-261a8d"/>
    <s v="A-b2225d"/>
    <d v="2024-09-01T00:00:00"/>
    <m/>
    <x v="1"/>
    <n v="47"/>
    <n v="2303"/>
    <n v="27636"/>
    <x v="0"/>
    <b v="1"/>
    <b v="0"/>
    <b v="0"/>
    <x v="0"/>
    <b v="1"/>
  </r>
  <r>
    <s v="S-1c5955"/>
    <s v="A-378b99"/>
    <d v="2024-10-07T00:00:00"/>
    <m/>
    <x v="1"/>
    <n v="12"/>
    <n v="588"/>
    <n v="7056"/>
    <x v="0"/>
    <b v="0"/>
    <b v="0"/>
    <b v="0"/>
    <x v="1"/>
    <b v="1"/>
  </r>
  <r>
    <s v="S-a99771"/>
    <s v="A-3c1a3f"/>
    <d v="2023-12-18T00:00:00"/>
    <m/>
    <x v="2"/>
    <n v="25"/>
    <n v="0"/>
    <n v="0"/>
    <x v="1"/>
    <b v="0"/>
    <b v="0"/>
    <b v="0"/>
    <x v="1"/>
    <b v="1"/>
  </r>
  <r>
    <s v="S-ad02b5"/>
    <s v="A-c58f49"/>
    <d v="2024-10-05T00:00:00"/>
    <m/>
    <x v="0"/>
    <n v="70"/>
    <n v="13930"/>
    <n v="167160"/>
    <x v="0"/>
    <b v="1"/>
    <b v="0"/>
    <b v="0"/>
    <x v="0"/>
    <b v="1"/>
  </r>
  <r>
    <s v="S-e267d1"/>
    <s v="A-4a4c2d"/>
    <d v="2023-12-25T00:00:00"/>
    <m/>
    <x v="0"/>
    <n v="54"/>
    <n v="10746"/>
    <n v="128952"/>
    <x v="0"/>
    <b v="0"/>
    <b v="0"/>
    <b v="0"/>
    <x v="1"/>
    <b v="0"/>
  </r>
  <r>
    <s v="S-0c4162"/>
    <s v="A-a8b49c"/>
    <d v="2023-11-24T00:00:00"/>
    <m/>
    <x v="2"/>
    <n v="19"/>
    <n v="0"/>
    <n v="0"/>
    <x v="1"/>
    <b v="0"/>
    <b v="0"/>
    <b v="0"/>
    <x v="0"/>
    <b v="1"/>
  </r>
  <r>
    <s v="S-49b640"/>
    <s v="A-956988"/>
    <d v="2024-12-02T00:00:00"/>
    <m/>
    <x v="0"/>
    <n v="9"/>
    <n v="1791"/>
    <n v="21492"/>
    <x v="0"/>
    <b v="0"/>
    <b v="0"/>
    <b v="0"/>
    <x v="0"/>
    <b v="1"/>
  </r>
  <r>
    <s v="S-327a60"/>
    <s v="A-1f0ac7"/>
    <d v="2024-05-03T00:00:00"/>
    <m/>
    <x v="2"/>
    <n v="47"/>
    <n v="893"/>
    <n v="10716"/>
    <x v="0"/>
    <b v="0"/>
    <b v="0"/>
    <b v="0"/>
    <x v="1"/>
    <b v="1"/>
  </r>
  <r>
    <s v="S-9a41e6"/>
    <s v="A-9289f6"/>
    <d v="2024-03-14T00:00:00"/>
    <m/>
    <x v="0"/>
    <n v="10"/>
    <n v="1990"/>
    <n v="23880"/>
    <x v="0"/>
    <b v="0"/>
    <b v="0"/>
    <b v="0"/>
    <x v="1"/>
    <b v="1"/>
  </r>
  <r>
    <s v="S-e1081c"/>
    <s v="A-5fe118"/>
    <d v="2024-12-05T00:00:00"/>
    <m/>
    <x v="0"/>
    <n v="39"/>
    <n v="7761"/>
    <n v="93132"/>
    <x v="0"/>
    <b v="0"/>
    <b v="0"/>
    <b v="0"/>
    <x v="0"/>
    <b v="1"/>
  </r>
  <r>
    <s v="S-f44c76"/>
    <s v="A-58b9ff"/>
    <d v="2024-09-24T00:00:00"/>
    <m/>
    <x v="1"/>
    <n v="14"/>
    <n v="686"/>
    <n v="8232"/>
    <x v="0"/>
    <b v="0"/>
    <b v="0"/>
    <b v="0"/>
    <x v="0"/>
    <b v="1"/>
  </r>
  <r>
    <s v="S-8e169f"/>
    <s v="A-0dbdc6"/>
    <d v="2023-06-14T00:00:00"/>
    <m/>
    <x v="1"/>
    <n v="30"/>
    <n v="0"/>
    <n v="0"/>
    <x v="1"/>
    <b v="0"/>
    <b v="0"/>
    <b v="0"/>
    <x v="1"/>
    <b v="1"/>
  </r>
  <r>
    <s v="S-68e134"/>
    <s v="A-dbc825"/>
    <d v="2024-05-20T00:00:00"/>
    <m/>
    <x v="2"/>
    <n v="19"/>
    <n v="361"/>
    <n v="4332"/>
    <x v="0"/>
    <b v="0"/>
    <b v="0"/>
    <b v="0"/>
    <x v="0"/>
    <b v="1"/>
  </r>
  <r>
    <s v="S-7820a5"/>
    <s v="A-019782"/>
    <d v="2023-08-16T00:00:00"/>
    <m/>
    <x v="1"/>
    <n v="15"/>
    <n v="735"/>
    <n v="8820"/>
    <x v="0"/>
    <b v="0"/>
    <b v="0"/>
    <b v="0"/>
    <x v="0"/>
    <b v="1"/>
  </r>
  <r>
    <s v="S-d8c527"/>
    <s v="A-0a62f5"/>
    <d v="2024-12-21T00:00:00"/>
    <m/>
    <x v="2"/>
    <n v="25"/>
    <n v="475"/>
    <n v="5700"/>
    <x v="0"/>
    <b v="0"/>
    <b v="0"/>
    <b v="0"/>
    <x v="0"/>
    <b v="1"/>
  </r>
  <r>
    <s v="S-d30894"/>
    <s v="A-71615e"/>
    <d v="2024-06-27T00:00:00"/>
    <m/>
    <x v="0"/>
    <n v="15"/>
    <n v="2985"/>
    <n v="35820"/>
    <x v="0"/>
    <b v="0"/>
    <b v="0"/>
    <b v="0"/>
    <x v="1"/>
    <b v="1"/>
  </r>
  <r>
    <s v="S-632337"/>
    <s v="A-7da956"/>
    <d v="2024-09-26T00:00:00"/>
    <d v="2024-12-29T00:00:00"/>
    <x v="0"/>
    <n v="14"/>
    <n v="2786"/>
    <n v="33432"/>
    <x v="0"/>
    <b v="0"/>
    <b v="0"/>
    <b v="1"/>
    <x v="0"/>
    <b v="1"/>
  </r>
  <r>
    <s v="S-3d4f7a"/>
    <s v="A-ed510f"/>
    <d v="2024-12-21T00:00:00"/>
    <m/>
    <x v="1"/>
    <n v="42"/>
    <n v="2058"/>
    <n v="24696"/>
    <x v="0"/>
    <b v="0"/>
    <b v="0"/>
    <b v="0"/>
    <x v="0"/>
    <b v="1"/>
  </r>
  <r>
    <s v="S-956036"/>
    <s v="A-d922bf"/>
    <d v="2023-10-29T00:00:00"/>
    <m/>
    <x v="0"/>
    <n v="30"/>
    <n v="5970"/>
    <n v="71640"/>
    <x v="0"/>
    <b v="0"/>
    <b v="0"/>
    <b v="0"/>
    <x v="1"/>
    <b v="1"/>
  </r>
  <r>
    <s v="S-873a22"/>
    <s v="A-fabe19"/>
    <d v="2024-12-16T00:00:00"/>
    <m/>
    <x v="0"/>
    <n v="12"/>
    <n v="2388"/>
    <n v="28656"/>
    <x v="0"/>
    <b v="1"/>
    <b v="0"/>
    <b v="0"/>
    <x v="0"/>
    <b v="0"/>
  </r>
  <r>
    <s v="S-868325"/>
    <s v="A-ac85cd"/>
    <d v="2024-08-02T00:00:00"/>
    <m/>
    <x v="2"/>
    <n v="53"/>
    <n v="1007"/>
    <n v="12084"/>
    <x v="0"/>
    <b v="0"/>
    <b v="0"/>
    <b v="0"/>
    <x v="0"/>
    <b v="1"/>
  </r>
  <r>
    <s v="S-0e8b21"/>
    <s v="A-8adedc"/>
    <d v="2024-08-21T00:00:00"/>
    <m/>
    <x v="2"/>
    <n v="22"/>
    <n v="418"/>
    <n v="5016"/>
    <x v="0"/>
    <b v="0"/>
    <b v="0"/>
    <b v="0"/>
    <x v="0"/>
    <b v="1"/>
  </r>
  <r>
    <s v="S-f50afe"/>
    <s v="A-117171"/>
    <d v="2024-11-11T00:00:00"/>
    <m/>
    <x v="2"/>
    <n v="45"/>
    <n v="855"/>
    <n v="10260"/>
    <x v="0"/>
    <b v="0"/>
    <b v="0"/>
    <b v="0"/>
    <x v="1"/>
    <b v="1"/>
  </r>
  <r>
    <s v="S-28a4b7"/>
    <s v="A-1e1b80"/>
    <d v="2023-12-16T00:00:00"/>
    <m/>
    <x v="0"/>
    <n v="50"/>
    <n v="9950"/>
    <n v="119400"/>
    <x v="0"/>
    <b v="0"/>
    <b v="0"/>
    <b v="0"/>
    <x v="1"/>
    <b v="1"/>
  </r>
  <r>
    <s v="S-3d46f8"/>
    <s v="A-3932db"/>
    <d v="2023-12-10T00:00:00"/>
    <m/>
    <x v="2"/>
    <n v="23"/>
    <n v="437"/>
    <n v="5244"/>
    <x v="0"/>
    <b v="0"/>
    <b v="0"/>
    <b v="0"/>
    <x v="0"/>
    <b v="1"/>
  </r>
  <r>
    <s v="S-bc0806"/>
    <s v="A-d792a6"/>
    <d v="2024-07-04T00:00:00"/>
    <m/>
    <x v="0"/>
    <n v="4"/>
    <n v="796"/>
    <n v="9552"/>
    <x v="0"/>
    <b v="0"/>
    <b v="0"/>
    <b v="0"/>
    <x v="0"/>
    <b v="1"/>
  </r>
  <r>
    <s v="S-9171f0"/>
    <s v="A-43a9e3"/>
    <d v="2024-03-26T00:00:00"/>
    <m/>
    <x v="2"/>
    <n v="27"/>
    <n v="513"/>
    <n v="6156"/>
    <x v="0"/>
    <b v="0"/>
    <b v="0"/>
    <b v="0"/>
    <x v="1"/>
    <b v="1"/>
  </r>
  <r>
    <s v="S-38eb77"/>
    <s v="A-417d2f"/>
    <d v="2024-02-02T00:00:00"/>
    <d v="2024-05-03T00:00:00"/>
    <x v="0"/>
    <n v="26"/>
    <n v="5174"/>
    <n v="62088"/>
    <x v="0"/>
    <b v="1"/>
    <b v="0"/>
    <b v="1"/>
    <x v="0"/>
    <b v="1"/>
  </r>
  <r>
    <s v="S-f3ff06"/>
    <s v="A-249769"/>
    <d v="2024-10-18T00:00:00"/>
    <m/>
    <x v="1"/>
    <n v="8"/>
    <n v="392"/>
    <n v="4704"/>
    <x v="0"/>
    <b v="0"/>
    <b v="0"/>
    <b v="0"/>
    <x v="1"/>
    <b v="1"/>
  </r>
  <r>
    <s v="S-ecb8d5"/>
    <s v="A-df1e44"/>
    <d v="2024-12-17T00:00:00"/>
    <m/>
    <x v="2"/>
    <n v="35"/>
    <n v="665"/>
    <n v="7980"/>
    <x v="0"/>
    <b v="0"/>
    <b v="0"/>
    <b v="0"/>
    <x v="1"/>
    <b v="1"/>
  </r>
  <r>
    <s v="S-1fddda"/>
    <s v="A-51ec1b"/>
    <d v="2024-08-05T00:00:00"/>
    <m/>
    <x v="0"/>
    <n v="18"/>
    <n v="3582"/>
    <n v="42984"/>
    <x v="0"/>
    <b v="0"/>
    <b v="0"/>
    <b v="0"/>
    <x v="0"/>
    <b v="0"/>
  </r>
  <r>
    <s v="S-876f0b"/>
    <s v="A-4c56c9"/>
    <d v="2024-05-21T00:00:00"/>
    <m/>
    <x v="2"/>
    <n v="9"/>
    <n v="171"/>
    <n v="2052"/>
    <x v="0"/>
    <b v="0"/>
    <b v="0"/>
    <b v="0"/>
    <x v="1"/>
    <b v="1"/>
  </r>
  <r>
    <s v="S-5a5bdb"/>
    <s v="A-96bbc6"/>
    <d v="2024-09-08T00:00:00"/>
    <m/>
    <x v="1"/>
    <n v="64"/>
    <n v="3136"/>
    <n v="37632"/>
    <x v="0"/>
    <b v="0"/>
    <b v="0"/>
    <b v="0"/>
    <x v="1"/>
    <b v="1"/>
  </r>
  <r>
    <s v="S-76a214"/>
    <s v="A-00bed1"/>
    <d v="2024-05-14T00:00:00"/>
    <m/>
    <x v="0"/>
    <n v="49"/>
    <n v="9751"/>
    <n v="117012"/>
    <x v="0"/>
    <b v="0"/>
    <b v="0"/>
    <b v="0"/>
    <x v="1"/>
    <b v="1"/>
  </r>
  <r>
    <s v="S-4a89a7"/>
    <s v="A-10b8f2"/>
    <d v="2023-04-19T00:00:00"/>
    <m/>
    <x v="2"/>
    <n v="47"/>
    <n v="893"/>
    <n v="10716"/>
    <x v="0"/>
    <b v="0"/>
    <b v="0"/>
    <b v="0"/>
    <x v="0"/>
    <b v="0"/>
  </r>
  <r>
    <s v="S-c43a91"/>
    <s v="A-0e966d"/>
    <d v="2024-09-06T00:00:00"/>
    <m/>
    <x v="1"/>
    <n v="13"/>
    <n v="637"/>
    <n v="7644"/>
    <x v="0"/>
    <b v="0"/>
    <b v="0"/>
    <b v="0"/>
    <x v="1"/>
    <b v="1"/>
  </r>
  <r>
    <s v="S-0a8200"/>
    <s v="A-5b1bcd"/>
    <d v="2024-01-20T00:00:00"/>
    <m/>
    <x v="0"/>
    <n v="73"/>
    <n v="14527"/>
    <n v="174324"/>
    <x v="0"/>
    <b v="0"/>
    <b v="0"/>
    <b v="0"/>
    <x v="1"/>
    <b v="1"/>
  </r>
  <r>
    <s v="S-ece5a5"/>
    <s v="A-9ee962"/>
    <d v="2023-08-27T00:00:00"/>
    <m/>
    <x v="1"/>
    <n v="30"/>
    <n v="1470"/>
    <n v="17640"/>
    <x v="0"/>
    <b v="0"/>
    <b v="0"/>
    <b v="0"/>
    <x v="1"/>
    <b v="0"/>
  </r>
  <r>
    <s v="S-80ed6b"/>
    <s v="A-b7b7b7"/>
    <d v="2024-07-29T00:00:00"/>
    <m/>
    <x v="1"/>
    <n v="24"/>
    <n v="1176"/>
    <n v="14112"/>
    <x v="0"/>
    <b v="0"/>
    <b v="0"/>
    <b v="0"/>
    <x v="1"/>
    <b v="1"/>
  </r>
  <r>
    <s v="S-19950d"/>
    <s v="A-f9cc74"/>
    <d v="2024-10-28T00:00:00"/>
    <m/>
    <x v="1"/>
    <n v="30"/>
    <n v="1470"/>
    <n v="17640"/>
    <x v="0"/>
    <b v="0"/>
    <b v="0"/>
    <b v="0"/>
    <x v="1"/>
    <b v="0"/>
  </r>
  <r>
    <s v="S-aaf847"/>
    <s v="A-ffc04f"/>
    <d v="2024-09-19T00:00:00"/>
    <m/>
    <x v="0"/>
    <n v="13"/>
    <n v="2587"/>
    <n v="31044"/>
    <x v="0"/>
    <b v="0"/>
    <b v="0"/>
    <b v="0"/>
    <x v="0"/>
    <b v="0"/>
  </r>
  <r>
    <s v="S-5d0f41"/>
    <s v="A-956988"/>
    <d v="2024-12-18T00:00:00"/>
    <m/>
    <x v="1"/>
    <n v="23"/>
    <n v="1127"/>
    <n v="13524"/>
    <x v="0"/>
    <b v="0"/>
    <b v="0"/>
    <b v="0"/>
    <x v="0"/>
    <b v="1"/>
  </r>
  <r>
    <s v="S-d041d2"/>
    <s v="A-054577"/>
    <d v="2024-12-01T00:00:00"/>
    <m/>
    <x v="1"/>
    <n v="2"/>
    <n v="0"/>
    <n v="0"/>
    <x v="1"/>
    <b v="0"/>
    <b v="0"/>
    <b v="0"/>
    <x v="0"/>
    <b v="1"/>
  </r>
  <r>
    <s v="S-4c6ee1"/>
    <s v="A-8bde0c"/>
    <d v="2024-12-23T00:00:00"/>
    <m/>
    <x v="1"/>
    <n v="15"/>
    <n v="735"/>
    <n v="8820"/>
    <x v="0"/>
    <b v="0"/>
    <b v="0"/>
    <b v="0"/>
    <x v="1"/>
    <b v="1"/>
  </r>
  <r>
    <s v="S-991d05"/>
    <s v="A-cdf020"/>
    <d v="2024-01-25T00:00:00"/>
    <m/>
    <x v="1"/>
    <n v="39"/>
    <n v="1911"/>
    <n v="22932"/>
    <x v="0"/>
    <b v="0"/>
    <b v="0"/>
    <b v="0"/>
    <x v="1"/>
    <b v="0"/>
  </r>
  <r>
    <s v="S-a3ab14"/>
    <s v="A-fdfc91"/>
    <d v="2024-07-31T00:00:00"/>
    <d v="2024-11-10T00:00:00"/>
    <x v="1"/>
    <n v="29"/>
    <n v="1421"/>
    <n v="17052"/>
    <x v="0"/>
    <b v="0"/>
    <b v="0"/>
    <b v="1"/>
    <x v="1"/>
    <b v="0"/>
  </r>
  <r>
    <s v="S-70c743"/>
    <s v="A-a2485e"/>
    <d v="2024-08-17T00:00:00"/>
    <m/>
    <x v="1"/>
    <n v="68"/>
    <n v="3332"/>
    <n v="39984"/>
    <x v="0"/>
    <b v="0"/>
    <b v="0"/>
    <b v="0"/>
    <x v="1"/>
    <b v="0"/>
  </r>
  <r>
    <s v="S-c52d77"/>
    <s v="A-6e7827"/>
    <d v="2023-11-05T00:00:00"/>
    <m/>
    <x v="1"/>
    <n v="1"/>
    <n v="49"/>
    <n v="588"/>
    <x v="0"/>
    <b v="1"/>
    <b v="0"/>
    <b v="0"/>
    <x v="0"/>
    <b v="0"/>
  </r>
  <r>
    <s v="S-5d5250"/>
    <s v="A-afa505"/>
    <d v="2024-08-12T00:00:00"/>
    <m/>
    <x v="1"/>
    <n v="70"/>
    <n v="3430"/>
    <n v="41160"/>
    <x v="0"/>
    <b v="0"/>
    <b v="1"/>
    <b v="0"/>
    <x v="0"/>
    <b v="1"/>
  </r>
  <r>
    <s v="S-5f40a3"/>
    <s v="A-6da850"/>
    <d v="2024-12-28T00:00:00"/>
    <m/>
    <x v="2"/>
    <n v="5"/>
    <n v="0"/>
    <n v="0"/>
    <x v="1"/>
    <b v="0"/>
    <b v="0"/>
    <b v="0"/>
    <x v="0"/>
    <b v="0"/>
  </r>
  <r>
    <s v="S-b23d8d"/>
    <s v="A-2d1036"/>
    <d v="2024-11-21T00:00:00"/>
    <m/>
    <x v="2"/>
    <n v="69"/>
    <n v="1311"/>
    <n v="15732"/>
    <x v="0"/>
    <b v="0"/>
    <b v="0"/>
    <b v="0"/>
    <x v="1"/>
    <b v="1"/>
  </r>
  <r>
    <s v="S-87db32"/>
    <s v="A-526d93"/>
    <d v="2024-04-24T00:00:00"/>
    <m/>
    <x v="0"/>
    <n v="49"/>
    <n v="9751"/>
    <n v="117012"/>
    <x v="0"/>
    <b v="0"/>
    <b v="0"/>
    <b v="0"/>
    <x v="0"/>
    <b v="0"/>
  </r>
  <r>
    <s v="S-38dcab"/>
    <s v="A-ad3abd"/>
    <d v="2024-03-25T00:00:00"/>
    <d v="2024-09-11T00:00:00"/>
    <x v="2"/>
    <n v="44"/>
    <n v="836"/>
    <n v="10032"/>
    <x v="0"/>
    <b v="0"/>
    <b v="0"/>
    <b v="1"/>
    <x v="1"/>
    <b v="1"/>
  </r>
  <r>
    <s v="S-aa7247"/>
    <s v="A-c7ffc2"/>
    <d v="2024-08-15T00:00:00"/>
    <m/>
    <x v="2"/>
    <n v="30"/>
    <n v="570"/>
    <n v="6840"/>
    <x v="0"/>
    <b v="0"/>
    <b v="0"/>
    <b v="0"/>
    <x v="0"/>
    <b v="1"/>
  </r>
  <r>
    <s v="S-58ccb4"/>
    <s v="A-bb1486"/>
    <d v="2024-11-18T00:00:00"/>
    <m/>
    <x v="1"/>
    <n v="41"/>
    <n v="2009"/>
    <n v="24108"/>
    <x v="0"/>
    <b v="0"/>
    <b v="1"/>
    <b v="0"/>
    <x v="0"/>
    <b v="1"/>
  </r>
  <r>
    <s v="S-3b5458"/>
    <s v="A-98a59a"/>
    <d v="2024-09-12T00:00:00"/>
    <m/>
    <x v="0"/>
    <n v="56"/>
    <n v="11144"/>
    <n v="133728"/>
    <x v="0"/>
    <b v="0"/>
    <b v="0"/>
    <b v="0"/>
    <x v="0"/>
    <b v="1"/>
  </r>
  <r>
    <s v="S-a9b8a2"/>
    <s v="A-b78bf8"/>
    <d v="2024-11-25T00:00:00"/>
    <m/>
    <x v="1"/>
    <n v="33"/>
    <n v="1617"/>
    <n v="19404"/>
    <x v="0"/>
    <b v="0"/>
    <b v="0"/>
    <b v="0"/>
    <x v="1"/>
    <b v="1"/>
  </r>
  <r>
    <s v="S-41cf50"/>
    <s v="A-fa2041"/>
    <d v="2024-07-23T00:00:00"/>
    <m/>
    <x v="0"/>
    <n v="15"/>
    <n v="2985"/>
    <n v="35820"/>
    <x v="0"/>
    <b v="0"/>
    <b v="0"/>
    <b v="0"/>
    <x v="0"/>
    <b v="0"/>
  </r>
  <r>
    <s v="S-48d2b5"/>
    <s v="A-9c18c4"/>
    <d v="2023-08-09T00:00:00"/>
    <d v="2024-10-14T00:00:00"/>
    <x v="2"/>
    <n v="12"/>
    <n v="228"/>
    <n v="2736"/>
    <x v="0"/>
    <b v="0"/>
    <b v="0"/>
    <b v="1"/>
    <x v="0"/>
    <b v="1"/>
  </r>
  <r>
    <s v="S-be655e"/>
    <s v="A-7f29a7"/>
    <d v="2024-11-24T00:00:00"/>
    <m/>
    <x v="2"/>
    <n v="41"/>
    <n v="779"/>
    <n v="9348"/>
    <x v="0"/>
    <b v="0"/>
    <b v="0"/>
    <b v="0"/>
    <x v="1"/>
    <b v="1"/>
  </r>
  <r>
    <s v="S-8985d3"/>
    <s v="A-016043"/>
    <d v="2024-12-02T00:00:00"/>
    <m/>
    <x v="2"/>
    <n v="26"/>
    <n v="494"/>
    <n v="5928"/>
    <x v="0"/>
    <b v="0"/>
    <b v="0"/>
    <b v="0"/>
    <x v="0"/>
    <b v="0"/>
  </r>
  <r>
    <s v="S-9bf1a0"/>
    <s v="A-3932db"/>
    <d v="2024-03-06T00:00:00"/>
    <m/>
    <x v="2"/>
    <n v="41"/>
    <n v="779"/>
    <n v="9348"/>
    <x v="0"/>
    <b v="0"/>
    <b v="0"/>
    <b v="0"/>
    <x v="0"/>
    <b v="1"/>
  </r>
  <r>
    <s v="S-4571b1"/>
    <s v="A-df1e44"/>
    <d v="2024-06-28T00:00:00"/>
    <m/>
    <x v="2"/>
    <n v="12"/>
    <n v="228"/>
    <n v="2736"/>
    <x v="0"/>
    <b v="0"/>
    <b v="0"/>
    <b v="0"/>
    <x v="1"/>
    <b v="0"/>
  </r>
  <r>
    <s v="S-1b4be3"/>
    <s v="A-b44e3e"/>
    <d v="2024-04-15T00:00:00"/>
    <m/>
    <x v="1"/>
    <n v="40"/>
    <n v="1960"/>
    <n v="23520"/>
    <x v="0"/>
    <b v="1"/>
    <b v="0"/>
    <b v="0"/>
    <x v="1"/>
    <b v="1"/>
  </r>
  <r>
    <s v="S-ab37ae"/>
    <s v="A-f92792"/>
    <d v="2024-09-11T00:00:00"/>
    <m/>
    <x v="2"/>
    <n v="6"/>
    <n v="0"/>
    <n v="0"/>
    <x v="1"/>
    <b v="0"/>
    <b v="0"/>
    <b v="0"/>
    <x v="0"/>
    <b v="1"/>
  </r>
  <r>
    <s v="S-c23126"/>
    <s v="A-a45270"/>
    <d v="2024-10-31T00:00:00"/>
    <m/>
    <x v="0"/>
    <n v="11"/>
    <n v="2189"/>
    <n v="26268"/>
    <x v="0"/>
    <b v="0"/>
    <b v="0"/>
    <b v="0"/>
    <x v="1"/>
    <b v="0"/>
  </r>
  <r>
    <s v="S-150930"/>
    <s v="A-592832"/>
    <d v="2024-09-26T00:00:00"/>
    <m/>
    <x v="0"/>
    <n v="42"/>
    <n v="8358"/>
    <n v="100296"/>
    <x v="0"/>
    <b v="0"/>
    <b v="0"/>
    <b v="0"/>
    <x v="0"/>
    <b v="0"/>
  </r>
  <r>
    <s v="S-7dcec3"/>
    <s v="A-c37601"/>
    <d v="2024-12-17T00:00:00"/>
    <d v="2024-12-29T00:00:00"/>
    <x v="0"/>
    <n v="15"/>
    <n v="2985"/>
    <n v="35820"/>
    <x v="0"/>
    <b v="0"/>
    <b v="0"/>
    <b v="1"/>
    <x v="1"/>
    <b v="1"/>
  </r>
  <r>
    <s v="S-88338a"/>
    <s v="A-503d5a"/>
    <d v="2024-12-19T00:00:00"/>
    <m/>
    <x v="0"/>
    <n v="56"/>
    <n v="11144"/>
    <n v="133728"/>
    <x v="0"/>
    <b v="0"/>
    <b v="0"/>
    <b v="0"/>
    <x v="1"/>
    <b v="0"/>
  </r>
  <r>
    <s v="S-869430"/>
    <s v="A-9affe6"/>
    <d v="2024-02-16T00:00:00"/>
    <m/>
    <x v="1"/>
    <n v="29"/>
    <n v="1421"/>
    <n v="17052"/>
    <x v="0"/>
    <b v="0"/>
    <b v="0"/>
    <b v="0"/>
    <x v="0"/>
    <b v="1"/>
  </r>
  <r>
    <s v="S-5e6790"/>
    <s v="A-ba6516"/>
    <d v="2024-03-17T00:00:00"/>
    <m/>
    <x v="1"/>
    <n v="27"/>
    <n v="1323"/>
    <n v="15876"/>
    <x v="0"/>
    <b v="0"/>
    <b v="0"/>
    <b v="0"/>
    <x v="0"/>
    <b v="0"/>
  </r>
  <r>
    <s v="S-55ef07"/>
    <s v="A-94f8c9"/>
    <d v="2024-08-11T00:00:00"/>
    <m/>
    <x v="0"/>
    <n v="13"/>
    <n v="2587"/>
    <n v="31044"/>
    <x v="0"/>
    <b v="0"/>
    <b v="0"/>
    <b v="0"/>
    <x v="1"/>
    <b v="1"/>
  </r>
  <r>
    <s v="S-8cc2e2"/>
    <s v="A-4437e4"/>
    <d v="2024-02-12T00:00:00"/>
    <m/>
    <x v="1"/>
    <n v="27"/>
    <n v="1323"/>
    <n v="15876"/>
    <x v="0"/>
    <b v="0"/>
    <b v="0"/>
    <b v="0"/>
    <x v="0"/>
    <b v="1"/>
  </r>
  <r>
    <s v="S-f71bb0"/>
    <s v="A-e51ec7"/>
    <d v="2024-04-18T00:00:00"/>
    <m/>
    <x v="0"/>
    <n v="2"/>
    <n v="398"/>
    <n v="4776"/>
    <x v="0"/>
    <b v="1"/>
    <b v="0"/>
    <b v="0"/>
    <x v="1"/>
    <b v="0"/>
  </r>
  <r>
    <s v="S-cb7ea9"/>
    <s v="A-51ec1b"/>
    <d v="2024-04-01T00:00:00"/>
    <m/>
    <x v="0"/>
    <n v="7"/>
    <n v="1393"/>
    <n v="16716"/>
    <x v="0"/>
    <b v="1"/>
    <b v="1"/>
    <b v="0"/>
    <x v="0"/>
    <b v="1"/>
  </r>
  <r>
    <s v="S-9c06f8"/>
    <s v="A-692f18"/>
    <d v="2024-04-05T00:00:00"/>
    <m/>
    <x v="1"/>
    <n v="19"/>
    <n v="931"/>
    <n v="11172"/>
    <x v="0"/>
    <b v="0"/>
    <b v="0"/>
    <b v="0"/>
    <x v="1"/>
    <b v="1"/>
  </r>
  <r>
    <s v="S-637b20"/>
    <s v="A-ac9111"/>
    <d v="2024-02-18T00:00:00"/>
    <m/>
    <x v="0"/>
    <n v="56"/>
    <n v="0"/>
    <n v="0"/>
    <x v="1"/>
    <b v="0"/>
    <b v="0"/>
    <b v="0"/>
    <x v="0"/>
    <b v="1"/>
  </r>
  <r>
    <s v="S-0b46b0"/>
    <s v="A-de24d5"/>
    <d v="2024-11-19T00:00:00"/>
    <m/>
    <x v="0"/>
    <n v="7"/>
    <n v="1393"/>
    <n v="16716"/>
    <x v="0"/>
    <b v="0"/>
    <b v="0"/>
    <b v="0"/>
    <x v="0"/>
    <b v="1"/>
  </r>
  <r>
    <s v="S-071ade"/>
    <s v="A-aa9511"/>
    <d v="2024-11-07T00:00:00"/>
    <m/>
    <x v="2"/>
    <n v="23"/>
    <n v="437"/>
    <n v="5244"/>
    <x v="0"/>
    <b v="0"/>
    <b v="1"/>
    <b v="0"/>
    <x v="1"/>
    <b v="1"/>
  </r>
  <r>
    <s v="S-08a5fd"/>
    <s v="A-b9eed8"/>
    <d v="2024-10-24T00:00:00"/>
    <m/>
    <x v="0"/>
    <n v="34"/>
    <n v="6766"/>
    <n v="81192"/>
    <x v="0"/>
    <b v="0"/>
    <b v="0"/>
    <b v="0"/>
    <x v="0"/>
    <b v="1"/>
  </r>
  <r>
    <s v="S-acf8ce"/>
    <s v="A-78f02b"/>
    <d v="2024-12-06T00:00:00"/>
    <m/>
    <x v="1"/>
    <n v="179"/>
    <n v="8771"/>
    <n v="105252"/>
    <x v="0"/>
    <b v="0"/>
    <b v="0"/>
    <b v="0"/>
    <x v="0"/>
    <b v="0"/>
  </r>
  <r>
    <s v="S-104941"/>
    <s v="A-fdfc91"/>
    <d v="2023-07-30T00:00:00"/>
    <m/>
    <x v="2"/>
    <n v="29"/>
    <n v="551"/>
    <n v="6612"/>
    <x v="0"/>
    <b v="1"/>
    <b v="0"/>
    <b v="0"/>
    <x v="0"/>
    <b v="1"/>
  </r>
  <r>
    <s v="S-a91e0c"/>
    <s v="A-22f2df"/>
    <d v="2024-12-29T00:00:00"/>
    <m/>
    <x v="0"/>
    <n v="5"/>
    <n v="995"/>
    <n v="11940"/>
    <x v="0"/>
    <b v="0"/>
    <b v="1"/>
    <b v="0"/>
    <x v="0"/>
    <b v="1"/>
  </r>
  <r>
    <s v="S-115423"/>
    <s v="A-7f8241"/>
    <d v="2023-08-05T00:00:00"/>
    <m/>
    <x v="1"/>
    <n v="34"/>
    <n v="1666"/>
    <n v="19992"/>
    <x v="0"/>
    <b v="0"/>
    <b v="0"/>
    <b v="0"/>
    <x v="1"/>
    <b v="1"/>
  </r>
  <r>
    <s v="S-6ef81d"/>
    <s v="A-0b0d6d"/>
    <d v="2024-12-30T00:00:00"/>
    <d v="2024-12-31T00:00:00"/>
    <x v="2"/>
    <n v="25"/>
    <n v="475"/>
    <n v="5700"/>
    <x v="0"/>
    <b v="0"/>
    <b v="0"/>
    <b v="1"/>
    <x v="1"/>
    <b v="1"/>
  </r>
  <r>
    <s v="S-fe25ff"/>
    <s v="A-410e86"/>
    <d v="2024-11-29T00:00:00"/>
    <m/>
    <x v="0"/>
    <n v="24"/>
    <n v="4776"/>
    <n v="57312"/>
    <x v="0"/>
    <b v="0"/>
    <b v="0"/>
    <b v="0"/>
    <x v="1"/>
    <b v="1"/>
  </r>
  <r>
    <s v="S-c3d2f9"/>
    <s v="A-1d5444"/>
    <d v="2024-04-04T00:00:00"/>
    <m/>
    <x v="2"/>
    <n v="24"/>
    <n v="456"/>
    <n v="5472"/>
    <x v="0"/>
    <b v="0"/>
    <b v="0"/>
    <b v="0"/>
    <x v="1"/>
    <b v="1"/>
  </r>
  <r>
    <s v="S-decbf7"/>
    <s v="A-a33200"/>
    <d v="2024-11-26T00:00:00"/>
    <m/>
    <x v="0"/>
    <n v="29"/>
    <n v="5771"/>
    <n v="69252"/>
    <x v="0"/>
    <b v="0"/>
    <b v="0"/>
    <b v="0"/>
    <x v="1"/>
    <b v="0"/>
  </r>
  <r>
    <s v="S-ae4310"/>
    <s v="A-5790f4"/>
    <d v="2024-12-22T00:00:00"/>
    <m/>
    <x v="1"/>
    <n v="20"/>
    <n v="0"/>
    <n v="0"/>
    <x v="1"/>
    <b v="0"/>
    <b v="0"/>
    <b v="0"/>
    <x v="0"/>
    <b v="1"/>
  </r>
  <r>
    <s v="S-9e8ce0"/>
    <s v="A-7f29a7"/>
    <d v="2024-11-28T00:00:00"/>
    <m/>
    <x v="1"/>
    <n v="41"/>
    <n v="2009"/>
    <n v="24108"/>
    <x v="0"/>
    <b v="0"/>
    <b v="0"/>
    <b v="0"/>
    <x v="1"/>
    <b v="1"/>
  </r>
  <r>
    <s v="S-6d51c5"/>
    <s v="A-2f6a32"/>
    <d v="2024-10-25T00:00:00"/>
    <m/>
    <x v="1"/>
    <n v="23"/>
    <n v="1127"/>
    <n v="13524"/>
    <x v="0"/>
    <b v="0"/>
    <b v="0"/>
    <b v="0"/>
    <x v="1"/>
    <b v="1"/>
  </r>
  <r>
    <s v="S-c0127d"/>
    <s v="A-5c9849"/>
    <d v="2024-12-03T00:00:00"/>
    <m/>
    <x v="0"/>
    <n v="19"/>
    <n v="0"/>
    <n v="0"/>
    <x v="1"/>
    <b v="0"/>
    <b v="0"/>
    <b v="0"/>
    <x v="0"/>
    <b v="1"/>
  </r>
  <r>
    <s v="S-9b08ae"/>
    <s v="A-ccabf0"/>
    <d v="2023-12-29T00:00:00"/>
    <m/>
    <x v="1"/>
    <n v="21"/>
    <n v="1029"/>
    <n v="12348"/>
    <x v="0"/>
    <b v="0"/>
    <b v="0"/>
    <b v="0"/>
    <x v="0"/>
    <b v="1"/>
  </r>
  <r>
    <s v="S-26836c"/>
    <s v="A-4437e4"/>
    <d v="2023-11-20T00:00:00"/>
    <m/>
    <x v="2"/>
    <n v="9"/>
    <n v="0"/>
    <n v="0"/>
    <x v="1"/>
    <b v="0"/>
    <b v="0"/>
    <b v="0"/>
    <x v="0"/>
    <b v="1"/>
  </r>
  <r>
    <s v="S-a603dd"/>
    <s v="A-560d27"/>
    <d v="2024-11-12T00:00:00"/>
    <m/>
    <x v="2"/>
    <n v="23"/>
    <n v="437"/>
    <n v="5244"/>
    <x v="0"/>
    <b v="0"/>
    <b v="0"/>
    <b v="0"/>
    <x v="0"/>
    <b v="1"/>
  </r>
  <r>
    <s v="S-94b283"/>
    <s v="A-186a44"/>
    <d v="2024-10-28T00:00:00"/>
    <m/>
    <x v="2"/>
    <n v="20"/>
    <n v="0"/>
    <n v="0"/>
    <x v="1"/>
    <b v="0"/>
    <b v="0"/>
    <b v="0"/>
    <x v="0"/>
    <b v="1"/>
  </r>
  <r>
    <s v="S-f7b517"/>
    <s v="A-427b69"/>
    <d v="2024-12-09T00:00:00"/>
    <m/>
    <x v="1"/>
    <n v="17"/>
    <n v="0"/>
    <n v="0"/>
    <x v="1"/>
    <b v="0"/>
    <b v="0"/>
    <b v="0"/>
    <x v="0"/>
    <b v="1"/>
  </r>
  <r>
    <s v="S-09c1df"/>
    <s v="A-b7724f"/>
    <d v="2024-09-15T00:00:00"/>
    <d v="2024-10-02T00:00:00"/>
    <x v="1"/>
    <n v="1"/>
    <n v="49"/>
    <n v="588"/>
    <x v="0"/>
    <b v="0"/>
    <b v="0"/>
    <b v="1"/>
    <x v="1"/>
    <b v="1"/>
  </r>
  <r>
    <s v="S-50aaaa"/>
    <s v="A-af0cd2"/>
    <d v="2023-01-12T00:00:00"/>
    <m/>
    <x v="1"/>
    <n v="19"/>
    <n v="931"/>
    <n v="11172"/>
    <x v="0"/>
    <b v="0"/>
    <b v="0"/>
    <b v="0"/>
    <x v="0"/>
    <b v="1"/>
  </r>
  <r>
    <s v="S-fbee8e"/>
    <s v="A-8ed5dd"/>
    <d v="2024-04-25T00:00:00"/>
    <m/>
    <x v="0"/>
    <n v="5"/>
    <n v="995"/>
    <n v="11940"/>
    <x v="0"/>
    <b v="1"/>
    <b v="0"/>
    <b v="0"/>
    <x v="1"/>
    <b v="1"/>
  </r>
  <r>
    <s v="S-7e145e"/>
    <s v="A-0b0d6d"/>
    <d v="2024-12-31T00:00:00"/>
    <m/>
    <x v="0"/>
    <n v="52"/>
    <n v="10348"/>
    <n v="124176"/>
    <x v="0"/>
    <b v="0"/>
    <b v="0"/>
    <b v="0"/>
    <x v="1"/>
    <b v="1"/>
  </r>
  <r>
    <s v="S-0e12c9"/>
    <s v="A-bcf87c"/>
    <d v="2024-12-10T00:00:00"/>
    <m/>
    <x v="2"/>
    <n v="51"/>
    <n v="0"/>
    <n v="0"/>
    <x v="1"/>
    <b v="0"/>
    <b v="0"/>
    <b v="0"/>
    <x v="0"/>
    <b v="1"/>
  </r>
  <r>
    <s v="S-4f3461"/>
    <s v="A-b78bf8"/>
    <d v="2024-12-18T00:00:00"/>
    <m/>
    <x v="0"/>
    <n v="33"/>
    <n v="0"/>
    <n v="0"/>
    <x v="1"/>
    <b v="0"/>
    <b v="0"/>
    <b v="0"/>
    <x v="0"/>
    <b v="1"/>
  </r>
  <r>
    <s v="S-56886a"/>
    <s v="A-e19ff6"/>
    <d v="2024-08-11T00:00:00"/>
    <m/>
    <x v="0"/>
    <n v="3"/>
    <n v="0"/>
    <n v="0"/>
    <x v="1"/>
    <b v="0"/>
    <b v="0"/>
    <b v="0"/>
    <x v="1"/>
    <b v="0"/>
  </r>
  <r>
    <s v="S-fd0d21"/>
    <s v="A-2446e3"/>
    <d v="2024-09-02T00:00:00"/>
    <m/>
    <x v="2"/>
    <n v="27"/>
    <n v="0"/>
    <n v="0"/>
    <x v="1"/>
    <b v="0"/>
    <b v="0"/>
    <b v="0"/>
    <x v="1"/>
    <b v="0"/>
  </r>
  <r>
    <s v="S-f0081e"/>
    <s v="A-b7ef83"/>
    <d v="2024-12-06T00:00:00"/>
    <d v="2024-12-10T00:00:00"/>
    <x v="0"/>
    <n v="45"/>
    <n v="8955"/>
    <n v="107460"/>
    <x v="0"/>
    <b v="0"/>
    <b v="0"/>
    <b v="1"/>
    <x v="0"/>
    <b v="1"/>
  </r>
  <r>
    <s v="S-cf30e2"/>
    <s v="A-2789e3"/>
    <d v="2024-12-14T00:00:00"/>
    <m/>
    <x v="1"/>
    <n v="11"/>
    <n v="0"/>
    <n v="0"/>
    <x v="1"/>
    <b v="0"/>
    <b v="0"/>
    <b v="0"/>
    <x v="0"/>
    <b v="1"/>
  </r>
  <r>
    <s v="S-3c9178"/>
    <s v="A-17939a"/>
    <d v="2024-12-29T00:00:00"/>
    <m/>
    <x v="2"/>
    <n v="11"/>
    <n v="209"/>
    <n v="2508"/>
    <x v="0"/>
    <b v="0"/>
    <b v="0"/>
    <b v="0"/>
    <x v="0"/>
    <b v="0"/>
  </r>
  <r>
    <s v="S-86a4e3"/>
    <s v="A-e693b6"/>
    <d v="2023-08-01T00:00:00"/>
    <m/>
    <x v="2"/>
    <n v="55"/>
    <n v="1045"/>
    <n v="12540"/>
    <x v="0"/>
    <b v="0"/>
    <b v="0"/>
    <b v="0"/>
    <x v="1"/>
    <b v="1"/>
  </r>
  <r>
    <s v="S-27514e"/>
    <s v="A-3f9cc0"/>
    <d v="2024-07-21T00:00:00"/>
    <m/>
    <x v="2"/>
    <n v="22"/>
    <n v="418"/>
    <n v="5016"/>
    <x v="0"/>
    <b v="0"/>
    <b v="1"/>
    <b v="0"/>
    <x v="0"/>
    <b v="1"/>
  </r>
  <r>
    <s v="S-aea1bf"/>
    <s v="A-d49cc5"/>
    <d v="2024-05-10T00:00:00"/>
    <m/>
    <x v="1"/>
    <n v="50"/>
    <n v="2450"/>
    <n v="29400"/>
    <x v="0"/>
    <b v="0"/>
    <b v="0"/>
    <b v="0"/>
    <x v="0"/>
    <b v="1"/>
  </r>
  <r>
    <s v="S-41128b"/>
    <s v="A-45ce7a"/>
    <d v="2024-11-13T00:00:00"/>
    <m/>
    <x v="0"/>
    <n v="16"/>
    <n v="3184"/>
    <n v="38208"/>
    <x v="0"/>
    <b v="0"/>
    <b v="0"/>
    <b v="0"/>
    <x v="0"/>
    <b v="1"/>
  </r>
  <r>
    <s v="S-a80c62"/>
    <s v="A-bad8c1"/>
    <d v="2024-02-22T00:00:00"/>
    <m/>
    <x v="0"/>
    <n v="12"/>
    <n v="2388"/>
    <n v="28656"/>
    <x v="0"/>
    <b v="1"/>
    <b v="0"/>
    <b v="0"/>
    <x v="0"/>
    <b v="1"/>
  </r>
  <r>
    <s v="S-d7497b"/>
    <s v="A-39b19f"/>
    <d v="2024-11-07T00:00:00"/>
    <m/>
    <x v="2"/>
    <n v="13"/>
    <n v="247"/>
    <n v="2964"/>
    <x v="0"/>
    <b v="0"/>
    <b v="0"/>
    <b v="0"/>
    <x v="0"/>
    <b v="1"/>
  </r>
  <r>
    <s v="S-0e7e70"/>
    <s v="A-50f3f7"/>
    <d v="2024-05-15T00:00:00"/>
    <m/>
    <x v="1"/>
    <n v="31"/>
    <n v="1519"/>
    <n v="18228"/>
    <x v="0"/>
    <b v="0"/>
    <b v="0"/>
    <b v="0"/>
    <x v="1"/>
    <b v="1"/>
  </r>
  <r>
    <s v="S-2f0815"/>
    <s v="A-22d9d2"/>
    <d v="2024-10-14T00:00:00"/>
    <m/>
    <x v="1"/>
    <n v="8"/>
    <n v="392"/>
    <n v="4704"/>
    <x v="0"/>
    <b v="0"/>
    <b v="0"/>
    <b v="0"/>
    <x v="0"/>
    <b v="1"/>
  </r>
  <r>
    <s v="S-06770c"/>
    <s v="A-1b7577"/>
    <d v="2024-11-15T00:00:00"/>
    <m/>
    <x v="2"/>
    <n v="81"/>
    <n v="1539"/>
    <n v="18468"/>
    <x v="0"/>
    <b v="0"/>
    <b v="0"/>
    <b v="0"/>
    <x v="0"/>
    <b v="1"/>
  </r>
  <r>
    <s v="S-a525b3"/>
    <s v="A-df10db"/>
    <d v="2023-12-05T00:00:00"/>
    <m/>
    <x v="1"/>
    <n v="7"/>
    <n v="343"/>
    <n v="4116"/>
    <x v="0"/>
    <b v="1"/>
    <b v="0"/>
    <b v="0"/>
    <x v="0"/>
    <b v="0"/>
  </r>
  <r>
    <s v="S-f030d4"/>
    <s v="A-7e0a10"/>
    <d v="2024-12-30T00:00:00"/>
    <m/>
    <x v="0"/>
    <n v="70"/>
    <n v="13930"/>
    <n v="167160"/>
    <x v="0"/>
    <b v="0"/>
    <b v="0"/>
    <b v="0"/>
    <x v="1"/>
    <b v="1"/>
  </r>
  <r>
    <s v="S-b83d8d"/>
    <s v="A-86902e"/>
    <d v="2024-12-11T00:00:00"/>
    <m/>
    <x v="0"/>
    <n v="34"/>
    <n v="6766"/>
    <n v="81192"/>
    <x v="0"/>
    <b v="0"/>
    <b v="0"/>
    <b v="0"/>
    <x v="1"/>
    <b v="1"/>
  </r>
  <r>
    <s v="S-e78c09"/>
    <s v="A-b9f5b1"/>
    <d v="2024-10-15T00:00:00"/>
    <m/>
    <x v="0"/>
    <n v="15"/>
    <n v="2985"/>
    <n v="35820"/>
    <x v="0"/>
    <b v="0"/>
    <b v="0"/>
    <b v="0"/>
    <x v="1"/>
    <b v="1"/>
  </r>
  <r>
    <s v="S-19465f"/>
    <s v="A-039727"/>
    <d v="2024-11-12T00:00:00"/>
    <m/>
    <x v="2"/>
    <n v="25"/>
    <n v="475"/>
    <n v="5700"/>
    <x v="0"/>
    <b v="0"/>
    <b v="0"/>
    <b v="0"/>
    <x v="0"/>
    <b v="1"/>
  </r>
  <r>
    <s v="S-b45bc6"/>
    <s v="A-425e76"/>
    <d v="2023-08-18T00:00:00"/>
    <d v="2023-11-01T00:00:00"/>
    <x v="0"/>
    <n v="32"/>
    <n v="6368"/>
    <n v="76416"/>
    <x v="0"/>
    <b v="0"/>
    <b v="0"/>
    <b v="1"/>
    <x v="0"/>
    <b v="1"/>
  </r>
  <r>
    <s v="S-35ff7e"/>
    <s v="A-271f46"/>
    <d v="2024-06-09T00:00:00"/>
    <m/>
    <x v="2"/>
    <n v="38"/>
    <n v="722"/>
    <n v="8664"/>
    <x v="0"/>
    <b v="0"/>
    <b v="0"/>
    <b v="0"/>
    <x v="1"/>
    <b v="1"/>
  </r>
  <r>
    <s v="S-f932c0"/>
    <s v="A-1b7577"/>
    <d v="2024-11-02T00:00:00"/>
    <m/>
    <x v="2"/>
    <n v="14"/>
    <n v="0"/>
    <n v="0"/>
    <x v="1"/>
    <b v="0"/>
    <b v="0"/>
    <b v="0"/>
    <x v="1"/>
    <b v="1"/>
  </r>
  <r>
    <s v="S-c58b17"/>
    <s v="A-e1462e"/>
    <d v="2024-07-07T00:00:00"/>
    <m/>
    <x v="1"/>
    <n v="46"/>
    <n v="2254"/>
    <n v="27048"/>
    <x v="0"/>
    <b v="0"/>
    <b v="0"/>
    <b v="0"/>
    <x v="1"/>
    <b v="1"/>
  </r>
  <r>
    <s v="S-b32a70"/>
    <s v="A-3ce5b8"/>
    <d v="2024-09-30T00:00:00"/>
    <m/>
    <x v="2"/>
    <n v="8"/>
    <n v="152"/>
    <n v="1824"/>
    <x v="0"/>
    <b v="0"/>
    <b v="0"/>
    <b v="0"/>
    <x v="0"/>
    <b v="1"/>
  </r>
  <r>
    <s v="S-e3dff3"/>
    <s v="A-e98302"/>
    <d v="2024-07-14T00:00:00"/>
    <m/>
    <x v="1"/>
    <n v="23"/>
    <n v="1127"/>
    <n v="13524"/>
    <x v="0"/>
    <b v="0"/>
    <b v="0"/>
    <b v="0"/>
    <x v="1"/>
    <b v="1"/>
  </r>
  <r>
    <s v="S-2b2fa8"/>
    <s v="A-ed510f"/>
    <d v="2024-05-16T00:00:00"/>
    <m/>
    <x v="1"/>
    <n v="42"/>
    <n v="2058"/>
    <n v="24696"/>
    <x v="0"/>
    <b v="1"/>
    <b v="0"/>
    <b v="0"/>
    <x v="1"/>
    <b v="1"/>
  </r>
  <r>
    <s v="S-6b3ac8"/>
    <s v="A-7641d3"/>
    <d v="2024-08-03T00:00:00"/>
    <m/>
    <x v="1"/>
    <n v="61"/>
    <n v="2989"/>
    <n v="35868"/>
    <x v="0"/>
    <b v="0"/>
    <b v="1"/>
    <b v="0"/>
    <x v="0"/>
    <b v="1"/>
  </r>
  <r>
    <s v="S-e964b6"/>
    <s v="A-bcbe98"/>
    <d v="2024-12-30T00:00:00"/>
    <m/>
    <x v="2"/>
    <n v="46"/>
    <n v="874"/>
    <n v="10488"/>
    <x v="0"/>
    <b v="0"/>
    <b v="0"/>
    <b v="0"/>
    <x v="0"/>
    <b v="1"/>
  </r>
  <r>
    <s v="S-6c1ca6"/>
    <s v="A-e1b9cd"/>
    <d v="2024-12-05T00:00:00"/>
    <m/>
    <x v="1"/>
    <n v="40"/>
    <n v="1960"/>
    <n v="23520"/>
    <x v="0"/>
    <b v="0"/>
    <b v="0"/>
    <b v="0"/>
    <x v="0"/>
    <b v="0"/>
  </r>
  <r>
    <s v="S-ce887e"/>
    <s v="A-cd458b"/>
    <d v="2024-10-04T00:00:00"/>
    <m/>
    <x v="0"/>
    <n v="10"/>
    <n v="1990"/>
    <n v="23880"/>
    <x v="0"/>
    <b v="0"/>
    <b v="0"/>
    <b v="0"/>
    <x v="1"/>
    <b v="1"/>
  </r>
  <r>
    <s v="S-95c2e3"/>
    <s v="A-86cdb4"/>
    <d v="2024-12-19T00:00:00"/>
    <m/>
    <x v="1"/>
    <n v="8"/>
    <n v="392"/>
    <n v="4704"/>
    <x v="0"/>
    <b v="0"/>
    <b v="0"/>
    <b v="0"/>
    <x v="0"/>
    <b v="1"/>
  </r>
  <r>
    <s v="S-f55146"/>
    <s v="A-417d2f"/>
    <d v="2024-09-21T00:00:00"/>
    <m/>
    <x v="0"/>
    <n v="14"/>
    <n v="0"/>
    <n v="0"/>
    <x v="1"/>
    <b v="0"/>
    <b v="0"/>
    <b v="0"/>
    <x v="1"/>
    <b v="1"/>
  </r>
  <r>
    <s v="S-04ec2f"/>
    <s v="A-faa28c"/>
    <d v="2024-02-11T00:00:00"/>
    <m/>
    <x v="1"/>
    <n v="48"/>
    <n v="2352"/>
    <n v="28224"/>
    <x v="0"/>
    <b v="0"/>
    <b v="0"/>
    <b v="0"/>
    <x v="1"/>
    <b v="1"/>
  </r>
  <r>
    <s v="S-89a8a2"/>
    <s v="A-72799b"/>
    <d v="2024-10-21T00:00:00"/>
    <m/>
    <x v="1"/>
    <n v="61"/>
    <n v="2989"/>
    <n v="35868"/>
    <x v="0"/>
    <b v="0"/>
    <b v="0"/>
    <b v="0"/>
    <x v="1"/>
    <b v="1"/>
  </r>
  <r>
    <s v="S-ac8fd3"/>
    <s v="A-484819"/>
    <d v="2024-11-13T00:00:00"/>
    <m/>
    <x v="0"/>
    <n v="18"/>
    <n v="3582"/>
    <n v="42984"/>
    <x v="0"/>
    <b v="1"/>
    <b v="0"/>
    <b v="0"/>
    <x v="0"/>
    <b v="1"/>
  </r>
  <r>
    <s v="S-70addb"/>
    <s v="A-692f18"/>
    <d v="2024-10-05T00:00:00"/>
    <m/>
    <x v="2"/>
    <n v="10"/>
    <n v="190"/>
    <n v="2280"/>
    <x v="0"/>
    <b v="0"/>
    <b v="0"/>
    <b v="0"/>
    <x v="0"/>
    <b v="0"/>
  </r>
  <r>
    <s v="S-1261fb"/>
    <s v="A-fd7ad3"/>
    <d v="2024-11-29T00:00:00"/>
    <m/>
    <x v="1"/>
    <n v="1"/>
    <n v="49"/>
    <n v="588"/>
    <x v="0"/>
    <b v="0"/>
    <b v="0"/>
    <b v="0"/>
    <x v="0"/>
    <b v="0"/>
  </r>
  <r>
    <s v="S-561d54"/>
    <s v="A-0a282f"/>
    <d v="2024-11-10T00:00:00"/>
    <m/>
    <x v="1"/>
    <n v="1"/>
    <n v="49"/>
    <n v="588"/>
    <x v="0"/>
    <b v="0"/>
    <b v="0"/>
    <b v="0"/>
    <x v="1"/>
    <b v="1"/>
  </r>
  <r>
    <s v="S-f6f848"/>
    <s v="A-c37601"/>
    <d v="2024-12-28T00:00:00"/>
    <m/>
    <x v="1"/>
    <n v="6"/>
    <n v="294"/>
    <n v="3528"/>
    <x v="0"/>
    <b v="0"/>
    <b v="0"/>
    <b v="0"/>
    <x v="1"/>
    <b v="1"/>
  </r>
  <r>
    <s v="S-c021c2"/>
    <s v="A-bd4708"/>
    <d v="2024-07-24T00:00:00"/>
    <m/>
    <x v="0"/>
    <n v="37"/>
    <n v="7363"/>
    <n v="88356"/>
    <x v="0"/>
    <b v="0"/>
    <b v="0"/>
    <b v="0"/>
    <x v="1"/>
    <b v="1"/>
  </r>
  <r>
    <s v="S-b91501"/>
    <s v="A-ce66f8"/>
    <d v="2024-07-19T00:00:00"/>
    <m/>
    <x v="1"/>
    <n v="29"/>
    <n v="1421"/>
    <n v="17052"/>
    <x v="0"/>
    <b v="0"/>
    <b v="0"/>
    <b v="0"/>
    <x v="1"/>
    <b v="1"/>
  </r>
  <r>
    <s v="S-d507da"/>
    <s v="A-aa9511"/>
    <d v="2023-11-01T00:00:00"/>
    <m/>
    <x v="0"/>
    <n v="23"/>
    <n v="4577"/>
    <n v="54924"/>
    <x v="0"/>
    <b v="0"/>
    <b v="0"/>
    <b v="0"/>
    <x v="1"/>
    <b v="1"/>
  </r>
  <r>
    <s v="S-6bf118"/>
    <s v="A-50f3f7"/>
    <d v="2024-11-06T00:00:00"/>
    <m/>
    <x v="2"/>
    <n v="117"/>
    <n v="2223"/>
    <n v="26676"/>
    <x v="0"/>
    <b v="0"/>
    <b v="0"/>
    <b v="0"/>
    <x v="0"/>
    <b v="1"/>
  </r>
  <r>
    <s v="S-f2f40c"/>
    <s v="A-7f4db3"/>
    <d v="2024-06-29T00:00:00"/>
    <m/>
    <x v="0"/>
    <n v="45"/>
    <n v="8955"/>
    <n v="107460"/>
    <x v="0"/>
    <b v="0"/>
    <b v="0"/>
    <b v="0"/>
    <x v="1"/>
    <b v="1"/>
  </r>
  <r>
    <s v="S-a9bfe0"/>
    <s v="A-4bfa33"/>
    <d v="2024-12-12T00:00:00"/>
    <d v="2024-12-29T00:00:00"/>
    <x v="1"/>
    <n v="9"/>
    <n v="441"/>
    <n v="5292"/>
    <x v="0"/>
    <b v="0"/>
    <b v="0"/>
    <b v="1"/>
    <x v="0"/>
    <b v="0"/>
  </r>
  <r>
    <s v="S-96bb5c"/>
    <s v="A-832ec2"/>
    <d v="2024-05-26T00:00:00"/>
    <m/>
    <x v="2"/>
    <n v="12"/>
    <n v="228"/>
    <n v="2736"/>
    <x v="0"/>
    <b v="1"/>
    <b v="0"/>
    <b v="0"/>
    <x v="0"/>
    <b v="0"/>
  </r>
  <r>
    <s v="S-fd12a3"/>
    <s v="A-ed510f"/>
    <d v="2023-07-17T00:00:00"/>
    <d v="2023-10-09T00:00:00"/>
    <x v="2"/>
    <n v="42"/>
    <n v="798"/>
    <n v="9576"/>
    <x v="0"/>
    <b v="0"/>
    <b v="0"/>
    <b v="1"/>
    <x v="1"/>
    <b v="0"/>
  </r>
  <r>
    <s v="S-7e5af5"/>
    <s v="A-1d5444"/>
    <d v="2024-03-19T00:00:00"/>
    <m/>
    <x v="2"/>
    <n v="24"/>
    <n v="456"/>
    <n v="5472"/>
    <x v="0"/>
    <b v="0"/>
    <b v="0"/>
    <b v="0"/>
    <x v="1"/>
    <b v="1"/>
  </r>
  <r>
    <s v="S-3a5c75"/>
    <s v="A-a8d89d"/>
    <d v="2024-12-05T00:00:00"/>
    <m/>
    <x v="2"/>
    <n v="17"/>
    <n v="323"/>
    <n v="3876"/>
    <x v="0"/>
    <b v="0"/>
    <b v="0"/>
    <b v="0"/>
    <x v="1"/>
    <b v="1"/>
  </r>
  <r>
    <s v="S-211bc2"/>
    <s v="A-3b5cd1"/>
    <d v="2024-11-24T00:00:00"/>
    <m/>
    <x v="0"/>
    <n v="13"/>
    <n v="2587"/>
    <n v="31044"/>
    <x v="0"/>
    <b v="0"/>
    <b v="0"/>
    <b v="0"/>
    <x v="1"/>
    <b v="0"/>
  </r>
  <r>
    <s v="S-1f5faf"/>
    <s v="A-34ea2f"/>
    <d v="2024-10-03T00:00:00"/>
    <d v="2024-12-20T00:00:00"/>
    <x v="0"/>
    <n v="8"/>
    <n v="0"/>
    <n v="0"/>
    <x v="1"/>
    <b v="0"/>
    <b v="0"/>
    <b v="1"/>
    <x v="0"/>
    <b v="0"/>
  </r>
  <r>
    <s v="S-54b286"/>
    <s v="A-0532a9"/>
    <d v="2024-12-20T00:00:00"/>
    <m/>
    <x v="1"/>
    <n v="26"/>
    <n v="1274"/>
    <n v="15288"/>
    <x v="0"/>
    <b v="1"/>
    <b v="0"/>
    <b v="0"/>
    <x v="0"/>
    <b v="0"/>
  </r>
  <r>
    <s v="S-8cfc1b"/>
    <s v="A-798a3f"/>
    <d v="2024-08-14T00:00:00"/>
    <m/>
    <x v="0"/>
    <n v="26"/>
    <n v="5174"/>
    <n v="62088"/>
    <x v="0"/>
    <b v="0"/>
    <b v="0"/>
    <b v="0"/>
    <x v="1"/>
    <b v="1"/>
  </r>
  <r>
    <s v="S-3c3a3e"/>
    <s v="A-0baac2"/>
    <d v="2024-06-02T00:00:00"/>
    <d v="2024-09-13T00:00:00"/>
    <x v="0"/>
    <n v="29"/>
    <n v="5771"/>
    <n v="69252"/>
    <x v="0"/>
    <b v="0"/>
    <b v="0"/>
    <b v="1"/>
    <x v="1"/>
    <b v="1"/>
  </r>
  <r>
    <s v="S-d735d1"/>
    <s v="A-0f3e88"/>
    <d v="2023-09-23T00:00:00"/>
    <m/>
    <x v="2"/>
    <n v="24"/>
    <n v="456"/>
    <n v="5472"/>
    <x v="0"/>
    <b v="0"/>
    <b v="0"/>
    <b v="0"/>
    <x v="0"/>
    <b v="1"/>
  </r>
  <r>
    <s v="S-87b9f7"/>
    <s v="A-39868b"/>
    <d v="2024-11-28T00:00:00"/>
    <m/>
    <x v="2"/>
    <n v="17"/>
    <n v="0"/>
    <n v="0"/>
    <x v="1"/>
    <b v="0"/>
    <b v="0"/>
    <b v="0"/>
    <x v="1"/>
    <b v="0"/>
  </r>
  <r>
    <s v="S-bfc2c2"/>
    <s v="A-7f8241"/>
    <d v="2023-09-06T00:00:00"/>
    <m/>
    <x v="1"/>
    <n v="34"/>
    <n v="1666"/>
    <n v="19992"/>
    <x v="0"/>
    <b v="0"/>
    <b v="0"/>
    <b v="0"/>
    <x v="0"/>
    <b v="1"/>
  </r>
  <r>
    <s v="S-d19da0"/>
    <s v="A-7da956"/>
    <d v="2024-11-04T00:00:00"/>
    <m/>
    <x v="2"/>
    <n v="13"/>
    <n v="247"/>
    <n v="2964"/>
    <x v="0"/>
    <b v="0"/>
    <b v="0"/>
    <b v="0"/>
    <x v="1"/>
    <b v="1"/>
  </r>
  <r>
    <s v="S-683e1e"/>
    <s v="A-91e948"/>
    <d v="2024-11-09T00:00:00"/>
    <m/>
    <x v="0"/>
    <n v="41"/>
    <n v="8159"/>
    <n v="97908"/>
    <x v="0"/>
    <b v="0"/>
    <b v="0"/>
    <b v="0"/>
    <x v="0"/>
    <b v="1"/>
  </r>
  <r>
    <s v="S-b38152"/>
    <s v="A-f97b9a"/>
    <d v="2024-04-14T00:00:00"/>
    <m/>
    <x v="0"/>
    <n v="30"/>
    <n v="5970"/>
    <n v="71640"/>
    <x v="0"/>
    <b v="0"/>
    <b v="0"/>
    <b v="0"/>
    <x v="1"/>
    <b v="1"/>
  </r>
  <r>
    <s v="S-5f4cc6"/>
    <s v="A-378b99"/>
    <d v="2024-10-14T00:00:00"/>
    <m/>
    <x v="1"/>
    <n v="16"/>
    <n v="0"/>
    <n v="0"/>
    <x v="1"/>
    <b v="0"/>
    <b v="0"/>
    <b v="0"/>
    <x v="0"/>
    <b v="1"/>
  </r>
  <r>
    <s v="S-0fa88d"/>
    <s v="A-54ecc2"/>
    <d v="2024-09-27T00:00:00"/>
    <m/>
    <x v="2"/>
    <n v="6"/>
    <n v="114"/>
    <n v="1368"/>
    <x v="0"/>
    <b v="0"/>
    <b v="0"/>
    <b v="0"/>
    <x v="0"/>
    <b v="1"/>
  </r>
  <r>
    <s v="S-0d4d11"/>
    <s v="A-d77f4c"/>
    <d v="2023-11-10T00:00:00"/>
    <m/>
    <x v="2"/>
    <n v="41"/>
    <n v="0"/>
    <n v="0"/>
    <x v="1"/>
    <b v="0"/>
    <b v="1"/>
    <b v="0"/>
    <x v="0"/>
    <b v="1"/>
  </r>
  <r>
    <s v="S-21393c"/>
    <s v="A-65a46c"/>
    <d v="2024-04-14T00:00:00"/>
    <m/>
    <x v="0"/>
    <n v="9"/>
    <n v="1791"/>
    <n v="21492"/>
    <x v="0"/>
    <b v="1"/>
    <b v="0"/>
    <b v="0"/>
    <x v="0"/>
    <b v="1"/>
  </r>
  <r>
    <s v="S-cdde2b"/>
    <s v="A-c7ffc2"/>
    <d v="2023-07-19T00:00:00"/>
    <m/>
    <x v="2"/>
    <n v="30"/>
    <n v="570"/>
    <n v="6840"/>
    <x v="0"/>
    <b v="1"/>
    <b v="0"/>
    <b v="0"/>
    <x v="0"/>
    <b v="0"/>
  </r>
  <r>
    <s v="S-965b1c"/>
    <s v="A-a8d89d"/>
    <d v="2024-06-16T00:00:00"/>
    <m/>
    <x v="1"/>
    <n v="14"/>
    <n v="686"/>
    <n v="8232"/>
    <x v="0"/>
    <b v="0"/>
    <b v="0"/>
    <b v="0"/>
    <x v="0"/>
    <b v="1"/>
  </r>
  <r>
    <s v="S-b4dd00"/>
    <s v="A-4c56c9"/>
    <d v="2024-12-24T00:00:00"/>
    <m/>
    <x v="2"/>
    <n v="52"/>
    <n v="988"/>
    <n v="11856"/>
    <x v="0"/>
    <b v="0"/>
    <b v="0"/>
    <b v="0"/>
    <x v="1"/>
    <b v="1"/>
  </r>
  <r>
    <s v="S-c284ce"/>
    <s v="A-0f3e88"/>
    <d v="2024-02-03T00:00:00"/>
    <m/>
    <x v="0"/>
    <n v="11"/>
    <n v="2189"/>
    <n v="26268"/>
    <x v="0"/>
    <b v="0"/>
    <b v="0"/>
    <b v="0"/>
    <x v="0"/>
    <b v="1"/>
  </r>
  <r>
    <s v="S-4d260c"/>
    <s v="A-d5a319"/>
    <d v="2023-06-27T00:00:00"/>
    <m/>
    <x v="1"/>
    <n v="15"/>
    <n v="0"/>
    <n v="0"/>
    <x v="1"/>
    <b v="0"/>
    <b v="0"/>
    <b v="0"/>
    <x v="1"/>
    <b v="1"/>
  </r>
  <r>
    <s v="S-d9821f"/>
    <s v="A-faa28c"/>
    <d v="2024-06-20T00:00:00"/>
    <m/>
    <x v="2"/>
    <n v="48"/>
    <n v="912"/>
    <n v="10944"/>
    <x v="0"/>
    <b v="0"/>
    <b v="0"/>
    <b v="0"/>
    <x v="1"/>
    <b v="1"/>
  </r>
  <r>
    <s v="S-dd8371"/>
    <s v="A-fa2041"/>
    <d v="2024-07-25T00:00:00"/>
    <m/>
    <x v="2"/>
    <n v="15"/>
    <n v="285"/>
    <n v="3420"/>
    <x v="0"/>
    <b v="0"/>
    <b v="0"/>
    <b v="0"/>
    <x v="1"/>
    <b v="1"/>
  </r>
  <r>
    <s v="S-7ab68f"/>
    <s v="A-bcbe98"/>
    <d v="2024-09-18T00:00:00"/>
    <m/>
    <x v="2"/>
    <n v="46"/>
    <n v="0"/>
    <n v="0"/>
    <x v="1"/>
    <b v="0"/>
    <b v="0"/>
    <b v="0"/>
    <x v="1"/>
    <b v="1"/>
  </r>
  <r>
    <s v="S-c619d6"/>
    <s v="A-ae052e"/>
    <d v="2024-09-02T00:00:00"/>
    <m/>
    <x v="1"/>
    <n v="39"/>
    <n v="1911"/>
    <n v="22932"/>
    <x v="0"/>
    <b v="0"/>
    <b v="0"/>
    <b v="0"/>
    <x v="1"/>
    <b v="1"/>
  </r>
  <r>
    <s v="S-4e00a0"/>
    <s v="A-eb7c38"/>
    <d v="2024-11-01T00:00:00"/>
    <m/>
    <x v="1"/>
    <n v="14"/>
    <n v="686"/>
    <n v="8232"/>
    <x v="0"/>
    <b v="0"/>
    <b v="0"/>
    <b v="0"/>
    <x v="1"/>
    <b v="1"/>
  </r>
  <r>
    <s v="S-a0af0a"/>
    <s v="A-e60f9d"/>
    <d v="2024-12-19T00:00:00"/>
    <m/>
    <x v="0"/>
    <n v="29"/>
    <n v="5771"/>
    <n v="69252"/>
    <x v="0"/>
    <b v="0"/>
    <b v="0"/>
    <b v="0"/>
    <x v="0"/>
    <b v="1"/>
  </r>
  <r>
    <s v="S-a67e83"/>
    <s v="A-c4ea60"/>
    <d v="2024-10-28T00:00:00"/>
    <m/>
    <x v="1"/>
    <n v="18"/>
    <n v="882"/>
    <n v="10584"/>
    <x v="0"/>
    <b v="0"/>
    <b v="0"/>
    <b v="0"/>
    <x v="0"/>
    <b v="1"/>
  </r>
  <r>
    <s v="S-9c735f"/>
    <s v="A-d49cc5"/>
    <d v="2024-07-06T00:00:00"/>
    <m/>
    <x v="2"/>
    <n v="50"/>
    <n v="950"/>
    <n v="11400"/>
    <x v="0"/>
    <b v="0"/>
    <b v="0"/>
    <b v="0"/>
    <x v="1"/>
    <b v="1"/>
  </r>
  <r>
    <s v="S-4970c1"/>
    <s v="A-56962b"/>
    <d v="2024-09-03T00:00:00"/>
    <m/>
    <x v="2"/>
    <n v="163"/>
    <n v="3097"/>
    <n v="37164"/>
    <x v="0"/>
    <b v="0"/>
    <b v="0"/>
    <b v="0"/>
    <x v="1"/>
    <b v="1"/>
  </r>
  <r>
    <s v="S-a46dd4"/>
    <s v="A-5a215a"/>
    <d v="2024-09-18T00:00:00"/>
    <m/>
    <x v="0"/>
    <n v="87"/>
    <n v="17313"/>
    <n v="207756"/>
    <x v="0"/>
    <b v="0"/>
    <b v="0"/>
    <b v="0"/>
    <x v="1"/>
    <b v="1"/>
  </r>
  <r>
    <s v="S-96ead2"/>
    <s v="A-6a4e2d"/>
    <d v="2024-09-13T00:00:00"/>
    <m/>
    <x v="2"/>
    <n v="26"/>
    <n v="494"/>
    <n v="5928"/>
    <x v="0"/>
    <b v="0"/>
    <b v="0"/>
    <b v="0"/>
    <x v="1"/>
    <b v="1"/>
  </r>
  <r>
    <s v="S-4d8633"/>
    <s v="A-e83938"/>
    <d v="2024-07-17T00:00:00"/>
    <m/>
    <x v="1"/>
    <n v="31"/>
    <n v="1519"/>
    <n v="18228"/>
    <x v="0"/>
    <b v="0"/>
    <b v="0"/>
    <b v="0"/>
    <x v="0"/>
    <b v="1"/>
  </r>
  <r>
    <s v="S-788739"/>
    <s v="A-700ade"/>
    <d v="2024-11-07T00:00:00"/>
    <m/>
    <x v="0"/>
    <n v="13"/>
    <n v="2587"/>
    <n v="31044"/>
    <x v="0"/>
    <b v="0"/>
    <b v="0"/>
    <b v="0"/>
    <x v="0"/>
    <b v="1"/>
  </r>
  <r>
    <s v="S-0380a3"/>
    <s v="A-922109"/>
    <d v="2024-04-06T00:00:00"/>
    <m/>
    <x v="1"/>
    <n v="3"/>
    <n v="147"/>
    <n v="1764"/>
    <x v="0"/>
    <b v="0"/>
    <b v="0"/>
    <b v="0"/>
    <x v="1"/>
    <b v="1"/>
  </r>
  <r>
    <s v="S-e8eb5c"/>
    <s v="A-dfbd31"/>
    <d v="2024-09-17T00:00:00"/>
    <m/>
    <x v="1"/>
    <n v="43"/>
    <n v="2107"/>
    <n v="25284"/>
    <x v="0"/>
    <b v="1"/>
    <b v="0"/>
    <b v="0"/>
    <x v="0"/>
    <b v="1"/>
  </r>
  <r>
    <s v="S-cb100e"/>
    <s v="A-ff79f2"/>
    <d v="2024-10-21T00:00:00"/>
    <m/>
    <x v="2"/>
    <n v="53"/>
    <n v="1007"/>
    <n v="12084"/>
    <x v="0"/>
    <b v="1"/>
    <b v="0"/>
    <b v="0"/>
    <x v="1"/>
    <b v="1"/>
  </r>
  <r>
    <s v="S-c26c22"/>
    <s v="A-dec005"/>
    <d v="2023-10-17T00:00:00"/>
    <m/>
    <x v="2"/>
    <n v="21"/>
    <n v="0"/>
    <n v="0"/>
    <x v="1"/>
    <b v="0"/>
    <b v="0"/>
    <b v="0"/>
    <x v="1"/>
    <b v="0"/>
  </r>
  <r>
    <s v="S-1cf9b0"/>
    <s v="A-922109"/>
    <d v="2024-07-15T00:00:00"/>
    <d v="2024-12-27T00:00:00"/>
    <x v="1"/>
    <n v="9"/>
    <n v="441"/>
    <n v="5292"/>
    <x v="0"/>
    <b v="0"/>
    <b v="0"/>
    <b v="1"/>
    <x v="0"/>
    <b v="0"/>
  </r>
  <r>
    <s v="S-26bf58"/>
    <s v="A-65a46c"/>
    <d v="2024-05-05T00:00:00"/>
    <m/>
    <x v="1"/>
    <n v="37"/>
    <n v="1813"/>
    <n v="21756"/>
    <x v="0"/>
    <b v="0"/>
    <b v="0"/>
    <b v="0"/>
    <x v="0"/>
    <b v="1"/>
  </r>
  <r>
    <s v="S-106bf6"/>
    <s v="A-09540c"/>
    <d v="2024-08-04T00:00:00"/>
    <m/>
    <x v="2"/>
    <n v="67"/>
    <n v="1273"/>
    <n v="15276"/>
    <x v="0"/>
    <b v="0"/>
    <b v="0"/>
    <b v="0"/>
    <x v="0"/>
    <b v="1"/>
  </r>
  <r>
    <s v="S-511e50"/>
    <s v="A-3c1a3f"/>
    <d v="2024-10-13T00:00:00"/>
    <m/>
    <x v="0"/>
    <n v="1"/>
    <n v="199"/>
    <n v="2388"/>
    <x v="0"/>
    <b v="0"/>
    <b v="0"/>
    <b v="0"/>
    <x v="1"/>
    <b v="1"/>
  </r>
  <r>
    <s v="S-69b070"/>
    <s v="A-a6d261"/>
    <d v="2024-09-18T00:00:00"/>
    <m/>
    <x v="0"/>
    <n v="27"/>
    <n v="5373"/>
    <n v="64476"/>
    <x v="0"/>
    <b v="1"/>
    <b v="0"/>
    <b v="0"/>
    <x v="1"/>
    <b v="1"/>
  </r>
  <r>
    <s v="S-648397"/>
    <s v="A-5fe118"/>
    <d v="2024-12-02T00:00:00"/>
    <m/>
    <x v="1"/>
    <n v="123"/>
    <n v="6027"/>
    <n v="72324"/>
    <x v="0"/>
    <b v="0"/>
    <b v="0"/>
    <b v="0"/>
    <x v="0"/>
    <b v="1"/>
  </r>
  <r>
    <s v="S-3ceff3"/>
    <s v="A-029f69"/>
    <d v="2024-09-14T00:00:00"/>
    <m/>
    <x v="0"/>
    <n v="15"/>
    <n v="2985"/>
    <n v="35820"/>
    <x v="0"/>
    <b v="0"/>
    <b v="0"/>
    <b v="0"/>
    <x v="1"/>
    <b v="1"/>
  </r>
  <r>
    <s v="S-3d8c2f"/>
    <s v="A-51ec1b"/>
    <d v="2024-10-20T00:00:00"/>
    <d v="2024-11-27T00:00:00"/>
    <x v="1"/>
    <n v="23"/>
    <n v="1127"/>
    <n v="13524"/>
    <x v="0"/>
    <b v="1"/>
    <b v="1"/>
    <b v="1"/>
    <x v="0"/>
    <b v="1"/>
  </r>
  <r>
    <s v="S-1be5a9"/>
    <s v="A-d26ab4"/>
    <d v="2024-11-21T00:00:00"/>
    <m/>
    <x v="0"/>
    <n v="27"/>
    <n v="5373"/>
    <n v="64476"/>
    <x v="0"/>
    <b v="0"/>
    <b v="0"/>
    <b v="0"/>
    <x v="0"/>
    <b v="1"/>
  </r>
  <r>
    <s v="S-507731"/>
    <s v="A-e43bf7"/>
    <d v="2024-06-02T00:00:00"/>
    <m/>
    <x v="1"/>
    <n v="44"/>
    <n v="2156"/>
    <n v="25872"/>
    <x v="0"/>
    <b v="0"/>
    <b v="0"/>
    <b v="0"/>
    <x v="1"/>
    <b v="1"/>
  </r>
  <r>
    <s v="S-04b127"/>
    <s v="A-a6d261"/>
    <d v="2023-12-13T00:00:00"/>
    <m/>
    <x v="2"/>
    <n v="9"/>
    <n v="171"/>
    <n v="2052"/>
    <x v="0"/>
    <b v="0"/>
    <b v="0"/>
    <b v="0"/>
    <x v="0"/>
    <b v="1"/>
  </r>
  <r>
    <s v="S-e27e43"/>
    <s v="A-700ade"/>
    <d v="2024-11-19T00:00:00"/>
    <m/>
    <x v="0"/>
    <n v="48"/>
    <n v="9552"/>
    <n v="114624"/>
    <x v="0"/>
    <b v="0"/>
    <b v="0"/>
    <b v="0"/>
    <x v="0"/>
    <b v="1"/>
  </r>
  <r>
    <s v="S-b099ea"/>
    <s v="A-ac9111"/>
    <d v="2024-12-21T00:00:00"/>
    <m/>
    <x v="0"/>
    <n v="21"/>
    <n v="4179"/>
    <n v="50148"/>
    <x v="0"/>
    <b v="0"/>
    <b v="0"/>
    <b v="0"/>
    <x v="0"/>
    <b v="1"/>
  </r>
  <r>
    <s v="S-dcc084"/>
    <s v="A-526d93"/>
    <d v="2024-10-01T00:00:00"/>
    <m/>
    <x v="2"/>
    <n v="43"/>
    <n v="817"/>
    <n v="9804"/>
    <x v="0"/>
    <b v="0"/>
    <b v="0"/>
    <b v="0"/>
    <x v="0"/>
    <b v="1"/>
  </r>
  <r>
    <s v="S-165850"/>
    <s v="A-d5a319"/>
    <d v="2023-09-25T00:00:00"/>
    <m/>
    <x v="1"/>
    <n v="15"/>
    <n v="735"/>
    <n v="8820"/>
    <x v="0"/>
    <b v="0"/>
    <b v="0"/>
    <b v="0"/>
    <x v="1"/>
    <b v="1"/>
  </r>
  <r>
    <s v="S-367d84"/>
    <s v="A-68f37c"/>
    <d v="2023-12-31T00:00:00"/>
    <m/>
    <x v="1"/>
    <n v="11"/>
    <n v="539"/>
    <n v="6468"/>
    <x v="0"/>
    <b v="0"/>
    <b v="0"/>
    <b v="0"/>
    <x v="0"/>
    <b v="1"/>
  </r>
  <r>
    <s v="S-db7c1d"/>
    <s v="A-4814a3"/>
    <d v="2024-10-05T00:00:00"/>
    <m/>
    <x v="2"/>
    <n v="87"/>
    <n v="1653"/>
    <n v="19836"/>
    <x v="0"/>
    <b v="0"/>
    <b v="0"/>
    <b v="0"/>
    <x v="0"/>
    <b v="1"/>
  </r>
  <r>
    <s v="S-303f63"/>
    <s v="A-ba6516"/>
    <d v="2024-04-03T00:00:00"/>
    <m/>
    <x v="2"/>
    <n v="27"/>
    <n v="513"/>
    <n v="6156"/>
    <x v="0"/>
    <b v="0"/>
    <b v="0"/>
    <b v="0"/>
    <x v="0"/>
    <b v="1"/>
  </r>
  <r>
    <s v="S-f2b79f"/>
    <s v="A-65aeb5"/>
    <d v="2024-05-08T00:00:00"/>
    <m/>
    <x v="1"/>
    <n v="9"/>
    <n v="441"/>
    <n v="5292"/>
    <x v="0"/>
    <b v="0"/>
    <b v="1"/>
    <b v="0"/>
    <x v="0"/>
    <b v="0"/>
  </r>
  <r>
    <s v="S-806d7b"/>
    <s v="A-cb5333"/>
    <d v="2024-07-29T00:00:00"/>
    <m/>
    <x v="2"/>
    <n v="37"/>
    <n v="703"/>
    <n v="8436"/>
    <x v="0"/>
    <b v="0"/>
    <b v="0"/>
    <b v="0"/>
    <x v="1"/>
    <b v="1"/>
  </r>
  <r>
    <s v="S-04fd47"/>
    <s v="A-0a282f"/>
    <d v="2024-10-27T00:00:00"/>
    <m/>
    <x v="2"/>
    <n v="12"/>
    <n v="228"/>
    <n v="2736"/>
    <x v="0"/>
    <b v="0"/>
    <b v="0"/>
    <b v="0"/>
    <x v="1"/>
    <b v="1"/>
  </r>
  <r>
    <s v="S-cc9b9d"/>
    <s v="A-94f8c9"/>
    <d v="2024-11-25T00:00:00"/>
    <m/>
    <x v="0"/>
    <n v="13"/>
    <n v="2587"/>
    <n v="31044"/>
    <x v="0"/>
    <b v="0"/>
    <b v="0"/>
    <b v="0"/>
    <x v="1"/>
    <b v="1"/>
  </r>
  <r>
    <s v="S-76bf6c"/>
    <s v="A-1f559b"/>
    <d v="2023-12-21T00:00:00"/>
    <m/>
    <x v="1"/>
    <n v="5"/>
    <n v="245"/>
    <n v="2940"/>
    <x v="0"/>
    <b v="0"/>
    <b v="0"/>
    <b v="0"/>
    <x v="1"/>
    <b v="1"/>
  </r>
  <r>
    <s v="S-46852c"/>
    <s v="A-58b9ff"/>
    <d v="2024-09-26T00:00:00"/>
    <m/>
    <x v="0"/>
    <n v="76"/>
    <n v="15124"/>
    <n v="181488"/>
    <x v="0"/>
    <b v="0"/>
    <b v="0"/>
    <b v="0"/>
    <x v="0"/>
    <b v="1"/>
  </r>
  <r>
    <s v="S-9a0b2f"/>
    <s v="A-756192"/>
    <d v="2023-09-17T00:00:00"/>
    <m/>
    <x v="1"/>
    <n v="19"/>
    <n v="0"/>
    <n v="0"/>
    <x v="1"/>
    <b v="1"/>
    <b v="0"/>
    <b v="0"/>
    <x v="0"/>
    <b v="1"/>
  </r>
  <r>
    <s v="S-06447b"/>
    <s v="A-17939a"/>
    <d v="2024-12-27T00:00:00"/>
    <m/>
    <x v="1"/>
    <n v="1"/>
    <n v="49"/>
    <n v="588"/>
    <x v="0"/>
    <b v="0"/>
    <b v="0"/>
    <b v="0"/>
    <x v="1"/>
    <b v="1"/>
  </r>
  <r>
    <s v="S-c6e62c"/>
    <s v="A-a09355"/>
    <d v="2024-10-21T00:00:00"/>
    <m/>
    <x v="0"/>
    <n v="14"/>
    <n v="2786"/>
    <n v="33432"/>
    <x v="0"/>
    <b v="0"/>
    <b v="0"/>
    <b v="0"/>
    <x v="1"/>
    <b v="1"/>
  </r>
  <r>
    <s v="S-b5162d"/>
    <s v="A-202b67"/>
    <d v="2024-10-09T00:00:00"/>
    <m/>
    <x v="0"/>
    <n v="29"/>
    <n v="5771"/>
    <n v="69252"/>
    <x v="0"/>
    <b v="0"/>
    <b v="0"/>
    <b v="0"/>
    <x v="0"/>
    <b v="1"/>
  </r>
  <r>
    <s v="S-e98121"/>
    <s v="A-56962b"/>
    <d v="2024-12-15T00:00:00"/>
    <m/>
    <x v="0"/>
    <n v="163"/>
    <n v="32437"/>
    <n v="389244"/>
    <x v="0"/>
    <b v="0"/>
    <b v="0"/>
    <b v="0"/>
    <x v="0"/>
    <b v="1"/>
  </r>
  <r>
    <s v="S-2852dd"/>
    <s v="A-e51ec7"/>
    <d v="2024-12-19T00:00:00"/>
    <m/>
    <x v="0"/>
    <n v="10"/>
    <n v="1990"/>
    <n v="23880"/>
    <x v="0"/>
    <b v="0"/>
    <b v="0"/>
    <b v="0"/>
    <x v="0"/>
    <b v="1"/>
  </r>
  <r>
    <s v="S-128f55"/>
    <s v="A-751c58"/>
    <d v="2024-09-16T00:00:00"/>
    <m/>
    <x v="1"/>
    <n v="45"/>
    <n v="2205"/>
    <n v="26460"/>
    <x v="0"/>
    <b v="0"/>
    <b v="0"/>
    <b v="0"/>
    <x v="1"/>
    <b v="1"/>
  </r>
  <r>
    <s v="S-615487"/>
    <s v="A-fa3095"/>
    <d v="2024-05-16T00:00:00"/>
    <m/>
    <x v="2"/>
    <n v="70"/>
    <n v="1330"/>
    <n v="15960"/>
    <x v="0"/>
    <b v="0"/>
    <b v="0"/>
    <b v="0"/>
    <x v="1"/>
    <b v="1"/>
  </r>
  <r>
    <s v="S-c95ecc"/>
    <s v="A-bb1eaa"/>
    <d v="2024-06-30T00:00:00"/>
    <m/>
    <x v="0"/>
    <n v="21"/>
    <n v="4179"/>
    <n v="50148"/>
    <x v="0"/>
    <b v="0"/>
    <b v="0"/>
    <b v="0"/>
    <x v="0"/>
    <b v="1"/>
  </r>
  <r>
    <s v="S-a2ee32"/>
    <s v="A-2922b6"/>
    <d v="2024-12-15T00:00:00"/>
    <m/>
    <x v="2"/>
    <n v="15"/>
    <n v="285"/>
    <n v="3420"/>
    <x v="0"/>
    <b v="0"/>
    <b v="0"/>
    <b v="0"/>
    <x v="0"/>
    <b v="1"/>
  </r>
  <r>
    <s v="S-8eab5b"/>
    <s v="A-2e3bad"/>
    <d v="2024-01-14T00:00:00"/>
    <d v="2024-03-01T00:00:00"/>
    <x v="1"/>
    <n v="61"/>
    <n v="2989"/>
    <n v="35868"/>
    <x v="0"/>
    <b v="0"/>
    <b v="0"/>
    <b v="1"/>
    <x v="1"/>
    <b v="1"/>
  </r>
  <r>
    <s v="S-3223a2"/>
    <s v="A-13466a"/>
    <d v="2024-09-20T00:00:00"/>
    <m/>
    <x v="2"/>
    <n v="9"/>
    <n v="171"/>
    <n v="2052"/>
    <x v="0"/>
    <b v="0"/>
    <b v="0"/>
    <b v="0"/>
    <x v="1"/>
    <b v="1"/>
  </r>
  <r>
    <s v="S-b81ed3"/>
    <s v="A-ee42db"/>
    <d v="2024-02-10T00:00:00"/>
    <m/>
    <x v="1"/>
    <n v="13"/>
    <n v="0"/>
    <n v="0"/>
    <x v="1"/>
    <b v="0"/>
    <b v="0"/>
    <b v="0"/>
    <x v="1"/>
    <b v="1"/>
  </r>
  <r>
    <s v="S-d031a4"/>
    <s v="A-cdf020"/>
    <d v="2024-10-09T00:00:00"/>
    <m/>
    <x v="1"/>
    <n v="44"/>
    <n v="2156"/>
    <n v="25872"/>
    <x v="0"/>
    <b v="0"/>
    <b v="0"/>
    <b v="0"/>
    <x v="0"/>
    <b v="1"/>
  </r>
  <r>
    <s v="S-5a2a05"/>
    <s v="A-9f9299"/>
    <d v="2024-04-04T00:00:00"/>
    <m/>
    <x v="2"/>
    <n v="28"/>
    <n v="532"/>
    <n v="6384"/>
    <x v="0"/>
    <b v="0"/>
    <b v="0"/>
    <b v="0"/>
    <x v="0"/>
    <b v="1"/>
  </r>
  <r>
    <s v="S-aa3dd4"/>
    <s v="A-aa9511"/>
    <d v="2024-09-23T00:00:00"/>
    <m/>
    <x v="0"/>
    <n v="58"/>
    <n v="0"/>
    <n v="0"/>
    <x v="1"/>
    <b v="0"/>
    <b v="0"/>
    <b v="0"/>
    <x v="0"/>
    <b v="1"/>
  </r>
  <r>
    <s v="S-cfcb11"/>
    <s v="A-b3fe05"/>
    <d v="2024-12-20T00:00:00"/>
    <m/>
    <x v="2"/>
    <n v="19"/>
    <n v="0"/>
    <n v="0"/>
    <x v="1"/>
    <b v="0"/>
    <b v="0"/>
    <b v="0"/>
    <x v="1"/>
    <b v="0"/>
  </r>
  <r>
    <s v="S-a5a9b8"/>
    <s v="A-94c3cd"/>
    <d v="2024-09-29T00:00:00"/>
    <m/>
    <x v="2"/>
    <n v="45"/>
    <n v="855"/>
    <n v="10260"/>
    <x v="0"/>
    <b v="0"/>
    <b v="0"/>
    <b v="0"/>
    <x v="1"/>
    <b v="0"/>
  </r>
  <r>
    <s v="S-b559da"/>
    <s v="A-e19ff6"/>
    <d v="2023-08-09T00:00:00"/>
    <m/>
    <x v="2"/>
    <n v="8"/>
    <n v="152"/>
    <n v="1824"/>
    <x v="0"/>
    <b v="0"/>
    <b v="0"/>
    <b v="0"/>
    <x v="1"/>
    <b v="1"/>
  </r>
  <r>
    <s v="S-43c80c"/>
    <s v="A-118d55"/>
    <d v="2024-12-25T00:00:00"/>
    <m/>
    <x v="1"/>
    <n v="12"/>
    <n v="588"/>
    <n v="7056"/>
    <x v="0"/>
    <b v="0"/>
    <b v="0"/>
    <b v="0"/>
    <x v="1"/>
    <b v="1"/>
  </r>
  <r>
    <s v="S-5d5699"/>
    <s v="A-1b9609"/>
    <d v="2024-06-16T00:00:00"/>
    <m/>
    <x v="0"/>
    <n v="35"/>
    <n v="6965"/>
    <n v="83580"/>
    <x v="0"/>
    <b v="0"/>
    <b v="0"/>
    <b v="0"/>
    <x v="1"/>
    <b v="1"/>
  </r>
  <r>
    <s v="S-e44044"/>
    <s v="A-eb2fdc"/>
    <d v="2024-12-19T00:00:00"/>
    <m/>
    <x v="2"/>
    <n v="31"/>
    <n v="589"/>
    <n v="7068"/>
    <x v="0"/>
    <b v="0"/>
    <b v="0"/>
    <b v="0"/>
    <x v="1"/>
    <b v="1"/>
  </r>
  <r>
    <s v="S-83f2e5"/>
    <s v="A-e1462e"/>
    <d v="2023-12-01T00:00:00"/>
    <m/>
    <x v="0"/>
    <n v="29"/>
    <n v="5771"/>
    <n v="69252"/>
    <x v="0"/>
    <b v="1"/>
    <b v="0"/>
    <b v="0"/>
    <x v="0"/>
    <b v="1"/>
  </r>
  <r>
    <s v="S-ba3fc7"/>
    <s v="A-dcc2f0"/>
    <d v="2024-10-25T00:00:00"/>
    <m/>
    <x v="0"/>
    <n v="15"/>
    <n v="2985"/>
    <n v="35820"/>
    <x v="0"/>
    <b v="0"/>
    <b v="0"/>
    <b v="0"/>
    <x v="1"/>
    <b v="1"/>
  </r>
  <r>
    <s v="S-b51d34"/>
    <s v="A-2d1036"/>
    <d v="2024-10-13T00:00:00"/>
    <d v="2024-11-24T00:00:00"/>
    <x v="0"/>
    <n v="69"/>
    <n v="13731"/>
    <n v="164772"/>
    <x v="0"/>
    <b v="0"/>
    <b v="0"/>
    <b v="1"/>
    <x v="1"/>
    <b v="1"/>
  </r>
  <r>
    <s v="S-8a3abd"/>
    <s v="A-6f8ad2"/>
    <d v="2024-08-23T00:00:00"/>
    <m/>
    <x v="1"/>
    <n v="26"/>
    <n v="1274"/>
    <n v="15288"/>
    <x v="0"/>
    <b v="0"/>
    <b v="0"/>
    <b v="0"/>
    <x v="1"/>
    <b v="1"/>
  </r>
  <r>
    <s v="S-f677d3"/>
    <s v="A-dec005"/>
    <d v="2024-09-22T00:00:00"/>
    <m/>
    <x v="2"/>
    <n v="21"/>
    <n v="399"/>
    <n v="4788"/>
    <x v="0"/>
    <b v="0"/>
    <b v="0"/>
    <b v="0"/>
    <x v="0"/>
    <b v="1"/>
  </r>
  <r>
    <s v="S-e7e4bd"/>
    <s v="A-1f0ac7"/>
    <d v="2024-02-15T00:00:00"/>
    <m/>
    <x v="0"/>
    <n v="24"/>
    <n v="4776"/>
    <n v="57312"/>
    <x v="0"/>
    <b v="0"/>
    <b v="0"/>
    <b v="0"/>
    <x v="1"/>
    <b v="1"/>
  </r>
  <r>
    <s v="S-1c23d2"/>
    <s v="A-186a44"/>
    <d v="2024-11-14T00:00:00"/>
    <m/>
    <x v="1"/>
    <n v="20"/>
    <n v="0"/>
    <n v="0"/>
    <x v="1"/>
    <b v="0"/>
    <b v="0"/>
    <b v="0"/>
    <x v="0"/>
    <b v="1"/>
  </r>
  <r>
    <s v="S-22778a"/>
    <s v="A-328bd0"/>
    <d v="2024-02-28T00:00:00"/>
    <m/>
    <x v="2"/>
    <n v="18"/>
    <n v="342"/>
    <n v="4104"/>
    <x v="0"/>
    <b v="0"/>
    <b v="0"/>
    <b v="0"/>
    <x v="0"/>
    <b v="0"/>
  </r>
  <r>
    <s v="S-c3b622"/>
    <s v="A-82d8a6"/>
    <d v="2024-12-29T00:00:00"/>
    <m/>
    <x v="1"/>
    <n v="5"/>
    <n v="0"/>
    <n v="0"/>
    <x v="1"/>
    <b v="1"/>
    <b v="0"/>
    <b v="0"/>
    <x v="1"/>
    <b v="1"/>
  </r>
  <r>
    <s v="S-33598f"/>
    <s v="A-32fb14"/>
    <d v="2024-11-09T00:00:00"/>
    <m/>
    <x v="0"/>
    <n v="26"/>
    <n v="5174"/>
    <n v="62088"/>
    <x v="0"/>
    <b v="0"/>
    <b v="0"/>
    <b v="0"/>
    <x v="1"/>
    <b v="1"/>
  </r>
  <r>
    <s v="S-32e881"/>
    <s v="A-029f69"/>
    <d v="2024-10-10T00:00:00"/>
    <d v="2024-11-16T00:00:00"/>
    <x v="1"/>
    <n v="3"/>
    <n v="0"/>
    <n v="0"/>
    <x v="1"/>
    <b v="0"/>
    <b v="0"/>
    <b v="1"/>
    <x v="0"/>
    <b v="1"/>
  </r>
  <r>
    <s v="S-0b054a"/>
    <s v="A-4e960a"/>
    <d v="2024-06-01T00:00:00"/>
    <m/>
    <x v="2"/>
    <n v="40"/>
    <n v="760"/>
    <n v="9120"/>
    <x v="0"/>
    <b v="0"/>
    <b v="0"/>
    <b v="0"/>
    <x v="1"/>
    <b v="1"/>
  </r>
  <r>
    <s v="S-71c55a"/>
    <s v="A-296d7c"/>
    <d v="2024-06-08T00:00:00"/>
    <m/>
    <x v="2"/>
    <n v="2"/>
    <n v="38"/>
    <n v="456"/>
    <x v="0"/>
    <b v="0"/>
    <b v="0"/>
    <b v="0"/>
    <x v="1"/>
    <b v="0"/>
  </r>
  <r>
    <s v="S-269b4a"/>
    <s v="A-5b1bcd"/>
    <d v="2024-02-15T00:00:00"/>
    <m/>
    <x v="0"/>
    <n v="73"/>
    <n v="14527"/>
    <n v="174324"/>
    <x v="0"/>
    <b v="0"/>
    <b v="0"/>
    <b v="0"/>
    <x v="0"/>
    <b v="1"/>
  </r>
  <r>
    <s v="S-93592e"/>
    <s v="A-202b67"/>
    <d v="2024-05-18T00:00:00"/>
    <m/>
    <x v="1"/>
    <n v="61"/>
    <n v="2989"/>
    <n v="35868"/>
    <x v="0"/>
    <b v="0"/>
    <b v="0"/>
    <b v="0"/>
    <x v="0"/>
    <b v="1"/>
  </r>
  <r>
    <s v="S-bba658"/>
    <s v="A-e4bf56"/>
    <d v="2024-12-17T00:00:00"/>
    <m/>
    <x v="2"/>
    <n v="17"/>
    <n v="323"/>
    <n v="3876"/>
    <x v="0"/>
    <b v="0"/>
    <b v="0"/>
    <b v="0"/>
    <x v="0"/>
    <b v="0"/>
  </r>
  <r>
    <s v="S-073381"/>
    <s v="A-2bc93d"/>
    <d v="2024-09-11T00:00:00"/>
    <d v="2024-09-27T00:00:00"/>
    <x v="2"/>
    <n v="14"/>
    <n v="266"/>
    <n v="3192"/>
    <x v="0"/>
    <b v="0"/>
    <b v="0"/>
    <b v="1"/>
    <x v="0"/>
    <b v="0"/>
  </r>
  <r>
    <s v="S-c0820a"/>
    <s v="A-6a7c9d"/>
    <d v="2024-12-26T00:00:00"/>
    <m/>
    <x v="1"/>
    <n v="26"/>
    <n v="1274"/>
    <n v="15288"/>
    <x v="0"/>
    <b v="0"/>
    <b v="0"/>
    <b v="0"/>
    <x v="1"/>
    <b v="1"/>
  </r>
  <r>
    <s v="S-dd73ac"/>
    <s v="A-39b19f"/>
    <d v="2024-05-17T00:00:00"/>
    <m/>
    <x v="0"/>
    <n v="14"/>
    <n v="2786"/>
    <n v="33432"/>
    <x v="0"/>
    <b v="0"/>
    <b v="0"/>
    <b v="0"/>
    <x v="0"/>
    <b v="0"/>
  </r>
  <r>
    <s v="S-e32b16"/>
    <s v="A-d77f4c"/>
    <d v="2024-11-20T00:00:00"/>
    <m/>
    <x v="0"/>
    <n v="29"/>
    <n v="5771"/>
    <n v="69252"/>
    <x v="0"/>
    <b v="0"/>
    <b v="0"/>
    <b v="0"/>
    <x v="1"/>
    <b v="1"/>
  </r>
  <r>
    <s v="S-070d42"/>
    <s v="A-684255"/>
    <d v="2024-05-23T00:00:00"/>
    <m/>
    <x v="1"/>
    <n v="23"/>
    <n v="1127"/>
    <n v="13524"/>
    <x v="0"/>
    <b v="1"/>
    <b v="0"/>
    <b v="0"/>
    <x v="1"/>
    <b v="1"/>
  </r>
  <r>
    <s v="S-396546"/>
    <s v="A-832ec2"/>
    <d v="2024-02-02T00:00:00"/>
    <m/>
    <x v="0"/>
    <n v="19"/>
    <n v="3781"/>
    <n v="45372"/>
    <x v="0"/>
    <b v="0"/>
    <b v="0"/>
    <b v="0"/>
    <x v="0"/>
    <b v="0"/>
  </r>
  <r>
    <s v="S-c22c29"/>
    <s v="A-692f18"/>
    <d v="2024-12-15T00:00:00"/>
    <d v="2024-12-17T00:00:00"/>
    <x v="0"/>
    <n v="28"/>
    <n v="5572"/>
    <n v="66864"/>
    <x v="0"/>
    <b v="0"/>
    <b v="0"/>
    <b v="1"/>
    <x v="1"/>
    <b v="1"/>
  </r>
  <r>
    <s v="S-e73cdf"/>
    <s v="A-b7ef83"/>
    <d v="2024-11-08T00:00:00"/>
    <m/>
    <x v="0"/>
    <n v="44"/>
    <n v="8756"/>
    <n v="105072"/>
    <x v="0"/>
    <b v="0"/>
    <b v="0"/>
    <b v="0"/>
    <x v="1"/>
    <b v="0"/>
  </r>
  <r>
    <s v="S-1976bb"/>
    <s v="A-eb2fdc"/>
    <d v="2024-06-13T00:00:00"/>
    <m/>
    <x v="2"/>
    <n v="31"/>
    <n v="589"/>
    <n v="7068"/>
    <x v="0"/>
    <b v="0"/>
    <b v="0"/>
    <b v="0"/>
    <x v="0"/>
    <b v="1"/>
  </r>
  <r>
    <s v="S-3f08d7"/>
    <s v="A-d792a6"/>
    <d v="2023-10-13T00:00:00"/>
    <m/>
    <x v="0"/>
    <n v="4"/>
    <n v="796"/>
    <n v="9552"/>
    <x v="0"/>
    <b v="0"/>
    <b v="1"/>
    <b v="0"/>
    <x v="0"/>
    <b v="1"/>
  </r>
  <r>
    <s v="S-db6454"/>
    <s v="A-0f3e88"/>
    <d v="2024-10-08T00:00:00"/>
    <m/>
    <x v="2"/>
    <n v="11"/>
    <n v="209"/>
    <n v="2508"/>
    <x v="0"/>
    <b v="0"/>
    <b v="0"/>
    <b v="0"/>
    <x v="0"/>
    <b v="1"/>
  </r>
  <r>
    <s v="S-6ab430"/>
    <s v="A-b07b56"/>
    <d v="2024-11-24T00:00:00"/>
    <m/>
    <x v="1"/>
    <n v="25"/>
    <n v="1225"/>
    <n v="14700"/>
    <x v="0"/>
    <b v="0"/>
    <b v="0"/>
    <b v="0"/>
    <x v="0"/>
    <b v="1"/>
  </r>
  <r>
    <s v="S-04d260"/>
    <s v="A-d82ef9"/>
    <d v="2024-07-14T00:00:00"/>
    <m/>
    <x v="1"/>
    <n v="26"/>
    <n v="0"/>
    <n v="0"/>
    <x v="1"/>
    <b v="0"/>
    <b v="0"/>
    <b v="0"/>
    <x v="1"/>
    <b v="0"/>
  </r>
  <r>
    <s v="S-77f7fd"/>
    <s v="A-425e76"/>
    <d v="2024-08-06T00:00:00"/>
    <m/>
    <x v="1"/>
    <n v="27"/>
    <n v="1323"/>
    <n v="15876"/>
    <x v="0"/>
    <b v="0"/>
    <b v="0"/>
    <b v="0"/>
    <x v="0"/>
    <b v="1"/>
  </r>
  <r>
    <s v="S-456d47"/>
    <s v="A-7da956"/>
    <d v="2024-10-08T00:00:00"/>
    <m/>
    <x v="0"/>
    <n v="13"/>
    <n v="2587"/>
    <n v="31044"/>
    <x v="0"/>
    <b v="0"/>
    <b v="0"/>
    <b v="0"/>
    <x v="0"/>
    <b v="1"/>
  </r>
  <r>
    <s v="S-9780e9"/>
    <s v="A-dcc2f0"/>
    <d v="2024-09-02T00:00:00"/>
    <m/>
    <x v="2"/>
    <n v="15"/>
    <n v="0"/>
    <n v="0"/>
    <x v="1"/>
    <b v="0"/>
    <b v="0"/>
    <b v="0"/>
    <x v="1"/>
    <b v="1"/>
  </r>
  <r>
    <s v="S-e477e9"/>
    <s v="A-c16101"/>
    <d v="2024-09-06T00:00:00"/>
    <m/>
    <x v="1"/>
    <n v="7"/>
    <n v="343"/>
    <n v="4116"/>
    <x v="0"/>
    <b v="0"/>
    <b v="0"/>
    <b v="0"/>
    <x v="0"/>
    <b v="1"/>
  </r>
  <r>
    <s v="S-020dce"/>
    <s v="A-10b8da"/>
    <d v="2024-07-05T00:00:00"/>
    <m/>
    <x v="0"/>
    <n v="14"/>
    <n v="2786"/>
    <n v="33432"/>
    <x v="0"/>
    <b v="0"/>
    <b v="0"/>
    <b v="0"/>
    <x v="0"/>
    <b v="0"/>
  </r>
  <r>
    <s v="S-ae6295"/>
    <s v="A-50f3f7"/>
    <d v="2024-05-06T00:00:00"/>
    <m/>
    <x v="1"/>
    <n v="31"/>
    <n v="1519"/>
    <n v="18228"/>
    <x v="0"/>
    <b v="0"/>
    <b v="1"/>
    <b v="0"/>
    <x v="1"/>
    <b v="1"/>
  </r>
  <r>
    <s v="S-067c38"/>
    <s v="A-3b5cd1"/>
    <d v="2024-01-03T00:00:00"/>
    <m/>
    <x v="2"/>
    <n v="16"/>
    <n v="304"/>
    <n v="3648"/>
    <x v="0"/>
    <b v="0"/>
    <b v="0"/>
    <b v="0"/>
    <x v="0"/>
    <b v="1"/>
  </r>
  <r>
    <s v="S-0aedf8"/>
    <s v="A-a7bd4b"/>
    <d v="2024-01-13T00:00:00"/>
    <m/>
    <x v="2"/>
    <n v="48"/>
    <n v="912"/>
    <n v="10944"/>
    <x v="0"/>
    <b v="0"/>
    <b v="0"/>
    <b v="0"/>
    <x v="0"/>
    <b v="1"/>
  </r>
  <r>
    <s v="S-8bb388"/>
    <s v="A-883b7d"/>
    <d v="2024-08-22T00:00:00"/>
    <m/>
    <x v="0"/>
    <n v="50"/>
    <n v="9950"/>
    <n v="119400"/>
    <x v="0"/>
    <b v="0"/>
    <b v="0"/>
    <b v="0"/>
    <x v="1"/>
    <b v="1"/>
  </r>
  <r>
    <s v="S-e8d48e"/>
    <s v="A-2edab2"/>
    <d v="2024-06-19T00:00:00"/>
    <m/>
    <x v="0"/>
    <n v="17"/>
    <n v="3383"/>
    <n v="40596"/>
    <x v="0"/>
    <b v="0"/>
    <b v="0"/>
    <b v="0"/>
    <x v="1"/>
    <b v="1"/>
  </r>
  <r>
    <s v="S-2d63e2"/>
    <s v="A-4e960a"/>
    <d v="2024-08-03T00:00:00"/>
    <m/>
    <x v="1"/>
    <n v="12"/>
    <n v="588"/>
    <n v="7056"/>
    <x v="0"/>
    <b v="0"/>
    <b v="0"/>
    <b v="0"/>
    <x v="0"/>
    <b v="1"/>
  </r>
  <r>
    <s v="S-4695b8"/>
    <s v="A-ad64c6"/>
    <d v="2024-08-15T00:00:00"/>
    <d v="2024-11-11T00:00:00"/>
    <x v="1"/>
    <n v="12"/>
    <n v="588"/>
    <n v="7056"/>
    <x v="0"/>
    <b v="0"/>
    <b v="0"/>
    <b v="1"/>
    <x v="1"/>
    <b v="1"/>
  </r>
  <r>
    <s v="S-2e84f2"/>
    <s v="A-ee42db"/>
    <d v="2024-08-10T00:00:00"/>
    <m/>
    <x v="0"/>
    <n v="13"/>
    <n v="2587"/>
    <n v="31044"/>
    <x v="0"/>
    <b v="0"/>
    <b v="0"/>
    <b v="0"/>
    <x v="1"/>
    <b v="1"/>
  </r>
  <r>
    <s v="S-9de4eb"/>
    <s v="A-039727"/>
    <d v="2024-12-06T00:00:00"/>
    <m/>
    <x v="0"/>
    <n v="25"/>
    <n v="4975"/>
    <n v="59700"/>
    <x v="0"/>
    <b v="0"/>
    <b v="0"/>
    <b v="0"/>
    <x v="0"/>
    <b v="1"/>
  </r>
  <r>
    <s v="S-6100a4"/>
    <s v="A-b30291"/>
    <d v="2024-10-21T00:00:00"/>
    <m/>
    <x v="1"/>
    <n v="47"/>
    <n v="0"/>
    <n v="0"/>
    <x v="1"/>
    <b v="0"/>
    <b v="0"/>
    <b v="0"/>
    <x v="1"/>
    <b v="1"/>
  </r>
  <r>
    <s v="S-18565e"/>
    <s v="A-463db0"/>
    <d v="2024-12-26T00:00:00"/>
    <m/>
    <x v="0"/>
    <n v="42"/>
    <n v="8358"/>
    <n v="100296"/>
    <x v="0"/>
    <b v="0"/>
    <b v="0"/>
    <b v="0"/>
    <x v="0"/>
    <b v="0"/>
  </r>
  <r>
    <s v="S-012b26"/>
    <s v="A-df1e44"/>
    <d v="2024-10-29T00:00:00"/>
    <m/>
    <x v="0"/>
    <n v="13"/>
    <n v="2587"/>
    <n v="31044"/>
    <x v="0"/>
    <b v="0"/>
    <b v="0"/>
    <b v="0"/>
    <x v="1"/>
    <b v="1"/>
  </r>
  <r>
    <s v="S-7b7e04"/>
    <s v="A-7f8241"/>
    <d v="2023-10-12T00:00:00"/>
    <m/>
    <x v="0"/>
    <n v="34"/>
    <n v="6766"/>
    <n v="81192"/>
    <x v="0"/>
    <b v="0"/>
    <b v="0"/>
    <b v="0"/>
    <x v="1"/>
    <b v="1"/>
  </r>
  <r>
    <s v="S-896e2f"/>
    <s v="A-712426"/>
    <d v="2024-11-28T00:00:00"/>
    <m/>
    <x v="1"/>
    <n v="18"/>
    <n v="882"/>
    <n v="10584"/>
    <x v="0"/>
    <b v="1"/>
    <b v="0"/>
    <b v="0"/>
    <x v="1"/>
    <b v="1"/>
  </r>
  <r>
    <s v="S-f482de"/>
    <s v="A-cdf020"/>
    <d v="2024-04-11T00:00:00"/>
    <m/>
    <x v="2"/>
    <n v="23"/>
    <n v="0"/>
    <n v="0"/>
    <x v="1"/>
    <b v="0"/>
    <b v="0"/>
    <b v="0"/>
    <x v="0"/>
    <b v="1"/>
  </r>
  <r>
    <s v="S-140813"/>
    <s v="A-2b9d3e"/>
    <d v="2023-11-21T00:00:00"/>
    <m/>
    <x v="0"/>
    <n v="5"/>
    <n v="995"/>
    <n v="11940"/>
    <x v="0"/>
    <b v="0"/>
    <b v="0"/>
    <b v="0"/>
    <x v="1"/>
    <b v="1"/>
  </r>
  <r>
    <s v="S-a7524a"/>
    <s v="A-54ecc2"/>
    <d v="2024-08-25T00:00:00"/>
    <m/>
    <x v="1"/>
    <n v="13"/>
    <n v="637"/>
    <n v="7644"/>
    <x v="0"/>
    <b v="0"/>
    <b v="0"/>
    <b v="0"/>
    <x v="0"/>
    <b v="1"/>
  </r>
  <r>
    <s v="S-2fc028"/>
    <s v="A-3b37d9"/>
    <d v="2023-11-13T00:00:00"/>
    <d v="2024-11-27T00:00:00"/>
    <x v="0"/>
    <n v="23"/>
    <n v="4577"/>
    <n v="54924"/>
    <x v="0"/>
    <b v="1"/>
    <b v="0"/>
    <b v="1"/>
    <x v="1"/>
    <b v="1"/>
  </r>
  <r>
    <s v="S-606747"/>
    <s v="A-65aeb5"/>
    <d v="2024-08-04T00:00:00"/>
    <m/>
    <x v="0"/>
    <n v="9"/>
    <n v="1791"/>
    <n v="21492"/>
    <x v="0"/>
    <b v="0"/>
    <b v="0"/>
    <b v="0"/>
    <x v="0"/>
    <b v="1"/>
  </r>
  <r>
    <s v="S-92a38d"/>
    <s v="A-779e4e"/>
    <d v="2024-09-14T00:00:00"/>
    <m/>
    <x v="2"/>
    <n v="19"/>
    <n v="361"/>
    <n v="4332"/>
    <x v="0"/>
    <b v="0"/>
    <b v="0"/>
    <b v="0"/>
    <x v="0"/>
    <b v="1"/>
  </r>
  <r>
    <s v="S-c89bff"/>
    <s v="A-68f37c"/>
    <d v="2024-02-23T00:00:00"/>
    <m/>
    <x v="2"/>
    <n v="12"/>
    <n v="228"/>
    <n v="2736"/>
    <x v="0"/>
    <b v="0"/>
    <b v="0"/>
    <b v="0"/>
    <x v="0"/>
    <b v="1"/>
  </r>
  <r>
    <s v="S-3d5e0c"/>
    <s v="A-b07b56"/>
    <d v="2024-11-26T00:00:00"/>
    <m/>
    <x v="2"/>
    <n v="25"/>
    <n v="0"/>
    <n v="0"/>
    <x v="1"/>
    <b v="0"/>
    <b v="0"/>
    <b v="0"/>
    <x v="0"/>
    <b v="1"/>
  </r>
  <r>
    <s v="S-2359a2"/>
    <s v="A-c7ffc2"/>
    <d v="2024-03-12T00:00:00"/>
    <m/>
    <x v="0"/>
    <n v="30"/>
    <n v="5970"/>
    <n v="71640"/>
    <x v="0"/>
    <b v="0"/>
    <b v="0"/>
    <b v="0"/>
    <x v="1"/>
    <b v="0"/>
  </r>
  <r>
    <s v="S-63c794"/>
    <s v="A-158f4e"/>
    <d v="2023-10-11T00:00:00"/>
    <m/>
    <x v="1"/>
    <n v="61"/>
    <n v="2989"/>
    <n v="35868"/>
    <x v="0"/>
    <b v="0"/>
    <b v="0"/>
    <b v="0"/>
    <x v="1"/>
    <b v="1"/>
  </r>
  <r>
    <s v="S-87ebe6"/>
    <s v="A-d27f50"/>
    <d v="2024-10-20T00:00:00"/>
    <m/>
    <x v="0"/>
    <n v="44"/>
    <n v="8756"/>
    <n v="105072"/>
    <x v="0"/>
    <b v="0"/>
    <b v="0"/>
    <b v="0"/>
    <x v="0"/>
    <b v="0"/>
  </r>
  <r>
    <s v="S-12c163"/>
    <s v="A-bb3bd4"/>
    <d v="2024-12-16T00:00:00"/>
    <m/>
    <x v="0"/>
    <n v="23"/>
    <n v="0"/>
    <n v="0"/>
    <x v="1"/>
    <b v="0"/>
    <b v="0"/>
    <b v="0"/>
    <x v="1"/>
    <b v="1"/>
  </r>
  <r>
    <s v="S-684915"/>
    <s v="A-bd4708"/>
    <d v="2024-12-05T00:00:00"/>
    <m/>
    <x v="0"/>
    <n v="37"/>
    <n v="0"/>
    <n v="0"/>
    <x v="1"/>
    <b v="0"/>
    <b v="0"/>
    <b v="0"/>
    <x v="1"/>
    <b v="1"/>
  </r>
  <r>
    <s v="S-6b7487"/>
    <s v="A-e61e98"/>
    <d v="2024-05-13T00:00:00"/>
    <m/>
    <x v="1"/>
    <n v="19"/>
    <n v="931"/>
    <n v="11172"/>
    <x v="0"/>
    <b v="1"/>
    <b v="0"/>
    <b v="0"/>
    <x v="1"/>
    <b v="1"/>
  </r>
  <r>
    <s v="S-911e27"/>
    <s v="A-4c6f11"/>
    <d v="2024-07-14T00:00:00"/>
    <m/>
    <x v="2"/>
    <n v="35"/>
    <n v="665"/>
    <n v="7980"/>
    <x v="0"/>
    <b v="0"/>
    <b v="0"/>
    <b v="0"/>
    <x v="0"/>
    <b v="0"/>
  </r>
  <r>
    <s v="S-a0a358"/>
    <s v="A-af0cd2"/>
    <d v="2023-10-25T00:00:00"/>
    <m/>
    <x v="2"/>
    <n v="19"/>
    <n v="361"/>
    <n v="4332"/>
    <x v="0"/>
    <b v="0"/>
    <b v="0"/>
    <b v="0"/>
    <x v="1"/>
    <b v="1"/>
  </r>
  <r>
    <s v="S-373490"/>
    <s v="A-756192"/>
    <d v="2024-09-28T00:00:00"/>
    <m/>
    <x v="0"/>
    <n v="19"/>
    <n v="0"/>
    <n v="0"/>
    <x v="1"/>
    <b v="0"/>
    <b v="0"/>
    <b v="0"/>
    <x v="0"/>
    <b v="1"/>
  </r>
  <r>
    <s v="S-94aaef"/>
    <s v="A-098560"/>
    <d v="2023-12-10T00:00:00"/>
    <m/>
    <x v="1"/>
    <n v="35"/>
    <n v="1715"/>
    <n v="20580"/>
    <x v="0"/>
    <b v="1"/>
    <b v="0"/>
    <b v="0"/>
    <x v="1"/>
    <b v="0"/>
  </r>
  <r>
    <s v="S-ea66df"/>
    <s v="A-712533"/>
    <d v="2024-10-01T00:00:00"/>
    <m/>
    <x v="1"/>
    <n v="36"/>
    <n v="1764"/>
    <n v="21168"/>
    <x v="0"/>
    <b v="0"/>
    <b v="0"/>
    <b v="0"/>
    <x v="0"/>
    <b v="1"/>
  </r>
  <r>
    <s v="S-2176da"/>
    <s v="A-cbd1a3"/>
    <d v="2024-11-26T00:00:00"/>
    <m/>
    <x v="0"/>
    <n v="18"/>
    <n v="3582"/>
    <n v="42984"/>
    <x v="0"/>
    <b v="0"/>
    <b v="0"/>
    <b v="0"/>
    <x v="0"/>
    <b v="1"/>
  </r>
  <r>
    <s v="S-a64940"/>
    <s v="A-2922b6"/>
    <d v="2024-12-23T00:00:00"/>
    <m/>
    <x v="0"/>
    <n v="35"/>
    <n v="6965"/>
    <n v="83580"/>
    <x v="0"/>
    <b v="0"/>
    <b v="0"/>
    <b v="0"/>
    <x v="0"/>
    <b v="1"/>
  </r>
  <r>
    <s v="S-289702"/>
    <s v="A-00bed1"/>
    <d v="2024-09-01T00:00:00"/>
    <m/>
    <x v="0"/>
    <n v="28"/>
    <n v="5572"/>
    <n v="66864"/>
    <x v="0"/>
    <b v="0"/>
    <b v="0"/>
    <b v="0"/>
    <x v="1"/>
    <b v="0"/>
  </r>
  <r>
    <s v="S-30fa6f"/>
    <s v="A-e1b9cd"/>
    <d v="2023-03-21T00:00:00"/>
    <d v="2024-12-04T00:00:00"/>
    <x v="1"/>
    <n v="40"/>
    <n v="1960"/>
    <n v="23520"/>
    <x v="0"/>
    <b v="0"/>
    <b v="0"/>
    <b v="1"/>
    <x v="0"/>
    <b v="1"/>
  </r>
  <r>
    <s v="S-65bb33"/>
    <s v="A-157070"/>
    <d v="2024-08-26T00:00:00"/>
    <m/>
    <x v="0"/>
    <n v="16"/>
    <n v="3184"/>
    <n v="38208"/>
    <x v="0"/>
    <b v="0"/>
    <b v="0"/>
    <b v="0"/>
    <x v="1"/>
    <b v="0"/>
  </r>
  <r>
    <s v="S-5d434f"/>
    <s v="A-82861f"/>
    <d v="2024-05-18T00:00:00"/>
    <m/>
    <x v="1"/>
    <n v="41"/>
    <n v="2009"/>
    <n v="24108"/>
    <x v="0"/>
    <b v="0"/>
    <b v="0"/>
    <b v="0"/>
    <x v="0"/>
    <b v="1"/>
  </r>
  <r>
    <s v="S-9ea111"/>
    <s v="A-0354fe"/>
    <d v="2024-12-10T00:00:00"/>
    <m/>
    <x v="0"/>
    <n v="34"/>
    <n v="6766"/>
    <n v="81192"/>
    <x v="0"/>
    <b v="0"/>
    <b v="0"/>
    <b v="0"/>
    <x v="0"/>
    <b v="0"/>
  </r>
  <r>
    <s v="S-46526e"/>
    <s v="A-39ddf4"/>
    <d v="2024-12-10T00:00:00"/>
    <m/>
    <x v="1"/>
    <n v="44"/>
    <n v="2156"/>
    <n v="25872"/>
    <x v="0"/>
    <b v="0"/>
    <b v="0"/>
    <b v="0"/>
    <x v="1"/>
    <b v="0"/>
  </r>
  <r>
    <s v="S-f713a1"/>
    <s v="A-cb5333"/>
    <d v="2024-07-26T00:00:00"/>
    <m/>
    <x v="2"/>
    <n v="33"/>
    <n v="627"/>
    <n v="7524"/>
    <x v="0"/>
    <b v="0"/>
    <b v="0"/>
    <b v="0"/>
    <x v="1"/>
    <b v="1"/>
  </r>
  <r>
    <s v="S-5a5338"/>
    <s v="A-5ed98d"/>
    <d v="2024-12-21T00:00:00"/>
    <m/>
    <x v="2"/>
    <n v="38"/>
    <n v="0"/>
    <n v="0"/>
    <x v="1"/>
    <b v="0"/>
    <b v="0"/>
    <b v="0"/>
    <x v="1"/>
    <b v="1"/>
  </r>
  <r>
    <s v="S-a94ec7"/>
    <s v="A-f92792"/>
    <d v="2024-09-17T00:00:00"/>
    <m/>
    <x v="2"/>
    <n v="18"/>
    <n v="342"/>
    <n v="4104"/>
    <x v="0"/>
    <b v="0"/>
    <b v="0"/>
    <b v="0"/>
    <x v="0"/>
    <b v="0"/>
  </r>
  <r>
    <s v="S-f9e5e9"/>
    <s v="A-f19409"/>
    <d v="2024-10-27T00:00:00"/>
    <m/>
    <x v="1"/>
    <n v="23"/>
    <n v="1127"/>
    <n v="13524"/>
    <x v="0"/>
    <b v="0"/>
    <b v="0"/>
    <b v="0"/>
    <x v="1"/>
    <b v="1"/>
  </r>
  <r>
    <s v="S-8486d2"/>
    <s v="A-7df7a7"/>
    <d v="2024-12-28T00:00:00"/>
    <m/>
    <x v="0"/>
    <n v="30"/>
    <n v="5970"/>
    <n v="71640"/>
    <x v="0"/>
    <b v="0"/>
    <b v="0"/>
    <b v="0"/>
    <x v="1"/>
    <b v="1"/>
  </r>
  <r>
    <s v="S-b479cd"/>
    <s v="A-f17767"/>
    <d v="2023-07-30T00:00:00"/>
    <m/>
    <x v="1"/>
    <n v="9"/>
    <n v="441"/>
    <n v="5292"/>
    <x v="0"/>
    <b v="0"/>
    <b v="0"/>
    <b v="0"/>
    <x v="0"/>
    <b v="1"/>
  </r>
  <r>
    <s v="S-a5d1e3"/>
    <s v="A-e19ff6"/>
    <d v="2024-07-01T00:00:00"/>
    <m/>
    <x v="2"/>
    <n v="18"/>
    <n v="342"/>
    <n v="4104"/>
    <x v="0"/>
    <b v="0"/>
    <b v="0"/>
    <b v="0"/>
    <x v="0"/>
    <b v="1"/>
  </r>
  <r>
    <s v="S-c1eb68"/>
    <s v="A-81edc3"/>
    <d v="2024-11-02T00:00:00"/>
    <m/>
    <x v="2"/>
    <n v="32"/>
    <n v="608"/>
    <n v="7296"/>
    <x v="0"/>
    <b v="1"/>
    <b v="0"/>
    <b v="0"/>
    <x v="0"/>
    <b v="0"/>
  </r>
  <r>
    <s v="S-f429e0"/>
    <s v="A-b44e3e"/>
    <d v="2024-02-28T00:00:00"/>
    <m/>
    <x v="0"/>
    <n v="79"/>
    <n v="15721"/>
    <n v="188652"/>
    <x v="0"/>
    <b v="1"/>
    <b v="0"/>
    <b v="0"/>
    <x v="1"/>
    <b v="1"/>
  </r>
  <r>
    <s v="S-0ed0cb"/>
    <s v="A-cc102e"/>
    <d v="2024-12-11T00:00:00"/>
    <m/>
    <x v="1"/>
    <n v="13"/>
    <n v="0"/>
    <n v="0"/>
    <x v="1"/>
    <b v="0"/>
    <b v="0"/>
    <b v="0"/>
    <x v="0"/>
    <b v="1"/>
  </r>
  <r>
    <s v="S-0c43c2"/>
    <s v="A-0f6450"/>
    <d v="2024-12-30T00:00:00"/>
    <m/>
    <x v="1"/>
    <n v="28"/>
    <n v="1372"/>
    <n v="16464"/>
    <x v="0"/>
    <b v="0"/>
    <b v="0"/>
    <b v="0"/>
    <x v="0"/>
    <b v="0"/>
  </r>
  <r>
    <s v="S-73fc8f"/>
    <s v="A-0dbdc6"/>
    <d v="2024-10-25T00:00:00"/>
    <m/>
    <x v="0"/>
    <n v="30"/>
    <n v="5970"/>
    <n v="71640"/>
    <x v="0"/>
    <b v="0"/>
    <b v="0"/>
    <b v="0"/>
    <x v="0"/>
    <b v="0"/>
  </r>
  <r>
    <s v="S-4ad7b1"/>
    <s v="A-3c1a3f"/>
    <d v="2024-04-28T00:00:00"/>
    <m/>
    <x v="0"/>
    <n v="2"/>
    <n v="398"/>
    <n v="4776"/>
    <x v="0"/>
    <b v="0"/>
    <b v="1"/>
    <b v="0"/>
    <x v="0"/>
    <b v="1"/>
  </r>
  <r>
    <s v="S-909b7f"/>
    <s v="A-eafc6e"/>
    <d v="2024-08-16T00:00:00"/>
    <m/>
    <x v="0"/>
    <n v="27"/>
    <n v="5373"/>
    <n v="64476"/>
    <x v="0"/>
    <b v="0"/>
    <b v="0"/>
    <b v="0"/>
    <x v="0"/>
    <b v="1"/>
  </r>
  <r>
    <s v="S-2de449"/>
    <s v="A-702032"/>
    <d v="2024-04-24T00:00:00"/>
    <m/>
    <x v="0"/>
    <n v="28"/>
    <n v="5572"/>
    <n v="66864"/>
    <x v="0"/>
    <b v="0"/>
    <b v="0"/>
    <b v="0"/>
    <x v="1"/>
    <b v="1"/>
  </r>
  <r>
    <s v="S-7bcd95"/>
    <s v="A-9123ac"/>
    <d v="2023-10-25T00:00:00"/>
    <m/>
    <x v="2"/>
    <n v="9"/>
    <n v="171"/>
    <n v="2052"/>
    <x v="0"/>
    <b v="0"/>
    <b v="0"/>
    <b v="0"/>
    <x v="0"/>
    <b v="1"/>
  </r>
  <r>
    <s v="S-3fb251"/>
    <s v="A-87aa7b"/>
    <d v="2024-07-22T00:00:00"/>
    <m/>
    <x v="0"/>
    <n v="50"/>
    <n v="0"/>
    <n v="0"/>
    <x v="1"/>
    <b v="1"/>
    <b v="0"/>
    <b v="0"/>
    <x v="0"/>
    <b v="0"/>
  </r>
  <r>
    <s v="S-69a807"/>
    <s v="A-40de06"/>
    <d v="2023-10-28T00:00:00"/>
    <m/>
    <x v="1"/>
    <n v="28"/>
    <n v="1372"/>
    <n v="16464"/>
    <x v="0"/>
    <b v="0"/>
    <b v="0"/>
    <b v="0"/>
    <x v="1"/>
    <b v="1"/>
  </r>
  <r>
    <s v="S-cfaa97"/>
    <s v="A-c9bb3e"/>
    <d v="2024-09-13T00:00:00"/>
    <m/>
    <x v="2"/>
    <n v="26"/>
    <n v="494"/>
    <n v="5928"/>
    <x v="0"/>
    <b v="0"/>
    <b v="0"/>
    <b v="0"/>
    <x v="0"/>
    <b v="1"/>
  </r>
  <r>
    <s v="S-0e6b77"/>
    <s v="A-7c5768"/>
    <d v="2024-11-04T00:00:00"/>
    <m/>
    <x v="2"/>
    <n v="50"/>
    <n v="950"/>
    <n v="11400"/>
    <x v="0"/>
    <b v="0"/>
    <b v="0"/>
    <b v="0"/>
    <x v="1"/>
    <b v="1"/>
  </r>
  <r>
    <s v="S-224bca"/>
    <s v="A-3b5cd1"/>
    <d v="2024-02-27T00:00:00"/>
    <m/>
    <x v="0"/>
    <n v="18"/>
    <n v="3582"/>
    <n v="42984"/>
    <x v="0"/>
    <b v="0"/>
    <b v="0"/>
    <b v="0"/>
    <x v="0"/>
    <b v="0"/>
  </r>
  <r>
    <s v="S-a68b52"/>
    <s v="A-e89151"/>
    <d v="2024-12-17T00:00:00"/>
    <m/>
    <x v="0"/>
    <n v="44"/>
    <n v="8756"/>
    <n v="105072"/>
    <x v="0"/>
    <b v="0"/>
    <b v="0"/>
    <b v="0"/>
    <x v="1"/>
    <b v="1"/>
  </r>
  <r>
    <s v="S-aabbf4"/>
    <s v="A-54d94a"/>
    <d v="2024-01-06T00:00:00"/>
    <m/>
    <x v="1"/>
    <n v="52"/>
    <n v="2548"/>
    <n v="30576"/>
    <x v="0"/>
    <b v="1"/>
    <b v="0"/>
    <b v="0"/>
    <x v="1"/>
    <b v="1"/>
  </r>
  <r>
    <s v="S-1cefc9"/>
    <s v="A-10b8f2"/>
    <d v="2024-12-16T00:00:00"/>
    <m/>
    <x v="1"/>
    <n v="48"/>
    <n v="2352"/>
    <n v="28224"/>
    <x v="0"/>
    <b v="0"/>
    <b v="0"/>
    <b v="0"/>
    <x v="1"/>
    <b v="1"/>
  </r>
  <r>
    <s v="S-61cc6f"/>
    <s v="A-d4e0d4"/>
    <d v="2024-12-14T00:00:00"/>
    <m/>
    <x v="0"/>
    <n v="117"/>
    <n v="23283"/>
    <n v="279396"/>
    <x v="0"/>
    <b v="1"/>
    <b v="0"/>
    <b v="0"/>
    <x v="1"/>
    <b v="1"/>
  </r>
  <r>
    <s v="S-3b7f8e"/>
    <s v="A-625d0b"/>
    <d v="2024-10-07T00:00:00"/>
    <m/>
    <x v="0"/>
    <n v="9"/>
    <n v="1791"/>
    <n v="21492"/>
    <x v="0"/>
    <b v="0"/>
    <b v="0"/>
    <b v="0"/>
    <x v="0"/>
    <b v="1"/>
  </r>
  <r>
    <s v="S-104ed3"/>
    <s v="A-855a48"/>
    <d v="2024-03-02T00:00:00"/>
    <m/>
    <x v="2"/>
    <n v="14"/>
    <n v="266"/>
    <n v="3192"/>
    <x v="0"/>
    <b v="0"/>
    <b v="0"/>
    <b v="0"/>
    <x v="1"/>
    <b v="1"/>
  </r>
  <r>
    <s v="S-b86304"/>
    <s v="A-462d45"/>
    <d v="2024-05-07T00:00:00"/>
    <m/>
    <x v="1"/>
    <n v="19"/>
    <n v="931"/>
    <n v="11172"/>
    <x v="0"/>
    <b v="0"/>
    <b v="0"/>
    <b v="0"/>
    <x v="1"/>
    <b v="1"/>
  </r>
  <r>
    <s v="S-b192d9"/>
    <s v="A-ffdfd5"/>
    <d v="2024-09-09T00:00:00"/>
    <m/>
    <x v="1"/>
    <n v="14"/>
    <n v="0"/>
    <n v="0"/>
    <x v="1"/>
    <b v="1"/>
    <b v="0"/>
    <b v="0"/>
    <x v="0"/>
    <b v="1"/>
  </r>
  <r>
    <s v="S-b156cf"/>
    <s v="A-625d0b"/>
    <d v="2024-11-22T00:00:00"/>
    <m/>
    <x v="1"/>
    <n v="9"/>
    <n v="441"/>
    <n v="5292"/>
    <x v="0"/>
    <b v="0"/>
    <b v="0"/>
    <b v="0"/>
    <x v="1"/>
    <b v="1"/>
  </r>
  <r>
    <s v="S-b859e7"/>
    <s v="A-ffdfd5"/>
    <d v="2024-11-24T00:00:00"/>
    <m/>
    <x v="0"/>
    <n v="4"/>
    <n v="0"/>
    <n v="0"/>
    <x v="1"/>
    <b v="0"/>
    <b v="0"/>
    <b v="0"/>
    <x v="1"/>
    <b v="1"/>
  </r>
  <r>
    <s v="S-4c9107"/>
    <s v="A-9208f0"/>
    <d v="2023-09-19T00:00:00"/>
    <m/>
    <x v="2"/>
    <n v="4"/>
    <n v="76"/>
    <n v="912"/>
    <x v="0"/>
    <b v="1"/>
    <b v="0"/>
    <b v="0"/>
    <x v="1"/>
    <b v="1"/>
  </r>
  <r>
    <s v="S-57e129"/>
    <s v="A-b11cd0"/>
    <d v="2024-02-17T00:00:00"/>
    <m/>
    <x v="1"/>
    <n v="36"/>
    <n v="1764"/>
    <n v="21168"/>
    <x v="0"/>
    <b v="0"/>
    <b v="0"/>
    <b v="0"/>
    <x v="0"/>
    <b v="1"/>
  </r>
  <r>
    <s v="S-79ab7e"/>
    <s v="A-956988"/>
    <d v="2024-12-13T00:00:00"/>
    <d v="2024-12-22T00:00:00"/>
    <x v="0"/>
    <n v="72"/>
    <n v="0"/>
    <n v="0"/>
    <x v="1"/>
    <b v="0"/>
    <b v="0"/>
    <b v="1"/>
    <x v="0"/>
    <b v="0"/>
  </r>
  <r>
    <s v="S-8f4f5b"/>
    <s v="A-7f6b86"/>
    <d v="2023-08-30T00:00:00"/>
    <m/>
    <x v="1"/>
    <n v="45"/>
    <n v="0"/>
    <n v="0"/>
    <x v="1"/>
    <b v="0"/>
    <b v="0"/>
    <b v="0"/>
    <x v="1"/>
    <b v="1"/>
  </r>
  <r>
    <s v="S-2574a3"/>
    <s v="A-40de06"/>
    <d v="2024-10-09T00:00:00"/>
    <m/>
    <x v="0"/>
    <n v="28"/>
    <n v="5572"/>
    <n v="66864"/>
    <x v="0"/>
    <b v="0"/>
    <b v="0"/>
    <b v="0"/>
    <x v="1"/>
    <b v="1"/>
  </r>
  <r>
    <s v="S-f30a79"/>
    <s v="A-ff3c73"/>
    <d v="2024-10-20T00:00:00"/>
    <m/>
    <x v="2"/>
    <n v="21"/>
    <n v="399"/>
    <n v="4788"/>
    <x v="0"/>
    <b v="0"/>
    <b v="0"/>
    <b v="0"/>
    <x v="1"/>
    <b v="1"/>
  </r>
  <r>
    <s v="S-e702a4"/>
    <s v="A-78f02b"/>
    <d v="2024-11-26T00:00:00"/>
    <m/>
    <x v="0"/>
    <n v="18"/>
    <n v="3582"/>
    <n v="42984"/>
    <x v="0"/>
    <b v="0"/>
    <b v="0"/>
    <b v="0"/>
    <x v="1"/>
    <b v="1"/>
  </r>
  <r>
    <s v="S-5e0619"/>
    <s v="A-0b0d6d"/>
    <d v="2024-12-31T00:00:00"/>
    <m/>
    <x v="1"/>
    <n v="6"/>
    <n v="294"/>
    <n v="3528"/>
    <x v="0"/>
    <b v="0"/>
    <b v="0"/>
    <b v="0"/>
    <x v="1"/>
    <b v="1"/>
  </r>
  <r>
    <s v="S-4fc5ca"/>
    <s v="A-712f1c"/>
    <d v="2024-03-11T00:00:00"/>
    <m/>
    <x v="0"/>
    <n v="75"/>
    <n v="14925"/>
    <n v="179100"/>
    <x v="0"/>
    <b v="0"/>
    <b v="0"/>
    <b v="0"/>
    <x v="1"/>
    <b v="1"/>
  </r>
  <r>
    <s v="S-457217"/>
    <s v="A-104f1a"/>
    <d v="2024-12-18T00:00:00"/>
    <m/>
    <x v="1"/>
    <n v="24"/>
    <n v="1176"/>
    <n v="14112"/>
    <x v="0"/>
    <b v="0"/>
    <b v="0"/>
    <b v="0"/>
    <x v="0"/>
    <b v="1"/>
  </r>
  <r>
    <s v="S-113e86"/>
    <s v="A-96bbc6"/>
    <d v="2024-05-23T00:00:00"/>
    <m/>
    <x v="1"/>
    <n v="39"/>
    <n v="1911"/>
    <n v="22932"/>
    <x v="0"/>
    <b v="1"/>
    <b v="0"/>
    <b v="0"/>
    <x v="0"/>
    <b v="1"/>
  </r>
  <r>
    <s v="S-9f479f"/>
    <s v="A-d5a319"/>
    <d v="2023-12-01T00:00:00"/>
    <m/>
    <x v="2"/>
    <n v="17"/>
    <n v="323"/>
    <n v="3876"/>
    <x v="0"/>
    <b v="1"/>
    <b v="0"/>
    <b v="0"/>
    <x v="0"/>
    <b v="0"/>
  </r>
  <r>
    <s v="S-3ec165"/>
    <s v="A-019782"/>
    <d v="2023-08-19T00:00:00"/>
    <d v="2023-11-27T00:00:00"/>
    <x v="0"/>
    <n v="16"/>
    <n v="3184"/>
    <n v="38208"/>
    <x v="0"/>
    <b v="0"/>
    <b v="0"/>
    <b v="1"/>
    <x v="1"/>
    <b v="1"/>
  </r>
  <r>
    <s v="S-7fa78f"/>
    <s v="A-0651a4"/>
    <d v="2024-12-13T00:00:00"/>
    <m/>
    <x v="0"/>
    <n v="16"/>
    <n v="3184"/>
    <n v="38208"/>
    <x v="0"/>
    <b v="0"/>
    <b v="0"/>
    <b v="0"/>
    <x v="0"/>
    <b v="1"/>
  </r>
  <r>
    <s v="S-1b4693"/>
    <s v="A-cd458b"/>
    <d v="2024-12-23T00:00:00"/>
    <m/>
    <x v="0"/>
    <n v="15"/>
    <n v="2985"/>
    <n v="35820"/>
    <x v="0"/>
    <b v="0"/>
    <b v="0"/>
    <b v="0"/>
    <x v="0"/>
    <b v="1"/>
  </r>
  <r>
    <s v="S-15c444"/>
    <s v="A-6965e1"/>
    <d v="2024-12-07T00:00:00"/>
    <m/>
    <x v="1"/>
    <n v="13"/>
    <n v="637"/>
    <n v="7644"/>
    <x v="0"/>
    <b v="0"/>
    <b v="1"/>
    <b v="0"/>
    <x v="0"/>
    <b v="1"/>
  </r>
  <r>
    <s v="S-d8c6a0"/>
    <s v="A-af0cd2"/>
    <d v="2024-10-05T00:00:00"/>
    <m/>
    <x v="2"/>
    <n v="57"/>
    <n v="1083"/>
    <n v="12996"/>
    <x v="0"/>
    <b v="0"/>
    <b v="0"/>
    <b v="0"/>
    <x v="1"/>
    <b v="1"/>
  </r>
  <r>
    <s v="S-e874c1"/>
    <s v="A-92a3af"/>
    <d v="2024-07-24T00:00:00"/>
    <m/>
    <x v="1"/>
    <n v="34"/>
    <n v="1666"/>
    <n v="19992"/>
    <x v="0"/>
    <b v="0"/>
    <b v="0"/>
    <b v="0"/>
    <x v="0"/>
    <b v="0"/>
  </r>
  <r>
    <s v="S-80fa36"/>
    <s v="A-55f257"/>
    <d v="2024-01-18T00:00:00"/>
    <m/>
    <x v="1"/>
    <n v="9"/>
    <n v="441"/>
    <n v="5292"/>
    <x v="0"/>
    <b v="0"/>
    <b v="0"/>
    <b v="0"/>
    <x v="0"/>
    <b v="0"/>
  </r>
  <r>
    <s v="S-5ed335"/>
    <s v="A-7df7a7"/>
    <d v="2023-10-17T00:00:00"/>
    <d v="2024-01-18T00:00:00"/>
    <x v="0"/>
    <n v="13"/>
    <n v="2587"/>
    <n v="31044"/>
    <x v="0"/>
    <b v="0"/>
    <b v="0"/>
    <b v="1"/>
    <x v="0"/>
    <b v="1"/>
  </r>
  <r>
    <s v="S-ec56f3"/>
    <s v="A-92a333"/>
    <d v="2024-07-03T00:00:00"/>
    <m/>
    <x v="2"/>
    <n v="67"/>
    <n v="1273"/>
    <n v="15276"/>
    <x v="0"/>
    <b v="0"/>
    <b v="0"/>
    <b v="0"/>
    <x v="0"/>
    <b v="1"/>
  </r>
  <r>
    <s v="S-527b39"/>
    <s v="A-3d957b"/>
    <d v="2024-08-18T00:00:00"/>
    <d v="2024-10-28T00:00:00"/>
    <x v="0"/>
    <n v="14"/>
    <n v="2786"/>
    <n v="33432"/>
    <x v="0"/>
    <b v="0"/>
    <b v="0"/>
    <b v="1"/>
    <x v="0"/>
    <b v="1"/>
  </r>
  <r>
    <s v="S-bc5908"/>
    <s v="A-0354fe"/>
    <d v="2024-11-15T00:00:00"/>
    <m/>
    <x v="0"/>
    <n v="34"/>
    <n v="6766"/>
    <n v="81192"/>
    <x v="0"/>
    <b v="0"/>
    <b v="0"/>
    <b v="0"/>
    <x v="0"/>
    <b v="1"/>
  </r>
  <r>
    <s v="S-af4e84"/>
    <s v="A-798a3f"/>
    <d v="2023-12-25T00:00:00"/>
    <m/>
    <x v="0"/>
    <n v="12"/>
    <n v="2388"/>
    <n v="28656"/>
    <x v="0"/>
    <b v="0"/>
    <b v="0"/>
    <b v="0"/>
    <x v="1"/>
    <b v="0"/>
  </r>
  <r>
    <s v="S-6ce794"/>
    <s v="A-45ce7a"/>
    <d v="2024-02-20T00:00:00"/>
    <m/>
    <x v="2"/>
    <n v="18"/>
    <n v="342"/>
    <n v="4104"/>
    <x v="0"/>
    <b v="1"/>
    <b v="0"/>
    <b v="0"/>
    <x v="0"/>
    <b v="0"/>
  </r>
  <r>
    <s v="S-f17152"/>
    <s v="A-7f6b86"/>
    <d v="2024-09-16T00:00:00"/>
    <m/>
    <x v="0"/>
    <n v="59"/>
    <n v="11741"/>
    <n v="140892"/>
    <x v="0"/>
    <b v="0"/>
    <b v="0"/>
    <b v="0"/>
    <x v="1"/>
    <b v="1"/>
  </r>
  <r>
    <s v="S-0a59be"/>
    <s v="A-328bd0"/>
    <d v="2023-08-24T00:00:00"/>
    <m/>
    <x v="0"/>
    <n v="18"/>
    <n v="3582"/>
    <n v="42984"/>
    <x v="0"/>
    <b v="0"/>
    <b v="0"/>
    <b v="0"/>
    <x v="0"/>
    <b v="1"/>
  </r>
  <r>
    <s v="S-6f488b"/>
    <s v="A-d27f50"/>
    <d v="2024-12-29T00:00:00"/>
    <d v="2024-12-29T00:00:00"/>
    <x v="2"/>
    <n v="44"/>
    <n v="836"/>
    <n v="10032"/>
    <x v="0"/>
    <b v="0"/>
    <b v="0"/>
    <b v="1"/>
    <x v="1"/>
    <b v="0"/>
  </r>
  <r>
    <s v="S-094e82"/>
    <s v="A-9ee962"/>
    <d v="2024-05-25T00:00:00"/>
    <d v="2024-09-23T00:00:00"/>
    <x v="2"/>
    <n v="9"/>
    <n v="171"/>
    <n v="2052"/>
    <x v="0"/>
    <b v="0"/>
    <b v="0"/>
    <b v="1"/>
    <x v="0"/>
    <b v="1"/>
  </r>
  <r>
    <s v="S-1eb467"/>
    <s v="A-94f8c9"/>
    <d v="2024-12-31T00:00:00"/>
    <m/>
    <x v="0"/>
    <n v="13"/>
    <n v="2587"/>
    <n v="31044"/>
    <x v="0"/>
    <b v="0"/>
    <b v="0"/>
    <b v="0"/>
    <x v="0"/>
    <b v="1"/>
  </r>
  <r>
    <s v="S-7f9ce5"/>
    <s v="A-00bed1"/>
    <d v="2024-07-20T00:00:00"/>
    <m/>
    <x v="1"/>
    <n v="28"/>
    <n v="1372"/>
    <n v="16464"/>
    <x v="0"/>
    <b v="0"/>
    <b v="0"/>
    <b v="0"/>
    <x v="0"/>
    <b v="1"/>
  </r>
  <r>
    <s v="S-69362d"/>
    <s v="A-a865bd"/>
    <d v="2024-04-26T00:00:00"/>
    <m/>
    <x v="2"/>
    <n v="68"/>
    <n v="1292"/>
    <n v="15504"/>
    <x v="0"/>
    <b v="0"/>
    <b v="0"/>
    <b v="0"/>
    <x v="1"/>
    <b v="1"/>
  </r>
  <r>
    <s v="S-36069b"/>
    <s v="A-940b8b"/>
    <d v="2024-06-26T00:00:00"/>
    <m/>
    <x v="0"/>
    <n v="1"/>
    <n v="199"/>
    <n v="2388"/>
    <x v="0"/>
    <b v="0"/>
    <b v="0"/>
    <b v="0"/>
    <x v="1"/>
    <b v="1"/>
  </r>
  <r>
    <s v="S-d24841"/>
    <s v="A-2e4581"/>
    <d v="2024-11-17T00:00:00"/>
    <m/>
    <x v="1"/>
    <n v="9"/>
    <n v="0"/>
    <n v="0"/>
    <x v="1"/>
    <b v="1"/>
    <b v="0"/>
    <b v="0"/>
    <x v="1"/>
    <b v="1"/>
  </r>
  <r>
    <s v="S-cd6bb6"/>
    <s v="A-dbc825"/>
    <d v="2024-11-25T00:00:00"/>
    <m/>
    <x v="2"/>
    <n v="19"/>
    <n v="361"/>
    <n v="4332"/>
    <x v="0"/>
    <b v="0"/>
    <b v="0"/>
    <b v="0"/>
    <x v="1"/>
    <b v="1"/>
  </r>
  <r>
    <s v="S-6a9918"/>
    <s v="A-92a3af"/>
    <d v="2024-11-07T00:00:00"/>
    <m/>
    <x v="0"/>
    <n v="35"/>
    <n v="6965"/>
    <n v="83580"/>
    <x v="0"/>
    <b v="0"/>
    <b v="0"/>
    <b v="0"/>
    <x v="1"/>
    <b v="0"/>
  </r>
  <r>
    <s v="S-549438"/>
    <s v="A-ac9111"/>
    <d v="2024-07-07T00:00:00"/>
    <m/>
    <x v="1"/>
    <n v="23"/>
    <n v="1127"/>
    <n v="13524"/>
    <x v="0"/>
    <b v="0"/>
    <b v="0"/>
    <b v="0"/>
    <x v="1"/>
    <b v="1"/>
  </r>
  <r>
    <s v="S-f7cde3"/>
    <s v="A-82d8a6"/>
    <d v="2024-12-13T00:00:00"/>
    <m/>
    <x v="1"/>
    <n v="42"/>
    <n v="2058"/>
    <n v="24696"/>
    <x v="0"/>
    <b v="0"/>
    <b v="0"/>
    <b v="0"/>
    <x v="1"/>
    <b v="0"/>
  </r>
  <r>
    <s v="S-de6767"/>
    <s v="A-e3bd71"/>
    <d v="2024-10-19T00:00:00"/>
    <m/>
    <x v="0"/>
    <n v="31"/>
    <n v="6169"/>
    <n v="74028"/>
    <x v="0"/>
    <b v="0"/>
    <b v="0"/>
    <b v="0"/>
    <x v="1"/>
    <b v="1"/>
  </r>
  <r>
    <s v="S-d3d720"/>
    <s v="A-b7724f"/>
    <d v="2024-06-20T00:00:00"/>
    <d v="2024-12-30T00:00:00"/>
    <x v="2"/>
    <n v="11"/>
    <n v="209"/>
    <n v="2508"/>
    <x v="0"/>
    <b v="0"/>
    <b v="0"/>
    <b v="1"/>
    <x v="0"/>
    <b v="1"/>
  </r>
  <r>
    <s v="S-21b034"/>
    <s v="A-90a8c8"/>
    <d v="2024-08-25T00:00:00"/>
    <m/>
    <x v="1"/>
    <n v="32"/>
    <n v="1568"/>
    <n v="18816"/>
    <x v="0"/>
    <b v="0"/>
    <b v="0"/>
    <b v="0"/>
    <x v="1"/>
    <b v="1"/>
  </r>
  <r>
    <s v="S-9e6f0c"/>
    <s v="A-c70870"/>
    <d v="2024-11-11T00:00:00"/>
    <m/>
    <x v="2"/>
    <n v="31"/>
    <n v="589"/>
    <n v="7068"/>
    <x v="0"/>
    <b v="0"/>
    <b v="0"/>
    <b v="0"/>
    <x v="0"/>
    <b v="1"/>
  </r>
  <r>
    <s v="S-c1316c"/>
    <s v="A-855a48"/>
    <d v="2024-07-30T00:00:00"/>
    <m/>
    <x v="0"/>
    <n v="60"/>
    <n v="11940"/>
    <n v="143280"/>
    <x v="0"/>
    <b v="0"/>
    <b v="0"/>
    <b v="0"/>
    <x v="1"/>
    <b v="1"/>
  </r>
  <r>
    <s v="S-3383a4"/>
    <s v="A-c37601"/>
    <d v="2024-12-29T00:00:00"/>
    <m/>
    <x v="1"/>
    <n v="12"/>
    <n v="0"/>
    <n v="0"/>
    <x v="1"/>
    <b v="0"/>
    <b v="0"/>
    <b v="0"/>
    <x v="1"/>
    <b v="1"/>
  </r>
  <r>
    <s v="S-d27f96"/>
    <s v="A-a8d89d"/>
    <d v="2024-11-23T00:00:00"/>
    <m/>
    <x v="0"/>
    <n v="28"/>
    <n v="5572"/>
    <n v="66864"/>
    <x v="0"/>
    <b v="0"/>
    <b v="0"/>
    <b v="0"/>
    <x v="0"/>
    <b v="1"/>
  </r>
  <r>
    <s v="S-5a75eb"/>
    <s v="A-503d5a"/>
    <d v="2024-11-22T00:00:00"/>
    <m/>
    <x v="2"/>
    <n v="10"/>
    <n v="190"/>
    <n v="2280"/>
    <x v="0"/>
    <b v="0"/>
    <b v="0"/>
    <b v="0"/>
    <x v="0"/>
    <b v="1"/>
  </r>
  <r>
    <s v="S-fef8bf"/>
    <s v="A-484819"/>
    <d v="2024-01-01T00:00:00"/>
    <m/>
    <x v="0"/>
    <n v="18"/>
    <n v="3582"/>
    <n v="42984"/>
    <x v="0"/>
    <b v="0"/>
    <b v="0"/>
    <b v="0"/>
    <x v="1"/>
    <b v="1"/>
  </r>
  <r>
    <s v="S-e2f1fd"/>
    <s v="A-d27f50"/>
    <d v="2024-12-02T00:00:00"/>
    <m/>
    <x v="1"/>
    <n v="44"/>
    <n v="0"/>
    <n v="0"/>
    <x v="1"/>
    <b v="0"/>
    <b v="0"/>
    <b v="0"/>
    <x v="0"/>
    <b v="1"/>
  </r>
  <r>
    <s v="S-1c406a"/>
    <s v="A-82861f"/>
    <d v="2024-07-10T00:00:00"/>
    <m/>
    <x v="0"/>
    <n v="53"/>
    <n v="10547"/>
    <n v="126564"/>
    <x v="0"/>
    <b v="0"/>
    <b v="0"/>
    <b v="0"/>
    <x v="0"/>
    <b v="1"/>
  </r>
  <r>
    <s v="S-80dc6b"/>
    <s v="A-b07b56"/>
    <d v="2024-12-21T00:00:00"/>
    <m/>
    <x v="2"/>
    <n v="25"/>
    <n v="0"/>
    <n v="0"/>
    <x v="1"/>
    <b v="0"/>
    <b v="0"/>
    <b v="0"/>
    <x v="1"/>
    <b v="1"/>
  </r>
  <r>
    <s v="S-4faeb9"/>
    <s v="A-98a59a"/>
    <d v="2024-02-16T00:00:00"/>
    <m/>
    <x v="1"/>
    <n v="56"/>
    <n v="2744"/>
    <n v="32928"/>
    <x v="0"/>
    <b v="1"/>
    <b v="0"/>
    <b v="0"/>
    <x v="0"/>
    <b v="1"/>
  </r>
  <r>
    <s v="S-0e8781"/>
    <s v="A-34ea2f"/>
    <d v="2024-09-24T00:00:00"/>
    <m/>
    <x v="0"/>
    <n v="23"/>
    <n v="0"/>
    <n v="0"/>
    <x v="1"/>
    <b v="0"/>
    <b v="0"/>
    <b v="0"/>
    <x v="0"/>
    <b v="0"/>
  </r>
  <r>
    <s v="S-53a9f7"/>
    <s v="A-5b1bcd"/>
    <d v="2024-06-06T00:00:00"/>
    <m/>
    <x v="1"/>
    <n v="73"/>
    <n v="3577"/>
    <n v="42924"/>
    <x v="0"/>
    <b v="0"/>
    <b v="0"/>
    <b v="0"/>
    <x v="1"/>
    <b v="1"/>
  </r>
  <r>
    <s v="S-b95aac"/>
    <s v="A-2d1036"/>
    <d v="2024-12-16T00:00:00"/>
    <m/>
    <x v="1"/>
    <n v="69"/>
    <n v="3381"/>
    <n v="40572"/>
    <x v="0"/>
    <b v="0"/>
    <b v="0"/>
    <b v="0"/>
    <x v="0"/>
    <b v="0"/>
  </r>
  <r>
    <s v="S-41a4cb"/>
    <s v="A-970c97"/>
    <d v="2024-07-13T00:00:00"/>
    <m/>
    <x v="1"/>
    <n v="14"/>
    <n v="686"/>
    <n v="8232"/>
    <x v="0"/>
    <b v="0"/>
    <b v="0"/>
    <b v="0"/>
    <x v="1"/>
    <b v="1"/>
  </r>
  <r>
    <s v="S-7a6697"/>
    <s v="A-b9eed8"/>
    <d v="2024-05-07T00:00:00"/>
    <m/>
    <x v="1"/>
    <n v="12"/>
    <n v="588"/>
    <n v="7056"/>
    <x v="0"/>
    <b v="0"/>
    <b v="1"/>
    <b v="0"/>
    <x v="1"/>
    <b v="1"/>
  </r>
  <r>
    <s v="S-bdf4de"/>
    <s v="A-6e7827"/>
    <d v="2024-03-22T00:00:00"/>
    <m/>
    <x v="0"/>
    <n v="2"/>
    <n v="398"/>
    <n v="4776"/>
    <x v="0"/>
    <b v="0"/>
    <b v="0"/>
    <b v="0"/>
    <x v="1"/>
    <b v="1"/>
  </r>
  <r>
    <s v="S-2c617b"/>
    <s v="A-fda07f"/>
    <d v="2024-10-28T00:00:00"/>
    <m/>
    <x v="1"/>
    <n v="51"/>
    <n v="0"/>
    <n v="0"/>
    <x v="1"/>
    <b v="0"/>
    <b v="0"/>
    <b v="0"/>
    <x v="1"/>
    <b v="1"/>
  </r>
  <r>
    <s v="S-a54f87"/>
    <s v="A-756192"/>
    <d v="2024-08-11T00:00:00"/>
    <m/>
    <x v="2"/>
    <n v="68"/>
    <n v="1292"/>
    <n v="15504"/>
    <x v="0"/>
    <b v="0"/>
    <b v="0"/>
    <b v="0"/>
    <x v="1"/>
    <b v="1"/>
  </r>
  <r>
    <s v="S-30c045"/>
    <s v="A-eb7fac"/>
    <d v="2024-05-24T00:00:00"/>
    <m/>
    <x v="1"/>
    <n v="92"/>
    <n v="4508"/>
    <n v="54096"/>
    <x v="0"/>
    <b v="0"/>
    <b v="0"/>
    <b v="0"/>
    <x v="0"/>
    <b v="1"/>
  </r>
  <r>
    <s v="S-af2d97"/>
    <s v="A-781cc0"/>
    <d v="2024-11-01T00:00:00"/>
    <d v="2024-11-02T00:00:00"/>
    <x v="1"/>
    <n v="28"/>
    <n v="1372"/>
    <n v="16464"/>
    <x v="0"/>
    <b v="0"/>
    <b v="0"/>
    <b v="1"/>
    <x v="0"/>
    <b v="0"/>
  </r>
  <r>
    <s v="S-bfe8ca"/>
    <s v="A-22f2df"/>
    <d v="2024-12-22T00:00:00"/>
    <m/>
    <x v="1"/>
    <n v="61"/>
    <n v="2989"/>
    <n v="35868"/>
    <x v="0"/>
    <b v="0"/>
    <b v="0"/>
    <b v="0"/>
    <x v="1"/>
    <b v="1"/>
  </r>
  <r>
    <s v="S-91da84"/>
    <s v="A-6c093d"/>
    <d v="2024-03-08T00:00:00"/>
    <d v="2024-09-19T00:00:00"/>
    <x v="1"/>
    <n v="7"/>
    <n v="343"/>
    <n v="4116"/>
    <x v="0"/>
    <b v="0"/>
    <b v="0"/>
    <b v="1"/>
    <x v="1"/>
    <b v="1"/>
  </r>
  <r>
    <s v="S-ba7f2a"/>
    <s v="A-417d2f"/>
    <d v="2024-01-24T00:00:00"/>
    <m/>
    <x v="2"/>
    <n v="14"/>
    <n v="266"/>
    <n v="3192"/>
    <x v="0"/>
    <b v="0"/>
    <b v="0"/>
    <b v="0"/>
    <x v="1"/>
    <b v="1"/>
  </r>
  <r>
    <s v="S-d7ef67"/>
    <s v="A-558c72"/>
    <d v="2024-03-07T00:00:00"/>
    <m/>
    <x v="2"/>
    <n v="12"/>
    <n v="228"/>
    <n v="2736"/>
    <x v="0"/>
    <b v="1"/>
    <b v="0"/>
    <b v="0"/>
    <x v="0"/>
    <b v="0"/>
  </r>
  <r>
    <s v="S-ec58ac"/>
    <s v="A-5a184f"/>
    <d v="2023-11-30T00:00:00"/>
    <m/>
    <x v="1"/>
    <n v="41"/>
    <n v="2009"/>
    <n v="24108"/>
    <x v="0"/>
    <b v="0"/>
    <b v="0"/>
    <b v="0"/>
    <x v="1"/>
    <b v="1"/>
  </r>
  <r>
    <s v="S-526874"/>
    <s v="A-cc8c8f"/>
    <d v="2024-12-17T00:00:00"/>
    <m/>
    <x v="0"/>
    <n v="23"/>
    <n v="4577"/>
    <n v="54924"/>
    <x v="0"/>
    <b v="0"/>
    <b v="0"/>
    <b v="0"/>
    <x v="1"/>
    <b v="1"/>
  </r>
  <r>
    <s v="S-2fe6c0"/>
    <s v="A-ac9111"/>
    <d v="2024-12-21T00:00:00"/>
    <m/>
    <x v="2"/>
    <n v="21"/>
    <n v="399"/>
    <n v="4788"/>
    <x v="0"/>
    <b v="0"/>
    <b v="0"/>
    <b v="0"/>
    <x v="1"/>
    <b v="1"/>
  </r>
  <r>
    <s v="S-6c7227"/>
    <s v="A-a33200"/>
    <d v="2024-12-14T00:00:00"/>
    <m/>
    <x v="1"/>
    <n v="51"/>
    <n v="2499"/>
    <n v="29988"/>
    <x v="0"/>
    <b v="0"/>
    <b v="0"/>
    <b v="0"/>
    <x v="0"/>
    <b v="1"/>
  </r>
  <r>
    <s v="S-bbd26a"/>
    <s v="A-df10db"/>
    <d v="2024-06-24T00:00:00"/>
    <m/>
    <x v="2"/>
    <n v="3"/>
    <n v="57"/>
    <n v="684"/>
    <x v="0"/>
    <b v="0"/>
    <b v="0"/>
    <b v="0"/>
    <x v="0"/>
    <b v="1"/>
  </r>
  <r>
    <s v="S-4ef4fd"/>
    <s v="A-eb7fac"/>
    <d v="2024-09-19T00:00:00"/>
    <m/>
    <x v="1"/>
    <n v="7"/>
    <n v="343"/>
    <n v="4116"/>
    <x v="0"/>
    <b v="0"/>
    <b v="0"/>
    <b v="0"/>
    <x v="1"/>
    <b v="1"/>
  </r>
  <r>
    <s v="S-6b0a2f"/>
    <s v="A-d49cc5"/>
    <d v="2024-03-26T00:00:00"/>
    <m/>
    <x v="1"/>
    <n v="50"/>
    <n v="2450"/>
    <n v="29400"/>
    <x v="0"/>
    <b v="0"/>
    <b v="0"/>
    <b v="0"/>
    <x v="1"/>
    <b v="1"/>
  </r>
  <r>
    <s v="S-7f04ec"/>
    <s v="A-1b707d"/>
    <d v="2024-11-08T00:00:00"/>
    <m/>
    <x v="2"/>
    <n v="24"/>
    <n v="456"/>
    <n v="5472"/>
    <x v="0"/>
    <b v="1"/>
    <b v="0"/>
    <b v="0"/>
    <x v="0"/>
    <b v="1"/>
  </r>
  <r>
    <s v="S-b553d7"/>
    <s v="A-5b1bcd"/>
    <d v="2024-10-16T00:00:00"/>
    <m/>
    <x v="0"/>
    <n v="73"/>
    <n v="14527"/>
    <n v="174324"/>
    <x v="0"/>
    <b v="0"/>
    <b v="0"/>
    <b v="0"/>
    <x v="1"/>
    <b v="1"/>
  </r>
  <r>
    <s v="S-31d9ee"/>
    <s v="A-39868b"/>
    <d v="2024-06-02T00:00:00"/>
    <m/>
    <x v="2"/>
    <n v="9"/>
    <n v="171"/>
    <n v="2052"/>
    <x v="0"/>
    <b v="0"/>
    <b v="0"/>
    <b v="0"/>
    <x v="1"/>
    <b v="1"/>
  </r>
  <r>
    <s v="S-a8e49e"/>
    <s v="A-6da850"/>
    <d v="2024-01-17T00:00:00"/>
    <m/>
    <x v="0"/>
    <n v="5"/>
    <n v="995"/>
    <n v="11940"/>
    <x v="0"/>
    <b v="0"/>
    <b v="0"/>
    <b v="0"/>
    <x v="0"/>
    <b v="1"/>
  </r>
  <r>
    <s v="S-715ace"/>
    <s v="A-3c1a3f"/>
    <d v="2023-12-29T00:00:00"/>
    <m/>
    <x v="1"/>
    <n v="1"/>
    <n v="0"/>
    <n v="0"/>
    <x v="1"/>
    <b v="0"/>
    <b v="0"/>
    <b v="0"/>
    <x v="1"/>
    <b v="1"/>
  </r>
  <r>
    <s v="S-0a3e58"/>
    <s v="A-417d2f"/>
    <d v="2024-12-28T00:00:00"/>
    <m/>
    <x v="1"/>
    <n v="33"/>
    <n v="1617"/>
    <n v="19404"/>
    <x v="0"/>
    <b v="0"/>
    <b v="0"/>
    <b v="0"/>
    <x v="0"/>
    <b v="1"/>
  </r>
  <r>
    <s v="S-23ccf4"/>
    <s v="A-9b9fe9"/>
    <d v="2024-10-27T00:00:00"/>
    <m/>
    <x v="2"/>
    <n v="99"/>
    <n v="1881"/>
    <n v="22572"/>
    <x v="0"/>
    <b v="0"/>
    <b v="0"/>
    <b v="0"/>
    <x v="1"/>
    <b v="0"/>
  </r>
  <r>
    <s v="S-fae334"/>
    <s v="A-d3c88e"/>
    <d v="2024-12-03T00:00:00"/>
    <m/>
    <x v="1"/>
    <n v="31"/>
    <n v="1519"/>
    <n v="18228"/>
    <x v="0"/>
    <b v="0"/>
    <b v="0"/>
    <b v="0"/>
    <x v="0"/>
    <b v="0"/>
  </r>
  <r>
    <s v="S-6e177f"/>
    <s v="A-3a5ad8"/>
    <d v="2024-05-17T00:00:00"/>
    <m/>
    <x v="1"/>
    <n v="9"/>
    <n v="441"/>
    <n v="5292"/>
    <x v="0"/>
    <b v="0"/>
    <b v="0"/>
    <b v="0"/>
    <x v="0"/>
    <b v="1"/>
  </r>
  <r>
    <s v="S-c18476"/>
    <s v="A-40906c"/>
    <d v="2024-09-28T00:00:00"/>
    <m/>
    <x v="1"/>
    <n v="92"/>
    <n v="4508"/>
    <n v="54096"/>
    <x v="0"/>
    <b v="0"/>
    <b v="0"/>
    <b v="0"/>
    <x v="0"/>
    <b v="1"/>
  </r>
  <r>
    <s v="S-111683"/>
    <s v="A-e6afc1"/>
    <d v="2023-11-16T00:00:00"/>
    <m/>
    <x v="1"/>
    <n v="68"/>
    <n v="3332"/>
    <n v="39984"/>
    <x v="0"/>
    <b v="0"/>
    <b v="0"/>
    <b v="0"/>
    <x v="0"/>
    <b v="1"/>
  </r>
  <r>
    <s v="S-5fe3e5"/>
    <s v="A-9b9fe9"/>
    <d v="2023-11-28T00:00:00"/>
    <m/>
    <x v="0"/>
    <n v="5"/>
    <n v="995"/>
    <n v="11940"/>
    <x v="0"/>
    <b v="0"/>
    <b v="0"/>
    <b v="0"/>
    <x v="1"/>
    <b v="0"/>
  </r>
  <r>
    <s v="S-5a37dc"/>
    <s v="A-cab532"/>
    <d v="2024-05-12T00:00:00"/>
    <m/>
    <x v="1"/>
    <n v="11"/>
    <n v="539"/>
    <n v="6468"/>
    <x v="0"/>
    <b v="1"/>
    <b v="0"/>
    <b v="0"/>
    <x v="0"/>
    <b v="1"/>
  </r>
  <r>
    <s v="S-a09e70"/>
    <s v="A-58b9ff"/>
    <d v="2024-10-13T00:00:00"/>
    <m/>
    <x v="2"/>
    <n v="22"/>
    <n v="418"/>
    <n v="5016"/>
    <x v="0"/>
    <b v="1"/>
    <b v="0"/>
    <b v="0"/>
    <x v="1"/>
    <b v="1"/>
  </r>
  <r>
    <s v="S-8942cf"/>
    <s v="A-7dacce"/>
    <d v="2024-11-21T00:00:00"/>
    <m/>
    <x v="1"/>
    <n v="12"/>
    <n v="588"/>
    <n v="7056"/>
    <x v="0"/>
    <b v="0"/>
    <b v="0"/>
    <b v="0"/>
    <x v="0"/>
    <b v="1"/>
  </r>
  <r>
    <s v="S-3c4cae"/>
    <s v="A-ccb686"/>
    <d v="2024-10-06T00:00:00"/>
    <m/>
    <x v="1"/>
    <n v="29"/>
    <n v="1421"/>
    <n v="17052"/>
    <x v="0"/>
    <b v="1"/>
    <b v="0"/>
    <b v="0"/>
    <x v="1"/>
    <b v="1"/>
  </r>
  <r>
    <s v="S-8464b6"/>
    <s v="A-3932db"/>
    <d v="2024-07-24T00:00:00"/>
    <d v="2024-08-10T00:00:00"/>
    <x v="1"/>
    <n v="58"/>
    <n v="0"/>
    <n v="0"/>
    <x v="1"/>
    <b v="0"/>
    <b v="0"/>
    <b v="1"/>
    <x v="0"/>
    <b v="1"/>
  </r>
  <r>
    <s v="S-936a83"/>
    <s v="A-54ecc2"/>
    <d v="2023-09-13T00:00:00"/>
    <m/>
    <x v="0"/>
    <n v="34"/>
    <n v="0"/>
    <n v="0"/>
    <x v="1"/>
    <b v="0"/>
    <b v="0"/>
    <b v="0"/>
    <x v="0"/>
    <b v="1"/>
  </r>
  <r>
    <s v="S-ed2bb5"/>
    <s v="A-e4bf56"/>
    <d v="2024-11-17T00:00:00"/>
    <m/>
    <x v="0"/>
    <n v="17"/>
    <n v="3383"/>
    <n v="40596"/>
    <x v="0"/>
    <b v="0"/>
    <b v="0"/>
    <b v="0"/>
    <x v="0"/>
    <b v="1"/>
  </r>
  <r>
    <s v="S-dd220e"/>
    <s v="A-6da850"/>
    <d v="2024-06-02T00:00:00"/>
    <m/>
    <x v="0"/>
    <n v="37"/>
    <n v="7363"/>
    <n v="88356"/>
    <x v="0"/>
    <b v="0"/>
    <b v="0"/>
    <b v="0"/>
    <x v="0"/>
    <b v="1"/>
  </r>
  <r>
    <s v="S-07aba0"/>
    <s v="A-3b37d9"/>
    <d v="2023-04-11T00:00:00"/>
    <m/>
    <x v="0"/>
    <n v="23"/>
    <n v="4577"/>
    <n v="54924"/>
    <x v="0"/>
    <b v="1"/>
    <b v="0"/>
    <b v="0"/>
    <x v="1"/>
    <b v="1"/>
  </r>
  <r>
    <s v="S-04ab7e"/>
    <s v="A-f6b2fb"/>
    <d v="2024-07-02T00:00:00"/>
    <m/>
    <x v="1"/>
    <n v="23"/>
    <n v="1127"/>
    <n v="13524"/>
    <x v="0"/>
    <b v="0"/>
    <b v="0"/>
    <b v="0"/>
    <x v="1"/>
    <b v="1"/>
  </r>
  <r>
    <s v="S-62c088"/>
    <s v="A-054577"/>
    <d v="2024-12-09T00:00:00"/>
    <m/>
    <x v="0"/>
    <n v="85"/>
    <n v="16915"/>
    <n v="202980"/>
    <x v="0"/>
    <b v="0"/>
    <b v="0"/>
    <b v="0"/>
    <x v="0"/>
    <b v="1"/>
  </r>
  <r>
    <s v="S-f71904"/>
    <s v="A-9a532a"/>
    <d v="2024-09-28T00:00:00"/>
    <m/>
    <x v="2"/>
    <n v="62"/>
    <n v="0"/>
    <n v="0"/>
    <x v="1"/>
    <b v="0"/>
    <b v="0"/>
    <b v="0"/>
    <x v="0"/>
    <b v="1"/>
  </r>
  <r>
    <s v="S-302add"/>
    <s v="A-712f1c"/>
    <d v="2024-10-05T00:00:00"/>
    <m/>
    <x v="1"/>
    <n v="17"/>
    <n v="833"/>
    <n v="9996"/>
    <x v="0"/>
    <b v="0"/>
    <b v="0"/>
    <b v="0"/>
    <x v="1"/>
    <b v="1"/>
  </r>
  <r>
    <s v="S-39b5ce"/>
    <s v="A-902ef7"/>
    <d v="2024-12-11T00:00:00"/>
    <m/>
    <x v="0"/>
    <n v="83"/>
    <n v="16517"/>
    <n v="198204"/>
    <x v="0"/>
    <b v="0"/>
    <b v="0"/>
    <b v="0"/>
    <x v="1"/>
    <b v="1"/>
  </r>
  <r>
    <s v="S-15cfa1"/>
    <s v="A-054577"/>
    <d v="2024-05-03T00:00:00"/>
    <m/>
    <x v="1"/>
    <n v="20"/>
    <n v="980"/>
    <n v="11760"/>
    <x v="0"/>
    <b v="0"/>
    <b v="0"/>
    <b v="0"/>
    <x v="1"/>
    <b v="1"/>
  </r>
  <r>
    <s v="S-90229f"/>
    <s v="A-1f0ac7"/>
    <d v="2024-07-11T00:00:00"/>
    <m/>
    <x v="1"/>
    <n v="24"/>
    <n v="0"/>
    <n v="0"/>
    <x v="1"/>
    <b v="1"/>
    <b v="0"/>
    <b v="0"/>
    <x v="0"/>
    <b v="1"/>
  </r>
  <r>
    <s v="S-7ac9dd"/>
    <s v="A-ce550d"/>
    <d v="2024-11-24T00:00:00"/>
    <m/>
    <x v="1"/>
    <n v="35"/>
    <n v="1715"/>
    <n v="20580"/>
    <x v="0"/>
    <b v="0"/>
    <b v="0"/>
    <b v="0"/>
    <x v="1"/>
    <b v="0"/>
  </r>
  <r>
    <s v="S-3196e2"/>
    <s v="A-ee42db"/>
    <d v="2024-01-15T00:00:00"/>
    <m/>
    <x v="2"/>
    <n v="13"/>
    <n v="0"/>
    <n v="0"/>
    <x v="1"/>
    <b v="0"/>
    <b v="0"/>
    <b v="0"/>
    <x v="1"/>
    <b v="1"/>
  </r>
  <r>
    <s v="S-51569a"/>
    <s v="A-e4bf56"/>
    <d v="2024-12-25T00:00:00"/>
    <m/>
    <x v="0"/>
    <n v="22"/>
    <n v="4378"/>
    <n v="52536"/>
    <x v="0"/>
    <b v="0"/>
    <b v="0"/>
    <b v="0"/>
    <x v="0"/>
    <b v="1"/>
  </r>
  <r>
    <s v="S-dc86fa"/>
    <s v="A-72799b"/>
    <d v="2024-09-02T00:00:00"/>
    <m/>
    <x v="1"/>
    <n v="30"/>
    <n v="0"/>
    <n v="0"/>
    <x v="1"/>
    <b v="0"/>
    <b v="0"/>
    <b v="0"/>
    <x v="0"/>
    <b v="1"/>
  </r>
  <r>
    <s v="S-c881bc"/>
    <s v="A-8b25f2"/>
    <d v="2024-05-02T00:00:00"/>
    <d v="2024-07-19T00:00:00"/>
    <x v="2"/>
    <n v="10"/>
    <n v="190"/>
    <n v="2280"/>
    <x v="0"/>
    <b v="0"/>
    <b v="0"/>
    <b v="1"/>
    <x v="0"/>
    <b v="1"/>
  </r>
  <r>
    <s v="S-25ee09"/>
    <s v="A-94f8c9"/>
    <d v="2024-04-11T00:00:00"/>
    <m/>
    <x v="0"/>
    <n v="13"/>
    <n v="2587"/>
    <n v="31044"/>
    <x v="0"/>
    <b v="1"/>
    <b v="0"/>
    <b v="0"/>
    <x v="0"/>
    <b v="1"/>
  </r>
  <r>
    <s v="S-5631a9"/>
    <s v="A-2d1036"/>
    <d v="2024-07-16T00:00:00"/>
    <m/>
    <x v="0"/>
    <n v="69"/>
    <n v="13731"/>
    <n v="164772"/>
    <x v="0"/>
    <b v="0"/>
    <b v="0"/>
    <b v="0"/>
    <x v="1"/>
    <b v="1"/>
  </r>
  <r>
    <s v="S-ad8908"/>
    <s v="A-18793f"/>
    <d v="2024-12-19T00:00:00"/>
    <m/>
    <x v="1"/>
    <n v="148"/>
    <n v="7252"/>
    <n v="87024"/>
    <x v="0"/>
    <b v="0"/>
    <b v="0"/>
    <b v="0"/>
    <x v="1"/>
    <b v="0"/>
  </r>
  <r>
    <s v="S-ac3a32"/>
    <s v="A-e08cd3"/>
    <d v="2024-10-20T00:00:00"/>
    <m/>
    <x v="0"/>
    <n v="67"/>
    <n v="13333"/>
    <n v="159996"/>
    <x v="0"/>
    <b v="0"/>
    <b v="0"/>
    <b v="0"/>
    <x v="0"/>
    <b v="1"/>
  </r>
  <r>
    <s v="S-b90a53"/>
    <s v="A-69fad4"/>
    <d v="2024-02-10T00:00:00"/>
    <m/>
    <x v="2"/>
    <n v="11"/>
    <n v="209"/>
    <n v="2508"/>
    <x v="0"/>
    <b v="0"/>
    <b v="0"/>
    <b v="0"/>
    <x v="1"/>
    <b v="1"/>
  </r>
  <r>
    <s v="S-4d2bda"/>
    <s v="A-bbc346"/>
    <d v="2024-09-27T00:00:00"/>
    <m/>
    <x v="2"/>
    <n v="19"/>
    <n v="0"/>
    <n v="0"/>
    <x v="1"/>
    <b v="1"/>
    <b v="0"/>
    <b v="0"/>
    <x v="1"/>
    <b v="1"/>
  </r>
  <r>
    <s v="S-cce34b"/>
    <s v="A-462d45"/>
    <d v="2024-03-25T00:00:00"/>
    <m/>
    <x v="1"/>
    <n v="18"/>
    <n v="882"/>
    <n v="10584"/>
    <x v="0"/>
    <b v="0"/>
    <b v="0"/>
    <b v="0"/>
    <x v="0"/>
    <b v="1"/>
  </r>
  <r>
    <s v="S-cb3a85"/>
    <s v="A-1d5444"/>
    <d v="2024-07-28T00:00:00"/>
    <m/>
    <x v="2"/>
    <n v="24"/>
    <n v="456"/>
    <n v="5472"/>
    <x v="0"/>
    <b v="0"/>
    <b v="0"/>
    <b v="0"/>
    <x v="1"/>
    <b v="1"/>
  </r>
  <r>
    <s v="S-129cf4"/>
    <s v="A-82d8a6"/>
    <d v="2024-12-11T00:00:00"/>
    <m/>
    <x v="1"/>
    <n v="16"/>
    <n v="784"/>
    <n v="9408"/>
    <x v="0"/>
    <b v="1"/>
    <b v="0"/>
    <b v="0"/>
    <x v="0"/>
    <b v="1"/>
  </r>
  <r>
    <s v="S-2c8143"/>
    <s v="A-9bfc9f"/>
    <d v="2024-04-25T00:00:00"/>
    <m/>
    <x v="1"/>
    <n v="53"/>
    <n v="0"/>
    <n v="0"/>
    <x v="1"/>
    <b v="0"/>
    <b v="0"/>
    <b v="0"/>
    <x v="0"/>
    <b v="1"/>
  </r>
  <r>
    <s v="S-8fd98a"/>
    <s v="A-f19409"/>
    <d v="2024-04-08T00:00:00"/>
    <m/>
    <x v="0"/>
    <n v="40"/>
    <n v="7960"/>
    <n v="95520"/>
    <x v="0"/>
    <b v="0"/>
    <b v="0"/>
    <b v="0"/>
    <x v="0"/>
    <b v="1"/>
  </r>
  <r>
    <s v="S-615915"/>
    <s v="A-eb7c38"/>
    <d v="2024-05-24T00:00:00"/>
    <d v="2024-10-19T00:00:00"/>
    <x v="0"/>
    <n v="90"/>
    <n v="17910"/>
    <n v="214920"/>
    <x v="0"/>
    <b v="0"/>
    <b v="0"/>
    <b v="1"/>
    <x v="0"/>
    <b v="1"/>
  </r>
  <r>
    <s v="S-09cb75"/>
    <s v="A-c43359"/>
    <d v="2024-11-29T00:00:00"/>
    <d v="2024-12-30T00:00:00"/>
    <x v="2"/>
    <n v="38"/>
    <n v="722"/>
    <n v="8664"/>
    <x v="0"/>
    <b v="0"/>
    <b v="0"/>
    <b v="1"/>
    <x v="1"/>
    <b v="1"/>
  </r>
  <r>
    <s v="S-bbcf43"/>
    <s v="A-b44e3e"/>
    <d v="2024-07-23T00:00:00"/>
    <m/>
    <x v="1"/>
    <n v="40"/>
    <n v="0"/>
    <n v="0"/>
    <x v="1"/>
    <b v="0"/>
    <b v="0"/>
    <b v="0"/>
    <x v="0"/>
    <b v="1"/>
  </r>
  <r>
    <s v="S-ed55d2"/>
    <s v="A-039727"/>
    <d v="2024-11-07T00:00:00"/>
    <m/>
    <x v="0"/>
    <n v="25"/>
    <n v="4975"/>
    <n v="59700"/>
    <x v="0"/>
    <b v="0"/>
    <b v="0"/>
    <b v="0"/>
    <x v="1"/>
    <b v="1"/>
  </r>
  <r>
    <s v="S-54ac93"/>
    <s v="A-ff3c73"/>
    <d v="2023-10-14T00:00:00"/>
    <d v="2023-12-10T00:00:00"/>
    <x v="0"/>
    <n v="25"/>
    <n v="0"/>
    <n v="0"/>
    <x v="1"/>
    <b v="0"/>
    <b v="0"/>
    <b v="1"/>
    <x v="1"/>
    <b v="1"/>
  </r>
  <r>
    <s v="S-5901a1"/>
    <s v="A-7dacce"/>
    <d v="2024-09-10T00:00:00"/>
    <m/>
    <x v="1"/>
    <n v="12"/>
    <n v="0"/>
    <n v="0"/>
    <x v="1"/>
    <b v="0"/>
    <b v="0"/>
    <b v="0"/>
    <x v="1"/>
    <b v="1"/>
  </r>
  <r>
    <s v="S-931899"/>
    <s v="A-af0cd2"/>
    <d v="2023-04-15T00:00:00"/>
    <m/>
    <x v="1"/>
    <n v="19"/>
    <n v="931"/>
    <n v="11172"/>
    <x v="0"/>
    <b v="0"/>
    <b v="0"/>
    <b v="0"/>
    <x v="1"/>
    <b v="1"/>
  </r>
  <r>
    <s v="S-21d7be"/>
    <s v="A-e1b9cd"/>
    <d v="2024-01-09T00:00:00"/>
    <m/>
    <x v="2"/>
    <n v="40"/>
    <n v="760"/>
    <n v="9120"/>
    <x v="0"/>
    <b v="0"/>
    <b v="0"/>
    <b v="0"/>
    <x v="1"/>
    <b v="1"/>
  </r>
  <r>
    <s v="S-66a625"/>
    <s v="A-e1b9cd"/>
    <d v="2024-12-24T00:00:00"/>
    <m/>
    <x v="1"/>
    <n v="40"/>
    <n v="1960"/>
    <n v="23520"/>
    <x v="0"/>
    <b v="0"/>
    <b v="0"/>
    <b v="0"/>
    <x v="0"/>
    <b v="1"/>
  </r>
  <r>
    <s v="S-0bf451"/>
    <s v="A-3f9cc0"/>
    <d v="2024-06-24T00:00:00"/>
    <m/>
    <x v="0"/>
    <n v="22"/>
    <n v="4378"/>
    <n v="52536"/>
    <x v="0"/>
    <b v="1"/>
    <b v="0"/>
    <b v="0"/>
    <x v="1"/>
    <b v="1"/>
  </r>
  <r>
    <s v="S-f951ac"/>
    <s v="A-297a2d"/>
    <d v="2024-08-29T00:00:00"/>
    <m/>
    <x v="2"/>
    <n v="27"/>
    <n v="513"/>
    <n v="6156"/>
    <x v="0"/>
    <b v="1"/>
    <b v="0"/>
    <b v="0"/>
    <x v="1"/>
    <b v="1"/>
  </r>
  <r>
    <s v="S-c2701b"/>
    <s v="A-50bb9f"/>
    <d v="2024-12-24T00:00:00"/>
    <d v="2024-12-24T00:00:00"/>
    <x v="1"/>
    <n v="36"/>
    <n v="1764"/>
    <n v="21168"/>
    <x v="0"/>
    <b v="0"/>
    <b v="0"/>
    <b v="1"/>
    <x v="0"/>
    <b v="0"/>
  </r>
  <r>
    <s v="S-6cff7d"/>
    <s v="A-87aa7b"/>
    <d v="2024-07-18T00:00:00"/>
    <m/>
    <x v="2"/>
    <n v="56"/>
    <n v="1064"/>
    <n v="12768"/>
    <x v="0"/>
    <b v="0"/>
    <b v="0"/>
    <b v="0"/>
    <x v="0"/>
    <b v="1"/>
  </r>
  <r>
    <s v="S-2ff628"/>
    <s v="A-118d55"/>
    <d v="2024-12-27T00:00:00"/>
    <m/>
    <x v="2"/>
    <n v="8"/>
    <n v="152"/>
    <n v="1824"/>
    <x v="0"/>
    <b v="1"/>
    <b v="0"/>
    <b v="0"/>
    <x v="0"/>
    <b v="1"/>
  </r>
  <r>
    <s v="S-c3ecd8"/>
    <s v="A-d82ef9"/>
    <d v="2024-10-30T00:00:00"/>
    <m/>
    <x v="2"/>
    <n v="26"/>
    <n v="494"/>
    <n v="5928"/>
    <x v="0"/>
    <b v="0"/>
    <b v="0"/>
    <b v="0"/>
    <x v="0"/>
    <b v="0"/>
  </r>
  <r>
    <s v="S-ede33a"/>
    <s v="A-202b67"/>
    <d v="2024-07-07T00:00:00"/>
    <d v="2024-12-23T00:00:00"/>
    <x v="0"/>
    <n v="11"/>
    <n v="2189"/>
    <n v="26268"/>
    <x v="0"/>
    <b v="0"/>
    <b v="0"/>
    <b v="1"/>
    <x v="1"/>
    <b v="1"/>
  </r>
  <r>
    <s v="S-373c6e"/>
    <s v="A-dfbd31"/>
    <d v="2024-10-15T00:00:00"/>
    <m/>
    <x v="1"/>
    <n v="14"/>
    <n v="686"/>
    <n v="8232"/>
    <x v="0"/>
    <b v="0"/>
    <b v="0"/>
    <b v="0"/>
    <x v="0"/>
    <b v="1"/>
  </r>
  <r>
    <s v="S-c83dfd"/>
    <s v="A-249769"/>
    <d v="2024-06-08T00:00:00"/>
    <m/>
    <x v="2"/>
    <n v="15"/>
    <n v="285"/>
    <n v="3420"/>
    <x v="0"/>
    <b v="0"/>
    <b v="0"/>
    <b v="0"/>
    <x v="0"/>
    <b v="1"/>
  </r>
  <r>
    <s v="S-215e9c"/>
    <s v="A-6965e1"/>
    <d v="2024-12-06T00:00:00"/>
    <m/>
    <x v="1"/>
    <n v="18"/>
    <n v="882"/>
    <n v="10584"/>
    <x v="0"/>
    <b v="0"/>
    <b v="0"/>
    <b v="0"/>
    <x v="0"/>
    <b v="1"/>
  </r>
  <r>
    <s v="S-8da449"/>
    <s v="A-80eeb6"/>
    <d v="2023-10-22T00:00:00"/>
    <m/>
    <x v="2"/>
    <n v="22"/>
    <n v="418"/>
    <n v="5016"/>
    <x v="0"/>
    <b v="0"/>
    <b v="0"/>
    <b v="0"/>
    <x v="1"/>
    <b v="1"/>
  </r>
  <r>
    <s v="S-c58ed5"/>
    <s v="A-9289f6"/>
    <d v="2024-04-08T00:00:00"/>
    <m/>
    <x v="1"/>
    <n v="32"/>
    <n v="1568"/>
    <n v="18816"/>
    <x v="0"/>
    <b v="0"/>
    <b v="0"/>
    <b v="0"/>
    <x v="1"/>
    <b v="1"/>
  </r>
  <r>
    <s v="S-4b75c6"/>
    <s v="A-068fc6"/>
    <d v="2024-04-13T00:00:00"/>
    <m/>
    <x v="0"/>
    <n v="35"/>
    <n v="6965"/>
    <n v="83580"/>
    <x v="0"/>
    <b v="0"/>
    <b v="0"/>
    <b v="0"/>
    <x v="1"/>
    <b v="1"/>
  </r>
  <r>
    <s v="S-3872fd"/>
    <s v="A-956988"/>
    <d v="2024-12-01T00:00:00"/>
    <m/>
    <x v="1"/>
    <n v="2"/>
    <n v="0"/>
    <n v="0"/>
    <x v="1"/>
    <b v="0"/>
    <b v="0"/>
    <b v="0"/>
    <x v="0"/>
    <b v="0"/>
  </r>
  <r>
    <s v="S-3f82f4"/>
    <s v="A-054577"/>
    <d v="2024-08-26T00:00:00"/>
    <m/>
    <x v="2"/>
    <n v="90"/>
    <n v="1710"/>
    <n v="20520"/>
    <x v="0"/>
    <b v="0"/>
    <b v="0"/>
    <b v="0"/>
    <x v="0"/>
    <b v="1"/>
  </r>
  <r>
    <s v="S-7277c8"/>
    <s v="A-a2485e"/>
    <d v="2024-11-16T00:00:00"/>
    <m/>
    <x v="2"/>
    <n v="28"/>
    <n v="532"/>
    <n v="6384"/>
    <x v="0"/>
    <b v="0"/>
    <b v="0"/>
    <b v="0"/>
    <x v="1"/>
    <b v="0"/>
  </r>
  <r>
    <s v="S-827bc4"/>
    <s v="A-756192"/>
    <d v="2024-11-29T00:00:00"/>
    <m/>
    <x v="2"/>
    <n v="23"/>
    <n v="437"/>
    <n v="5244"/>
    <x v="0"/>
    <b v="0"/>
    <b v="0"/>
    <b v="0"/>
    <x v="0"/>
    <b v="0"/>
  </r>
  <r>
    <s v="S-0efb82"/>
    <s v="A-94f8c9"/>
    <d v="2024-04-05T00:00:00"/>
    <m/>
    <x v="1"/>
    <n v="13"/>
    <n v="637"/>
    <n v="7644"/>
    <x v="0"/>
    <b v="0"/>
    <b v="0"/>
    <b v="0"/>
    <x v="0"/>
    <b v="1"/>
  </r>
  <r>
    <s v="S-4c9c01"/>
    <s v="A-eb7c38"/>
    <d v="2024-09-26T00:00:00"/>
    <d v="2024-10-10T00:00:00"/>
    <x v="2"/>
    <n v="23"/>
    <n v="0"/>
    <n v="0"/>
    <x v="1"/>
    <b v="0"/>
    <b v="0"/>
    <b v="1"/>
    <x v="1"/>
    <b v="1"/>
  </r>
  <r>
    <s v="S-1f94ad"/>
    <s v="A-328bd0"/>
    <d v="2024-07-14T00:00:00"/>
    <m/>
    <x v="0"/>
    <n v="18"/>
    <n v="3582"/>
    <n v="42984"/>
    <x v="0"/>
    <b v="0"/>
    <b v="0"/>
    <b v="0"/>
    <x v="1"/>
    <b v="0"/>
  </r>
  <r>
    <s v="S-6bb2c5"/>
    <s v="A-84ebe4"/>
    <d v="2024-11-18T00:00:00"/>
    <m/>
    <x v="0"/>
    <n v="36"/>
    <n v="7164"/>
    <n v="85968"/>
    <x v="0"/>
    <b v="0"/>
    <b v="0"/>
    <b v="0"/>
    <x v="0"/>
    <b v="1"/>
  </r>
  <r>
    <s v="S-865af3"/>
    <s v="A-f97b9a"/>
    <d v="2024-11-07T00:00:00"/>
    <m/>
    <x v="1"/>
    <n v="16"/>
    <n v="0"/>
    <n v="0"/>
    <x v="1"/>
    <b v="0"/>
    <b v="0"/>
    <b v="0"/>
    <x v="1"/>
    <b v="0"/>
  </r>
  <r>
    <s v="S-f65381"/>
    <s v="A-118d55"/>
    <d v="2024-12-02T00:00:00"/>
    <m/>
    <x v="0"/>
    <n v="16"/>
    <n v="3184"/>
    <n v="38208"/>
    <x v="0"/>
    <b v="0"/>
    <b v="0"/>
    <b v="0"/>
    <x v="1"/>
    <b v="1"/>
  </r>
  <r>
    <s v="S-115823"/>
    <s v="A-9f0b68"/>
    <d v="2024-10-02T00:00:00"/>
    <m/>
    <x v="0"/>
    <n v="15"/>
    <n v="2985"/>
    <n v="35820"/>
    <x v="0"/>
    <b v="0"/>
    <b v="0"/>
    <b v="0"/>
    <x v="0"/>
    <b v="0"/>
  </r>
  <r>
    <s v="S-de66c3"/>
    <s v="A-ff3c73"/>
    <d v="2024-06-13T00:00:00"/>
    <m/>
    <x v="0"/>
    <n v="21"/>
    <n v="0"/>
    <n v="0"/>
    <x v="1"/>
    <b v="0"/>
    <b v="0"/>
    <b v="0"/>
    <x v="0"/>
    <b v="1"/>
  </r>
  <r>
    <s v="S-0ac09f"/>
    <s v="A-7e0a10"/>
    <d v="2024-03-09T00:00:00"/>
    <m/>
    <x v="0"/>
    <n v="46"/>
    <n v="9154"/>
    <n v="109848"/>
    <x v="0"/>
    <b v="0"/>
    <b v="0"/>
    <b v="0"/>
    <x v="0"/>
    <b v="1"/>
  </r>
  <r>
    <s v="S-a02981"/>
    <s v="A-7920cc"/>
    <d v="2024-02-04T00:00:00"/>
    <m/>
    <x v="2"/>
    <n v="39"/>
    <n v="741"/>
    <n v="8892"/>
    <x v="0"/>
    <b v="1"/>
    <b v="0"/>
    <b v="0"/>
    <x v="0"/>
    <b v="1"/>
  </r>
  <r>
    <s v="S-487d18"/>
    <s v="A-0354fe"/>
    <d v="2024-11-03T00:00:00"/>
    <m/>
    <x v="0"/>
    <n v="34"/>
    <n v="0"/>
    <n v="0"/>
    <x v="1"/>
    <b v="0"/>
    <b v="0"/>
    <b v="0"/>
    <x v="1"/>
    <b v="1"/>
  </r>
  <r>
    <s v="S-697d16"/>
    <s v="A-3932db"/>
    <d v="2024-12-31T00:00:00"/>
    <m/>
    <x v="0"/>
    <n v="19"/>
    <n v="0"/>
    <n v="0"/>
    <x v="1"/>
    <b v="0"/>
    <b v="0"/>
    <b v="0"/>
    <x v="0"/>
    <b v="1"/>
  </r>
  <r>
    <s v="S-f8e69c"/>
    <s v="A-52dd88"/>
    <d v="2023-10-10T00:00:00"/>
    <m/>
    <x v="1"/>
    <n v="23"/>
    <n v="1127"/>
    <n v="13524"/>
    <x v="0"/>
    <b v="0"/>
    <b v="0"/>
    <b v="0"/>
    <x v="0"/>
    <b v="1"/>
  </r>
  <r>
    <s v="S-b279c9"/>
    <s v="A-50bb9f"/>
    <d v="2024-12-27T00:00:00"/>
    <m/>
    <x v="1"/>
    <n v="54"/>
    <n v="2646"/>
    <n v="31752"/>
    <x v="0"/>
    <b v="0"/>
    <b v="0"/>
    <b v="0"/>
    <x v="1"/>
    <b v="1"/>
  </r>
  <r>
    <s v="S-9fc31d"/>
    <s v="A-a7bd4b"/>
    <d v="2024-06-02T00:00:00"/>
    <d v="2024-10-31T00:00:00"/>
    <x v="0"/>
    <n v="5"/>
    <n v="995"/>
    <n v="11940"/>
    <x v="0"/>
    <b v="0"/>
    <b v="0"/>
    <b v="1"/>
    <x v="1"/>
    <b v="1"/>
  </r>
  <r>
    <s v="S-3f2b4c"/>
    <s v="A-855a48"/>
    <d v="2024-02-27T00:00:00"/>
    <m/>
    <x v="1"/>
    <n v="31"/>
    <n v="1519"/>
    <n v="18228"/>
    <x v="0"/>
    <b v="0"/>
    <b v="0"/>
    <b v="0"/>
    <x v="1"/>
    <b v="1"/>
  </r>
  <r>
    <s v="S-0459a1"/>
    <s v="A-8e47ca"/>
    <d v="2024-04-29T00:00:00"/>
    <m/>
    <x v="0"/>
    <n v="19"/>
    <n v="3781"/>
    <n v="45372"/>
    <x v="0"/>
    <b v="0"/>
    <b v="0"/>
    <b v="0"/>
    <x v="0"/>
    <b v="0"/>
  </r>
  <r>
    <s v="S-7dd478"/>
    <s v="A-f5641b"/>
    <d v="2024-10-13T00:00:00"/>
    <m/>
    <x v="0"/>
    <n v="31"/>
    <n v="6169"/>
    <n v="74028"/>
    <x v="0"/>
    <b v="0"/>
    <b v="0"/>
    <b v="0"/>
    <x v="0"/>
    <b v="0"/>
  </r>
  <r>
    <s v="S-ab2b5b"/>
    <s v="A-bbe56f"/>
    <d v="2023-09-06T00:00:00"/>
    <m/>
    <x v="2"/>
    <n v="21"/>
    <n v="399"/>
    <n v="4788"/>
    <x v="0"/>
    <b v="1"/>
    <b v="0"/>
    <b v="0"/>
    <x v="0"/>
    <b v="1"/>
  </r>
  <r>
    <s v="S-9df4f6"/>
    <s v="A-9174e0"/>
    <d v="2024-12-24T00:00:00"/>
    <m/>
    <x v="2"/>
    <n v="37"/>
    <n v="703"/>
    <n v="8436"/>
    <x v="0"/>
    <b v="1"/>
    <b v="0"/>
    <b v="0"/>
    <x v="0"/>
    <b v="1"/>
  </r>
  <r>
    <s v="S-9ce22d"/>
    <s v="A-726cfa"/>
    <d v="2024-08-10T00:00:00"/>
    <m/>
    <x v="1"/>
    <n v="42"/>
    <n v="2058"/>
    <n v="24696"/>
    <x v="0"/>
    <b v="0"/>
    <b v="0"/>
    <b v="0"/>
    <x v="0"/>
    <b v="1"/>
  </r>
  <r>
    <s v="S-53b07a"/>
    <s v="A-b07b56"/>
    <d v="2024-12-08T00:00:00"/>
    <m/>
    <x v="1"/>
    <n v="25"/>
    <n v="1225"/>
    <n v="14700"/>
    <x v="0"/>
    <b v="0"/>
    <b v="0"/>
    <b v="0"/>
    <x v="1"/>
    <b v="1"/>
  </r>
  <r>
    <s v="S-bf6d7b"/>
    <s v="A-8b25f2"/>
    <d v="2024-12-08T00:00:00"/>
    <m/>
    <x v="1"/>
    <n v="29"/>
    <n v="1421"/>
    <n v="17052"/>
    <x v="0"/>
    <b v="0"/>
    <b v="1"/>
    <b v="0"/>
    <x v="1"/>
    <b v="1"/>
  </r>
  <r>
    <s v="S-5228d6"/>
    <s v="A-484819"/>
    <d v="2024-05-30T00:00:00"/>
    <d v="2024-08-05T00:00:00"/>
    <x v="0"/>
    <n v="26"/>
    <n v="5174"/>
    <n v="62088"/>
    <x v="0"/>
    <b v="1"/>
    <b v="0"/>
    <b v="1"/>
    <x v="1"/>
    <b v="0"/>
  </r>
  <r>
    <s v="S-4b9d7c"/>
    <s v="A-378b99"/>
    <d v="2024-12-05T00:00:00"/>
    <m/>
    <x v="1"/>
    <n v="16"/>
    <n v="784"/>
    <n v="9408"/>
    <x v="0"/>
    <b v="0"/>
    <b v="1"/>
    <b v="0"/>
    <x v="1"/>
    <b v="1"/>
  </r>
  <r>
    <s v="S-79bb4c"/>
    <s v="A-f45426"/>
    <d v="2024-09-21T00:00:00"/>
    <d v="2024-11-03T00:00:00"/>
    <x v="1"/>
    <n v="11"/>
    <n v="539"/>
    <n v="6468"/>
    <x v="0"/>
    <b v="0"/>
    <b v="0"/>
    <b v="1"/>
    <x v="1"/>
    <b v="0"/>
  </r>
  <r>
    <s v="S-1bbf0a"/>
    <s v="A-812c5b"/>
    <d v="2024-12-02T00:00:00"/>
    <m/>
    <x v="1"/>
    <n v="55"/>
    <n v="0"/>
    <n v="0"/>
    <x v="1"/>
    <b v="0"/>
    <b v="0"/>
    <b v="0"/>
    <x v="0"/>
    <b v="1"/>
  </r>
  <r>
    <s v="S-a6820d"/>
    <s v="A-96bbc6"/>
    <d v="2024-12-12T00:00:00"/>
    <m/>
    <x v="1"/>
    <n v="39"/>
    <n v="1911"/>
    <n v="22932"/>
    <x v="0"/>
    <b v="0"/>
    <b v="0"/>
    <b v="0"/>
    <x v="1"/>
    <b v="0"/>
  </r>
  <r>
    <s v="S-7f219a"/>
    <s v="A-08e34e"/>
    <d v="2024-09-28T00:00:00"/>
    <m/>
    <x v="1"/>
    <n v="14"/>
    <n v="686"/>
    <n v="8232"/>
    <x v="0"/>
    <b v="0"/>
    <b v="0"/>
    <b v="0"/>
    <x v="0"/>
    <b v="1"/>
  </r>
  <r>
    <s v="S-3ca6d2"/>
    <s v="A-0e966d"/>
    <d v="2024-11-11T00:00:00"/>
    <m/>
    <x v="2"/>
    <n v="35"/>
    <n v="665"/>
    <n v="7980"/>
    <x v="0"/>
    <b v="0"/>
    <b v="0"/>
    <b v="0"/>
    <x v="0"/>
    <b v="1"/>
  </r>
  <r>
    <s v="S-f26ae0"/>
    <s v="A-92a333"/>
    <d v="2024-07-04T00:00:00"/>
    <m/>
    <x v="2"/>
    <n v="9"/>
    <n v="171"/>
    <n v="2052"/>
    <x v="0"/>
    <b v="0"/>
    <b v="0"/>
    <b v="0"/>
    <x v="0"/>
    <b v="1"/>
  </r>
  <r>
    <s v="S-3bc591"/>
    <s v="A-1f7acb"/>
    <d v="2024-06-03T00:00:00"/>
    <m/>
    <x v="2"/>
    <n v="64"/>
    <n v="0"/>
    <n v="0"/>
    <x v="1"/>
    <b v="0"/>
    <b v="1"/>
    <b v="0"/>
    <x v="1"/>
    <b v="0"/>
  </r>
  <r>
    <s v="S-a84e2b"/>
    <s v="A-afa505"/>
    <d v="2024-08-14T00:00:00"/>
    <m/>
    <x v="1"/>
    <n v="70"/>
    <n v="0"/>
    <n v="0"/>
    <x v="1"/>
    <b v="1"/>
    <b v="0"/>
    <b v="0"/>
    <x v="0"/>
    <b v="0"/>
  </r>
  <r>
    <s v="S-12f05a"/>
    <s v="A-b9f5b1"/>
    <d v="2024-06-23T00:00:00"/>
    <m/>
    <x v="2"/>
    <n v="15"/>
    <n v="285"/>
    <n v="3420"/>
    <x v="0"/>
    <b v="0"/>
    <b v="0"/>
    <b v="0"/>
    <x v="1"/>
    <b v="0"/>
  </r>
  <r>
    <s v="S-3476e2"/>
    <s v="A-cb6cc6"/>
    <d v="2024-09-07T00:00:00"/>
    <m/>
    <x v="2"/>
    <n v="13"/>
    <n v="247"/>
    <n v="2964"/>
    <x v="0"/>
    <b v="1"/>
    <b v="0"/>
    <b v="0"/>
    <x v="0"/>
    <b v="0"/>
  </r>
  <r>
    <s v="S-ab0f4c"/>
    <s v="A-cd458b"/>
    <d v="2024-12-06T00:00:00"/>
    <m/>
    <x v="2"/>
    <n v="25"/>
    <n v="475"/>
    <n v="5700"/>
    <x v="0"/>
    <b v="0"/>
    <b v="0"/>
    <b v="0"/>
    <x v="0"/>
    <b v="0"/>
  </r>
  <r>
    <s v="S-23ae3c"/>
    <s v="A-186a44"/>
    <d v="2024-08-03T00:00:00"/>
    <m/>
    <x v="0"/>
    <n v="24"/>
    <n v="4776"/>
    <n v="57312"/>
    <x v="0"/>
    <b v="0"/>
    <b v="0"/>
    <b v="0"/>
    <x v="0"/>
    <b v="1"/>
  </r>
  <r>
    <s v="S-d2e82c"/>
    <s v="A-bcf87c"/>
    <d v="2024-11-09T00:00:00"/>
    <m/>
    <x v="0"/>
    <n v="16"/>
    <n v="3184"/>
    <n v="38208"/>
    <x v="0"/>
    <b v="0"/>
    <b v="0"/>
    <b v="0"/>
    <x v="0"/>
    <b v="1"/>
  </r>
  <r>
    <s v="S-041534"/>
    <s v="A-4e0e85"/>
    <d v="2024-06-06T00:00:00"/>
    <m/>
    <x v="1"/>
    <n v="38"/>
    <n v="1862"/>
    <n v="22344"/>
    <x v="0"/>
    <b v="0"/>
    <b v="0"/>
    <b v="0"/>
    <x v="0"/>
    <b v="1"/>
  </r>
  <r>
    <s v="S-2f998d"/>
    <s v="A-d82ef9"/>
    <d v="2024-11-14T00:00:00"/>
    <m/>
    <x v="2"/>
    <n v="26"/>
    <n v="494"/>
    <n v="5928"/>
    <x v="0"/>
    <b v="0"/>
    <b v="0"/>
    <b v="0"/>
    <x v="1"/>
    <b v="0"/>
  </r>
  <r>
    <s v="S-5ffb84"/>
    <s v="A-fe79a5"/>
    <d v="2024-04-12T00:00:00"/>
    <m/>
    <x v="0"/>
    <n v="9"/>
    <n v="0"/>
    <n v="0"/>
    <x v="1"/>
    <b v="1"/>
    <b v="0"/>
    <b v="0"/>
    <x v="0"/>
    <b v="1"/>
  </r>
  <r>
    <s v="S-ae9ce7"/>
    <s v="A-cbd1a3"/>
    <d v="2024-12-09T00:00:00"/>
    <m/>
    <x v="0"/>
    <n v="12"/>
    <n v="2388"/>
    <n v="28656"/>
    <x v="0"/>
    <b v="1"/>
    <b v="0"/>
    <b v="0"/>
    <x v="0"/>
    <b v="1"/>
  </r>
  <r>
    <s v="S-a707da"/>
    <s v="A-67be94"/>
    <d v="2024-12-18T00:00:00"/>
    <m/>
    <x v="1"/>
    <n v="26"/>
    <n v="1274"/>
    <n v="15288"/>
    <x v="0"/>
    <b v="1"/>
    <b v="0"/>
    <b v="0"/>
    <x v="0"/>
    <b v="1"/>
  </r>
  <r>
    <s v="S-b37d03"/>
    <s v="A-019782"/>
    <d v="2023-06-08T00:00:00"/>
    <m/>
    <x v="1"/>
    <n v="17"/>
    <n v="833"/>
    <n v="9996"/>
    <x v="0"/>
    <b v="1"/>
    <b v="0"/>
    <b v="0"/>
    <x v="1"/>
    <b v="1"/>
  </r>
  <r>
    <s v="S-4473ec"/>
    <s v="A-c608c8"/>
    <d v="2024-10-12T00:00:00"/>
    <m/>
    <x v="1"/>
    <n v="21"/>
    <n v="1029"/>
    <n v="12348"/>
    <x v="0"/>
    <b v="0"/>
    <b v="0"/>
    <b v="0"/>
    <x v="1"/>
    <b v="1"/>
  </r>
  <r>
    <s v="S-a81bcd"/>
    <s v="A-09540c"/>
    <d v="2024-04-11T00:00:00"/>
    <m/>
    <x v="2"/>
    <n v="67"/>
    <n v="1273"/>
    <n v="15276"/>
    <x v="0"/>
    <b v="1"/>
    <b v="1"/>
    <b v="0"/>
    <x v="1"/>
    <b v="0"/>
  </r>
  <r>
    <s v="S-c4cef7"/>
    <s v="A-2e4581"/>
    <d v="2024-10-25T00:00:00"/>
    <m/>
    <x v="1"/>
    <n v="13"/>
    <n v="637"/>
    <n v="7644"/>
    <x v="0"/>
    <b v="0"/>
    <b v="0"/>
    <b v="0"/>
    <x v="1"/>
    <b v="0"/>
  </r>
  <r>
    <s v="S-2a6c1f"/>
    <s v="A-22f2df"/>
    <d v="2024-12-16T00:00:00"/>
    <m/>
    <x v="2"/>
    <n v="3"/>
    <n v="57"/>
    <n v="684"/>
    <x v="0"/>
    <b v="0"/>
    <b v="0"/>
    <b v="0"/>
    <x v="1"/>
    <b v="1"/>
  </r>
  <r>
    <s v="S-1712e6"/>
    <s v="A-9b9fe9"/>
    <d v="2023-12-10T00:00:00"/>
    <d v="2024-03-01T00:00:00"/>
    <x v="1"/>
    <n v="5"/>
    <n v="245"/>
    <n v="2940"/>
    <x v="0"/>
    <b v="0"/>
    <b v="0"/>
    <b v="1"/>
    <x v="0"/>
    <b v="1"/>
  </r>
  <r>
    <s v="S-cde950"/>
    <s v="A-3be56b"/>
    <d v="2024-12-01T00:00:00"/>
    <m/>
    <x v="2"/>
    <n v="20"/>
    <n v="380"/>
    <n v="4560"/>
    <x v="0"/>
    <b v="0"/>
    <b v="0"/>
    <b v="0"/>
    <x v="1"/>
    <b v="0"/>
  </r>
  <r>
    <s v="S-ca98c9"/>
    <s v="A-3be56b"/>
    <d v="2024-08-23T00:00:00"/>
    <m/>
    <x v="2"/>
    <n v="37"/>
    <n v="703"/>
    <n v="8436"/>
    <x v="0"/>
    <b v="0"/>
    <b v="0"/>
    <b v="0"/>
    <x v="0"/>
    <b v="1"/>
  </r>
  <r>
    <s v="S-497d95"/>
    <s v="A-1d5444"/>
    <d v="2024-07-15T00:00:00"/>
    <m/>
    <x v="2"/>
    <n v="24"/>
    <n v="456"/>
    <n v="5472"/>
    <x v="0"/>
    <b v="0"/>
    <b v="0"/>
    <b v="0"/>
    <x v="0"/>
    <b v="1"/>
  </r>
  <r>
    <s v="S-63d104"/>
    <s v="A-0e966d"/>
    <d v="2024-09-03T00:00:00"/>
    <m/>
    <x v="2"/>
    <n v="11"/>
    <n v="209"/>
    <n v="2508"/>
    <x v="0"/>
    <b v="0"/>
    <b v="0"/>
    <b v="0"/>
    <x v="1"/>
    <b v="1"/>
  </r>
  <r>
    <s v="S-c41762"/>
    <s v="A-9badbd"/>
    <d v="2024-12-21T00:00:00"/>
    <d v="2024-12-30T00:00:00"/>
    <x v="0"/>
    <n v="59"/>
    <n v="11741"/>
    <n v="140892"/>
    <x v="0"/>
    <b v="0"/>
    <b v="0"/>
    <b v="1"/>
    <x v="0"/>
    <b v="1"/>
  </r>
  <r>
    <s v="S-2fd379"/>
    <s v="A-f19409"/>
    <d v="2024-06-12T00:00:00"/>
    <m/>
    <x v="2"/>
    <n v="28"/>
    <n v="0"/>
    <n v="0"/>
    <x v="1"/>
    <b v="1"/>
    <b v="0"/>
    <b v="0"/>
    <x v="1"/>
    <b v="1"/>
  </r>
  <r>
    <s v="S-11b2c6"/>
    <s v="A-855a48"/>
    <d v="2024-06-06T00:00:00"/>
    <m/>
    <x v="2"/>
    <n v="14"/>
    <n v="266"/>
    <n v="3192"/>
    <x v="0"/>
    <b v="0"/>
    <b v="0"/>
    <b v="0"/>
    <x v="0"/>
    <b v="0"/>
  </r>
  <r>
    <s v="S-899319"/>
    <s v="A-560d27"/>
    <d v="2024-07-23T00:00:00"/>
    <m/>
    <x v="0"/>
    <n v="57"/>
    <n v="11343"/>
    <n v="136116"/>
    <x v="0"/>
    <b v="0"/>
    <b v="0"/>
    <b v="0"/>
    <x v="0"/>
    <b v="1"/>
  </r>
  <r>
    <s v="S-542c37"/>
    <s v="A-812c5b"/>
    <d v="2024-12-27T00:00:00"/>
    <m/>
    <x v="1"/>
    <n v="55"/>
    <n v="2695"/>
    <n v="32340"/>
    <x v="0"/>
    <b v="0"/>
    <b v="0"/>
    <b v="0"/>
    <x v="0"/>
    <b v="1"/>
  </r>
  <r>
    <s v="S-cef05a"/>
    <s v="A-b7b7b7"/>
    <d v="2024-10-20T00:00:00"/>
    <m/>
    <x v="1"/>
    <n v="29"/>
    <n v="0"/>
    <n v="0"/>
    <x v="1"/>
    <b v="0"/>
    <b v="0"/>
    <b v="0"/>
    <x v="0"/>
    <b v="1"/>
  </r>
  <r>
    <s v="S-51f213"/>
    <s v="A-4e960a"/>
    <d v="2024-11-24T00:00:00"/>
    <m/>
    <x v="1"/>
    <n v="12"/>
    <n v="588"/>
    <n v="7056"/>
    <x v="0"/>
    <b v="0"/>
    <b v="0"/>
    <b v="0"/>
    <x v="0"/>
    <b v="1"/>
  </r>
  <r>
    <s v="S-e4b8fd"/>
    <s v="A-f446b6"/>
    <d v="2024-04-25T00:00:00"/>
    <m/>
    <x v="1"/>
    <n v="53"/>
    <n v="2597"/>
    <n v="31164"/>
    <x v="0"/>
    <b v="0"/>
    <b v="0"/>
    <b v="0"/>
    <x v="0"/>
    <b v="0"/>
  </r>
  <r>
    <s v="S-7ba2ad"/>
    <s v="A-692f18"/>
    <d v="2024-08-05T00:00:00"/>
    <m/>
    <x v="2"/>
    <n v="14"/>
    <n v="266"/>
    <n v="3192"/>
    <x v="0"/>
    <b v="0"/>
    <b v="0"/>
    <b v="0"/>
    <x v="1"/>
    <b v="0"/>
  </r>
  <r>
    <s v="S-301b73"/>
    <s v="A-cab532"/>
    <d v="2024-11-22T00:00:00"/>
    <m/>
    <x v="2"/>
    <n v="48"/>
    <n v="912"/>
    <n v="10944"/>
    <x v="0"/>
    <b v="0"/>
    <b v="0"/>
    <b v="0"/>
    <x v="1"/>
    <b v="1"/>
  </r>
  <r>
    <s v="S-dee62f"/>
    <s v="A-524364"/>
    <d v="2024-12-31T00:00:00"/>
    <m/>
    <x v="2"/>
    <n v="12"/>
    <n v="228"/>
    <n v="2736"/>
    <x v="0"/>
    <b v="0"/>
    <b v="0"/>
    <b v="0"/>
    <x v="0"/>
    <b v="1"/>
  </r>
  <r>
    <s v="S-8bc290"/>
    <s v="A-2d4502"/>
    <d v="2024-11-02T00:00:00"/>
    <m/>
    <x v="0"/>
    <n v="30"/>
    <n v="5970"/>
    <n v="71640"/>
    <x v="0"/>
    <b v="0"/>
    <b v="0"/>
    <b v="0"/>
    <x v="1"/>
    <b v="1"/>
  </r>
  <r>
    <s v="S-1f8215"/>
    <s v="A-f17767"/>
    <d v="2024-12-10T00:00:00"/>
    <m/>
    <x v="1"/>
    <n v="15"/>
    <n v="735"/>
    <n v="8820"/>
    <x v="0"/>
    <b v="0"/>
    <b v="0"/>
    <b v="0"/>
    <x v="1"/>
    <b v="1"/>
  </r>
  <r>
    <s v="S-12e3ff"/>
    <s v="A-e43bf7"/>
    <d v="2023-05-21T00:00:00"/>
    <m/>
    <x v="0"/>
    <n v="44"/>
    <n v="8756"/>
    <n v="105072"/>
    <x v="0"/>
    <b v="1"/>
    <b v="0"/>
    <b v="0"/>
    <x v="0"/>
    <b v="0"/>
  </r>
  <r>
    <s v="S-23587d"/>
    <s v="A-db5e9e"/>
    <d v="2024-12-28T00:00:00"/>
    <m/>
    <x v="1"/>
    <n v="12"/>
    <n v="588"/>
    <n v="7056"/>
    <x v="0"/>
    <b v="0"/>
    <b v="0"/>
    <b v="0"/>
    <x v="1"/>
    <b v="1"/>
  </r>
  <r>
    <s v="S-0c5771"/>
    <s v="A-798a3f"/>
    <d v="2024-02-24T00:00:00"/>
    <d v="2024-11-10T00:00:00"/>
    <x v="0"/>
    <n v="12"/>
    <n v="0"/>
    <n v="0"/>
    <x v="1"/>
    <b v="0"/>
    <b v="0"/>
    <b v="1"/>
    <x v="1"/>
    <b v="1"/>
  </r>
  <r>
    <s v="S-9d35cf"/>
    <s v="A-249769"/>
    <d v="2024-10-12T00:00:00"/>
    <m/>
    <x v="1"/>
    <n v="6"/>
    <n v="294"/>
    <n v="3528"/>
    <x v="0"/>
    <b v="0"/>
    <b v="0"/>
    <b v="0"/>
    <x v="1"/>
    <b v="1"/>
  </r>
  <r>
    <s v="S-f1cc81"/>
    <s v="A-7f8241"/>
    <d v="2023-03-27T00:00:00"/>
    <m/>
    <x v="2"/>
    <n v="34"/>
    <n v="646"/>
    <n v="7752"/>
    <x v="0"/>
    <b v="0"/>
    <b v="0"/>
    <b v="0"/>
    <x v="1"/>
    <b v="1"/>
  </r>
  <r>
    <s v="S-44046d"/>
    <s v="A-5a184f"/>
    <d v="2024-11-06T00:00:00"/>
    <d v="2024-12-13T00:00:00"/>
    <x v="2"/>
    <n v="36"/>
    <n v="684"/>
    <n v="8208"/>
    <x v="0"/>
    <b v="0"/>
    <b v="0"/>
    <b v="1"/>
    <x v="1"/>
    <b v="1"/>
  </r>
  <r>
    <s v="S-97aa94"/>
    <s v="A-bb3bd4"/>
    <d v="2024-06-11T00:00:00"/>
    <m/>
    <x v="2"/>
    <n v="23"/>
    <n v="437"/>
    <n v="5244"/>
    <x v="0"/>
    <b v="0"/>
    <b v="0"/>
    <b v="0"/>
    <x v="1"/>
    <b v="1"/>
  </r>
  <r>
    <s v="S-2ee940"/>
    <s v="A-8bde0c"/>
    <d v="2024-12-12T00:00:00"/>
    <m/>
    <x v="0"/>
    <n v="12"/>
    <n v="2388"/>
    <n v="28656"/>
    <x v="0"/>
    <b v="0"/>
    <b v="0"/>
    <b v="0"/>
    <x v="1"/>
    <b v="1"/>
  </r>
  <r>
    <s v="S-b2c291"/>
    <s v="A-ced9aa"/>
    <d v="2024-12-10T00:00:00"/>
    <m/>
    <x v="0"/>
    <n v="3"/>
    <n v="597"/>
    <n v="7164"/>
    <x v="0"/>
    <b v="0"/>
    <b v="0"/>
    <b v="0"/>
    <x v="1"/>
    <b v="1"/>
  </r>
  <r>
    <s v="S-62b4fc"/>
    <s v="A-c42f1f"/>
    <d v="2024-12-29T00:00:00"/>
    <m/>
    <x v="2"/>
    <n v="8"/>
    <n v="152"/>
    <n v="1824"/>
    <x v="0"/>
    <b v="0"/>
    <b v="0"/>
    <b v="0"/>
    <x v="0"/>
    <b v="1"/>
  </r>
  <r>
    <s v="S-6fa5cd"/>
    <s v="A-342303"/>
    <d v="2024-05-03T00:00:00"/>
    <m/>
    <x v="2"/>
    <n v="17"/>
    <n v="323"/>
    <n v="3876"/>
    <x v="0"/>
    <b v="0"/>
    <b v="0"/>
    <b v="0"/>
    <x v="0"/>
    <b v="1"/>
  </r>
  <r>
    <s v="S-33e4e2"/>
    <s v="A-a1b80b"/>
    <d v="2024-09-19T00:00:00"/>
    <m/>
    <x v="0"/>
    <n v="16"/>
    <n v="3184"/>
    <n v="38208"/>
    <x v="0"/>
    <b v="0"/>
    <b v="1"/>
    <b v="0"/>
    <x v="1"/>
    <b v="0"/>
  </r>
  <r>
    <s v="S-718f18"/>
    <s v="A-659280"/>
    <d v="2024-06-05T00:00:00"/>
    <m/>
    <x v="0"/>
    <n v="24"/>
    <n v="4776"/>
    <n v="57312"/>
    <x v="0"/>
    <b v="0"/>
    <b v="0"/>
    <b v="0"/>
    <x v="0"/>
    <b v="0"/>
  </r>
  <r>
    <s v="S-95a570"/>
    <s v="A-56962b"/>
    <d v="2024-11-20T00:00:00"/>
    <d v="2024-12-26T00:00:00"/>
    <x v="1"/>
    <n v="163"/>
    <n v="0"/>
    <n v="0"/>
    <x v="1"/>
    <b v="0"/>
    <b v="0"/>
    <b v="1"/>
    <x v="0"/>
    <b v="1"/>
  </r>
  <r>
    <s v="S-b526e3"/>
    <s v="A-9c18c4"/>
    <d v="2024-09-07T00:00:00"/>
    <m/>
    <x v="0"/>
    <n v="11"/>
    <n v="2189"/>
    <n v="26268"/>
    <x v="0"/>
    <b v="1"/>
    <b v="0"/>
    <b v="0"/>
    <x v="1"/>
    <b v="1"/>
  </r>
  <r>
    <s v="S-0bccd9"/>
    <s v="A-96bbc6"/>
    <d v="2024-12-25T00:00:00"/>
    <m/>
    <x v="2"/>
    <n v="39"/>
    <n v="741"/>
    <n v="8892"/>
    <x v="0"/>
    <b v="0"/>
    <b v="1"/>
    <b v="0"/>
    <x v="0"/>
    <b v="1"/>
  </r>
  <r>
    <s v="S-f50b14"/>
    <s v="A-625d0b"/>
    <d v="2024-09-25T00:00:00"/>
    <m/>
    <x v="2"/>
    <n v="9"/>
    <n v="0"/>
    <n v="0"/>
    <x v="1"/>
    <b v="0"/>
    <b v="0"/>
    <b v="0"/>
    <x v="1"/>
    <b v="1"/>
  </r>
  <r>
    <s v="S-0eff34"/>
    <s v="A-b2225d"/>
    <d v="2024-08-04T00:00:00"/>
    <m/>
    <x v="1"/>
    <n v="47"/>
    <n v="2303"/>
    <n v="27636"/>
    <x v="0"/>
    <b v="0"/>
    <b v="0"/>
    <b v="0"/>
    <x v="0"/>
    <b v="0"/>
  </r>
  <r>
    <s v="S-06fb6f"/>
    <s v="A-50bb9f"/>
    <d v="2024-11-05T00:00:00"/>
    <m/>
    <x v="1"/>
    <n v="30"/>
    <n v="1470"/>
    <n v="17640"/>
    <x v="0"/>
    <b v="0"/>
    <b v="0"/>
    <b v="0"/>
    <x v="1"/>
    <b v="1"/>
  </r>
  <r>
    <s v="S-24323f"/>
    <s v="A-cb6cc6"/>
    <d v="2024-03-20T00:00:00"/>
    <m/>
    <x v="1"/>
    <n v="13"/>
    <n v="637"/>
    <n v="7644"/>
    <x v="0"/>
    <b v="0"/>
    <b v="0"/>
    <b v="0"/>
    <x v="0"/>
    <b v="0"/>
  </r>
  <r>
    <s v="S-e1e2bf"/>
    <s v="A-7da956"/>
    <d v="2024-09-24T00:00:00"/>
    <d v="2024-11-04T00:00:00"/>
    <x v="2"/>
    <n v="13"/>
    <n v="247"/>
    <n v="2964"/>
    <x v="0"/>
    <b v="0"/>
    <b v="1"/>
    <b v="1"/>
    <x v="1"/>
    <b v="1"/>
  </r>
  <r>
    <s v="S-dacbda"/>
    <s v="A-1f559b"/>
    <d v="2024-07-25T00:00:00"/>
    <m/>
    <x v="1"/>
    <n v="18"/>
    <n v="882"/>
    <n v="10584"/>
    <x v="0"/>
    <b v="0"/>
    <b v="0"/>
    <b v="0"/>
    <x v="0"/>
    <b v="1"/>
  </r>
  <r>
    <s v="S-f66b5d"/>
    <s v="A-039727"/>
    <d v="2024-12-07T00:00:00"/>
    <m/>
    <x v="0"/>
    <n v="25"/>
    <n v="0"/>
    <n v="0"/>
    <x v="1"/>
    <b v="0"/>
    <b v="0"/>
    <b v="0"/>
    <x v="1"/>
    <b v="0"/>
  </r>
  <r>
    <s v="S-62a6d7"/>
    <s v="A-6965e1"/>
    <d v="2024-12-20T00:00:00"/>
    <m/>
    <x v="1"/>
    <n v="14"/>
    <n v="686"/>
    <n v="8232"/>
    <x v="0"/>
    <b v="0"/>
    <b v="0"/>
    <b v="0"/>
    <x v="0"/>
    <b v="1"/>
  </r>
  <r>
    <s v="S-c5a146"/>
    <s v="A-59f724"/>
    <d v="2024-07-15T00:00:00"/>
    <m/>
    <x v="2"/>
    <n v="18"/>
    <n v="342"/>
    <n v="4104"/>
    <x v="0"/>
    <b v="1"/>
    <b v="0"/>
    <b v="0"/>
    <x v="1"/>
    <b v="1"/>
  </r>
  <r>
    <s v="S-3ad334"/>
    <s v="A-158f4e"/>
    <d v="2024-11-23T00:00:00"/>
    <m/>
    <x v="0"/>
    <n v="61"/>
    <n v="12139"/>
    <n v="145668"/>
    <x v="0"/>
    <b v="0"/>
    <b v="0"/>
    <b v="0"/>
    <x v="0"/>
    <b v="1"/>
  </r>
  <r>
    <s v="S-9c1bcb"/>
    <s v="A-17939a"/>
    <d v="2024-12-28T00:00:00"/>
    <m/>
    <x v="2"/>
    <n v="51"/>
    <n v="969"/>
    <n v="11628"/>
    <x v="0"/>
    <b v="0"/>
    <b v="0"/>
    <b v="0"/>
    <x v="0"/>
    <b v="1"/>
  </r>
  <r>
    <s v="S-3e8909"/>
    <s v="A-600734"/>
    <d v="2024-06-08T00:00:00"/>
    <m/>
    <x v="1"/>
    <n v="39"/>
    <n v="1911"/>
    <n v="22932"/>
    <x v="0"/>
    <b v="1"/>
    <b v="0"/>
    <b v="0"/>
    <x v="1"/>
    <b v="0"/>
  </r>
  <r>
    <s v="S-6b200f"/>
    <s v="A-600734"/>
    <d v="2024-02-17T00:00:00"/>
    <d v="2024-05-30T00:00:00"/>
    <x v="1"/>
    <n v="29"/>
    <n v="1421"/>
    <n v="17052"/>
    <x v="0"/>
    <b v="1"/>
    <b v="0"/>
    <b v="1"/>
    <x v="1"/>
    <b v="1"/>
  </r>
  <r>
    <s v="S-ebbda6"/>
    <s v="A-558c72"/>
    <d v="2024-10-10T00:00:00"/>
    <m/>
    <x v="1"/>
    <n v="15"/>
    <n v="735"/>
    <n v="8820"/>
    <x v="0"/>
    <b v="0"/>
    <b v="0"/>
    <b v="0"/>
    <x v="1"/>
    <b v="1"/>
  </r>
  <r>
    <s v="S-c7a771"/>
    <s v="A-7920cc"/>
    <d v="2024-07-04T00:00:00"/>
    <m/>
    <x v="1"/>
    <n v="39"/>
    <n v="1911"/>
    <n v="22932"/>
    <x v="0"/>
    <b v="0"/>
    <b v="0"/>
    <b v="0"/>
    <x v="0"/>
    <b v="1"/>
  </r>
  <r>
    <s v="S-b8097b"/>
    <s v="A-ccb686"/>
    <d v="2024-04-17T00:00:00"/>
    <m/>
    <x v="1"/>
    <n v="34"/>
    <n v="0"/>
    <n v="0"/>
    <x v="1"/>
    <b v="0"/>
    <b v="0"/>
    <b v="0"/>
    <x v="0"/>
    <b v="0"/>
  </r>
  <r>
    <s v="S-628842"/>
    <s v="A-6f8ad2"/>
    <d v="2024-08-26T00:00:00"/>
    <m/>
    <x v="0"/>
    <n v="27"/>
    <n v="5373"/>
    <n v="64476"/>
    <x v="0"/>
    <b v="0"/>
    <b v="0"/>
    <b v="0"/>
    <x v="1"/>
    <b v="1"/>
  </r>
  <r>
    <s v="S-4690b3"/>
    <s v="A-068fc6"/>
    <d v="2024-12-16T00:00:00"/>
    <d v="2024-12-25T00:00:00"/>
    <x v="0"/>
    <n v="35"/>
    <n v="6965"/>
    <n v="83580"/>
    <x v="0"/>
    <b v="0"/>
    <b v="0"/>
    <b v="1"/>
    <x v="0"/>
    <b v="1"/>
  </r>
  <r>
    <s v="S-8fbabd"/>
    <s v="A-aa9511"/>
    <d v="2024-08-21T00:00:00"/>
    <d v="2024-09-09T00:00:00"/>
    <x v="0"/>
    <n v="25"/>
    <n v="4975"/>
    <n v="59700"/>
    <x v="0"/>
    <b v="0"/>
    <b v="0"/>
    <b v="1"/>
    <x v="0"/>
    <b v="1"/>
  </r>
  <r>
    <s v="S-6bab8f"/>
    <s v="A-eb7c38"/>
    <d v="2024-04-11T00:00:00"/>
    <m/>
    <x v="0"/>
    <n v="13"/>
    <n v="0"/>
    <n v="0"/>
    <x v="1"/>
    <b v="0"/>
    <b v="0"/>
    <b v="0"/>
    <x v="1"/>
    <b v="0"/>
  </r>
  <r>
    <s v="S-e4cb85"/>
    <s v="A-34ea2f"/>
    <d v="2024-10-21T00:00:00"/>
    <m/>
    <x v="2"/>
    <n v="29"/>
    <n v="551"/>
    <n v="6612"/>
    <x v="0"/>
    <b v="1"/>
    <b v="0"/>
    <b v="0"/>
    <x v="1"/>
    <b v="1"/>
  </r>
  <r>
    <s v="S-aeec81"/>
    <s v="A-e4bf56"/>
    <d v="2024-12-12T00:00:00"/>
    <m/>
    <x v="1"/>
    <n v="19"/>
    <n v="931"/>
    <n v="11172"/>
    <x v="0"/>
    <b v="0"/>
    <b v="0"/>
    <b v="0"/>
    <x v="0"/>
    <b v="0"/>
  </r>
  <r>
    <s v="S-5a3412"/>
    <s v="A-ccabf0"/>
    <d v="2024-05-21T00:00:00"/>
    <m/>
    <x v="2"/>
    <n v="17"/>
    <n v="323"/>
    <n v="3876"/>
    <x v="0"/>
    <b v="0"/>
    <b v="0"/>
    <b v="0"/>
    <x v="1"/>
    <b v="0"/>
  </r>
  <r>
    <s v="S-4904cd"/>
    <s v="A-dcc3f1"/>
    <d v="2024-10-13T00:00:00"/>
    <m/>
    <x v="2"/>
    <n v="21"/>
    <n v="399"/>
    <n v="4788"/>
    <x v="0"/>
    <b v="0"/>
    <b v="0"/>
    <b v="0"/>
    <x v="1"/>
    <b v="0"/>
  </r>
  <r>
    <s v="S-1d4aa3"/>
    <s v="A-e61e98"/>
    <d v="2024-06-02T00:00:00"/>
    <m/>
    <x v="2"/>
    <n v="19"/>
    <n v="361"/>
    <n v="4332"/>
    <x v="0"/>
    <b v="0"/>
    <b v="0"/>
    <b v="0"/>
    <x v="0"/>
    <b v="1"/>
  </r>
  <r>
    <s v="S-fcc241"/>
    <s v="A-443b7c"/>
    <d v="2024-09-25T00:00:00"/>
    <m/>
    <x v="0"/>
    <n v="70"/>
    <n v="13930"/>
    <n v="167160"/>
    <x v="0"/>
    <b v="0"/>
    <b v="0"/>
    <b v="0"/>
    <x v="1"/>
    <b v="1"/>
  </r>
  <r>
    <s v="S-b046ad"/>
    <s v="A-462d45"/>
    <d v="2024-09-24T00:00:00"/>
    <m/>
    <x v="2"/>
    <n v="61"/>
    <n v="0"/>
    <n v="0"/>
    <x v="1"/>
    <b v="0"/>
    <b v="0"/>
    <b v="0"/>
    <x v="0"/>
    <b v="1"/>
  </r>
  <r>
    <s v="S-0463f5"/>
    <s v="A-7df7a7"/>
    <d v="2023-09-16T00:00:00"/>
    <m/>
    <x v="1"/>
    <n v="7"/>
    <n v="343"/>
    <n v="4116"/>
    <x v="0"/>
    <b v="0"/>
    <b v="0"/>
    <b v="0"/>
    <x v="0"/>
    <b v="1"/>
  </r>
  <r>
    <s v="S-68a558"/>
    <s v="A-a1bbb6"/>
    <d v="2023-04-17T00:00:00"/>
    <m/>
    <x v="1"/>
    <n v="21"/>
    <n v="1029"/>
    <n v="12348"/>
    <x v="0"/>
    <b v="0"/>
    <b v="0"/>
    <b v="0"/>
    <x v="0"/>
    <b v="1"/>
  </r>
  <r>
    <s v="S-b420be"/>
    <s v="A-0e966d"/>
    <d v="2024-06-30T00:00:00"/>
    <m/>
    <x v="0"/>
    <n v="23"/>
    <n v="4577"/>
    <n v="54924"/>
    <x v="0"/>
    <b v="0"/>
    <b v="0"/>
    <b v="0"/>
    <x v="1"/>
    <b v="1"/>
  </r>
  <r>
    <s v="S-d74733"/>
    <s v="A-7641d3"/>
    <d v="2024-05-10T00:00:00"/>
    <m/>
    <x v="1"/>
    <n v="12"/>
    <n v="588"/>
    <n v="7056"/>
    <x v="0"/>
    <b v="0"/>
    <b v="0"/>
    <b v="0"/>
    <x v="0"/>
    <b v="0"/>
  </r>
  <r>
    <s v="S-52280f"/>
    <s v="A-fa2041"/>
    <d v="2024-07-15T00:00:00"/>
    <m/>
    <x v="0"/>
    <n v="16"/>
    <n v="3184"/>
    <n v="38208"/>
    <x v="0"/>
    <b v="0"/>
    <b v="0"/>
    <b v="0"/>
    <x v="1"/>
    <b v="1"/>
  </r>
  <r>
    <s v="S-0f949d"/>
    <s v="A-310452"/>
    <d v="2024-12-29T00:00:00"/>
    <m/>
    <x v="1"/>
    <n v="9"/>
    <n v="441"/>
    <n v="5292"/>
    <x v="0"/>
    <b v="0"/>
    <b v="0"/>
    <b v="0"/>
    <x v="1"/>
    <b v="1"/>
  </r>
  <r>
    <s v="S-38bf32"/>
    <s v="A-ed510f"/>
    <d v="2024-01-24T00:00:00"/>
    <m/>
    <x v="1"/>
    <n v="42"/>
    <n v="2058"/>
    <n v="24696"/>
    <x v="0"/>
    <b v="0"/>
    <b v="0"/>
    <b v="0"/>
    <x v="1"/>
    <b v="1"/>
  </r>
  <r>
    <s v="S-0c47cb"/>
    <s v="A-b9eed8"/>
    <d v="2024-08-27T00:00:00"/>
    <m/>
    <x v="2"/>
    <n v="14"/>
    <n v="266"/>
    <n v="3192"/>
    <x v="0"/>
    <b v="0"/>
    <b v="0"/>
    <b v="0"/>
    <x v="1"/>
    <b v="1"/>
  </r>
  <r>
    <s v="S-28d64b"/>
    <s v="A-67be94"/>
    <d v="2024-04-03T00:00:00"/>
    <m/>
    <x v="2"/>
    <n v="26"/>
    <n v="494"/>
    <n v="5928"/>
    <x v="0"/>
    <b v="0"/>
    <b v="0"/>
    <b v="0"/>
    <x v="0"/>
    <b v="1"/>
  </r>
  <r>
    <s v="S-003647"/>
    <s v="A-e36807"/>
    <d v="2024-12-23T00:00:00"/>
    <m/>
    <x v="0"/>
    <n v="9"/>
    <n v="1791"/>
    <n v="21492"/>
    <x v="0"/>
    <b v="0"/>
    <b v="0"/>
    <b v="0"/>
    <x v="0"/>
    <b v="1"/>
  </r>
  <r>
    <s v="S-c0789c"/>
    <s v="A-7c5768"/>
    <d v="2024-12-02T00:00:00"/>
    <m/>
    <x v="0"/>
    <n v="26"/>
    <n v="0"/>
    <n v="0"/>
    <x v="1"/>
    <b v="0"/>
    <b v="0"/>
    <b v="0"/>
    <x v="0"/>
    <b v="1"/>
  </r>
  <r>
    <s v="S-fc3dcb"/>
    <s v="A-3b5cd1"/>
    <d v="2024-12-24T00:00:00"/>
    <m/>
    <x v="0"/>
    <n v="32"/>
    <n v="6368"/>
    <n v="76416"/>
    <x v="0"/>
    <b v="0"/>
    <b v="0"/>
    <b v="0"/>
    <x v="1"/>
    <b v="1"/>
  </r>
  <r>
    <s v="S-1ffdd8"/>
    <s v="A-ef84cf"/>
    <d v="2024-08-08T00:00:00"/>
    <m/>
    <x v="2"/>
    <n v="8"/>
    <n v="152"/>
    <n v="1824"/>
    <x v="0"/>
    <b v="0"/>
    <b v="0"/>
    <b v="0"/>
    <x v="0"/>
    <b v="1"/>
  </r>
  <r>
    <s v="S-e9a159"/>
    <s v="A-1f0636"/>
    <d v="2024-06-27T00:00:00"/>
    <m/>
    <x v="0"/>
    <n v="105"/>
    <n v="20895"/>
    <n v="250740"/>
    <x v="0"/>
    <b v="0"/>
    <b v="0"/>
    <b v="0"/>
    <x v="0"/>
    <b v="0"/>
  </r>
  <r>
    <s v="S-3803ff"/>
    <s v="A-b3fe05"/>
    <d v="2024-08-04T00:00:00"/>
    <m/>
    <x v="0"/>
    <n v="50"/>
    <n v="9950"/>
    <n v="119400"/>
    <x v="0"/>
    <b v="0"/>
    <b v="0"/>
    <b v="0"/>
    <x v="0"/>
    <b v="1"/>
  </r>
  <r>
    <s v="S-aaf30f"/>
    <s v="A-40906c"/>
    <d v="2024-11-06T00:00:00"/>
    <m/>
    <x v="1"/>
    <n v="92"/>
    <n v="4508"/>
    <n v="54096"/>
    <x v="0"/>
    <b v="0"/>
    <b v="0"/>
    <b v="0"/>
    <x v="1"/>
    <b v="1"/>
  </r>
  <r>
    <s v="S-b362a5"/>
    <s v="A-8145a0"/>
    <d v="2023-10-17T00:00:00"/>
    <m/>
    <x v="2"/>
    <n v="44"/>
    <n v="836"/>
    <n v="10032"/>
    <x v="0"/>
    <b v="0"/>
    <b v="0"/>
    <b v="0"/>
    <x v="1"/>
    <b v="1"/>
  </r>
  <r>
    <s v="S-b07043"/>
    <s v="A-e98302"/>
    <d v="2024-11-22T00:00:00"/>
    <m/>
    <x v="2"/>
    <n v="16"/>
    <n v="304"/>
    <n v="3648"/>
    <x v="0"/>
    <b v="0"/>
    <b v="0"/>
    <b v="0"/>
    <x v="1"/>
    <b v="1"/>
  </r>
  <r>
    <s v="S-140d3a"/>
    <s v="A-ff3c73"/>
    <d v="2023-06-26T00:00:00"/>
    <m/>
    <x v="2"/>
    <n v="21"/>
    <n v="399"/>
    <n v="4788"/>
    <x v="0"/>
    <b v="0"/>
    <b v="0"/>
    <b v="0"/>
    <x v="1"/>
    <b v="1"/>
  </r>
  <r>
    <s v="S-2eb247"/>
    <s v="A-8145a0"/>
    <d v="2024-02-01T00:00:00"/>
    <d v="2024-06-09T00:00:00"/>
    <x v="0"/>
    <n v="25"/>
    <n v="4975"/>
    <n v="59700"/>
    <x v="0"/>
    <b v="0"/>
    <b v="0"/>
    <b v="1"/>
    <x v="0"/>
    <b v="1"/>
  </r>
  <r>
    <s v="S-ef7534"/>
    <s v="A-ffdfd5"/>
    <d v="2024-12-20T00:00:00"/>
    <d v="2024-12-31T00:00:00"/>
    <x v="1"/>
    <n v="3"/>
    <n v="147"/>
    <n v="1764"/>
    <x v="0"/>
    <b v="0"/>
    <b v="0"/>
    <b v="1"/>
    <x v="0"/>
    <b v="1"/>
  </r>
  <r>
    <s v="S-b204c4"/>
    <s v="A-68f37c"/>
    <d v="2024-02-20T00:00:00"/>
    <m/>
    <x v="0"/>
    <n v="9"/>
    <n v="1791"/>
    <n v="21492"/>
    <x v="0"/>
    <b v="0"/>
    <b v="0"/>
    <b v="0"/>
    <x v="1"/>
    <b v="0"/>
  </r>
  <r>
    <s v="S-c787e2"/>
    <s v="A-d5a319"/>
    <d v="2024-11-05T00:00:00"/>
    <m/>
    <x v="0"/>
    <n v="45"/>
    <n v="8955"/>
    <n v="107460"/>
    <x v="0"/>
    <b v="0"/>
    <b v="0"/>
    <b v="0"/>
    <x v="1"/>
    <b v="1"/>
  </r>
  <r>
    <s v="S-e60430"/>
    <s v="A-86902e"/>
    <d v="2023-12-26T00:00:00"/>
    <m/>
    <x v="0"/>
    <n v="61"/>
    <n v="12139"/>
    <n v="145668"/>
    <x v="0"/>
    <b v="1"/>
    <b v="0"/>
    <b v="0"/>
    <x v="1"/>
    <b v="0"/>
  </r>
  <r>
    <s v="S-92afb8"/>
    <s v="A-9174e0"/>
    <d v="2024-12-28T00:00:00"/>
    <m/>
    <x v="0"/>
    <n v="37"/>
    <n v="7363"/>
    <n v="88356"/>
    <x v="0"/>
    <b v="1"/>
    <b v="0"/>
    <b v="0"/>
    <x v="1"/>
    <b v="1"/>
  </r>
  <r>
    <s v="S-0b7eba"/>
    <s v="A-7f4db3"/>
    <d v="2023-03-11T00:00:00"/>
    <m/>
    <x v="0"/>
    <n v="8"/>
    <n v="1592"/>
    <n v="19104"/>
    <x v="0"/>
    <b v="0"/>
    <b v="0"/>
    <b v="0"/>
    <x v="0"/>
    <b v="0"/>
  </r>
  <r>
    <s v="S-a113a2"/>
    <s v="A-d4ac0e"/>
    <d v="2024-10-20T00:00:00"/>
    <m/>
    <x v="0"/>
    <n v="18"/>
    <n v="3582"/>
    <n v="42984"/>
    <x v="0"/>
    <b v="0"/>
    <b v="0"/>
    <b v="0"/>
    <x v="0"/>
    <b v="1"/>
  </r>
  <r>
    <s v="S-624857"/>
    <s v="A-69b156"/>
    <d v="2023-12-27T00:00:00"/>
    <m/>
    <x v="0"/>
    <n v="7"/>
    <n v="1393"/>
    <n v="16716"/>
    <x v="0"/>
    <b v="0"/>
    <b v="0"/>
    <b v="0"/>
    <x v="0"/>
    <b v="1"/>
  </r>
  <r>
    <s v="S-b95c5c"/>
    <s v="A-20736a"/>
    <d v="2024-10-13T00:00:00"/>
    <m/>
    <x v="0"/>
    <n v="64"/>
    <n v="12736"/>
    <n v="152832"/>
    <x v="0"/>
    <b v="0"/>
    <b v="0"/>
    <b v="0"/>
    <x v="0"/>
    <b v="1"/>
  </r>
  <r>
    <s v="S-6bd42d"/>
    <s v="A-5247b3"/>
    <d v="2024-06-19T00:00:00"/>
    <m/>
    <x v="2"/>
    <n v="16"/>
    <n v="304"/>
    <n v="3648"/>
    <x v="0"/>
    <b v="0"/>
    <b v="0"/>
    <b v="0"/>
    <x v="0"/>
    <b v="1"/>
  </r>
  <r>
    <s v="S-45ab1a"/>
    <s v="A-1d5444"/>
    <d v="2024-04-19T00:00:00"/>
    <m/>
    <x v="2"/>
    <n v="24"/>
    <n v="456"/>
    <n v="5472"/>
    <x v="0"/>
    <b v="0"/>
    <b v="0"/>
    <b v="0"/>
    <x v="1"/>
    <b v="1"/>
  </r>
  <r>
    <s v="S-7fc49b"/>
    <s v="A-50bb9f"/>
    <d v="2024-08-11T00:00:00"/>
    <m/>
    <x v="1"/>
    <n v="7"/>
    <n v="343"/>
    <n v="4116"/>
    <x v="0"/>
    <b v="1"/>
    <b v="0"/>
    <b v="0"/>
    <x v="0"/>
    <b v="1"/>
  </r>
  <r>
    <s v="S-06b9f0"/>
    <s v="A-c37601"/>
    <d v="2024-12-30T00:00:00"/>
    <m/>
    <x v="1"/>
    <n v="8"/>
    <n v="0"/>
    <n v="0"/>
    <x v="1"/>
    <b v="0"/>
    <b v="0"/>
    <b v="0"/>
    <x v="1"/>
    <b v="1"/>
  </r>
  <r>
    <s v="S-3b43b5"/>
    <s v="A-7920cc"/>
    <d v="2024-06-18T00:00:00"/>
    <m/>
    <x v="1"/>
    <n v="39"/>
    <n v="1911"/>
    <n v="22932"/>
    <x v="0"/>
    <b v="0"/>
    <b v="0"/>
    <b v="0"/>
    <x v="1"/>
    <b v="1"/>
  </r>
  <r>
    <s v="S-78554e"/>
    <s v="A-2922b6"/>
    <d v="2024-12-05T00:00:00"/>
    <m/>
    <x v="2"/>
    <n v="51"/>
    <n v="969"/>
    <n v="11628"/>
    <x v="0"/>
    <b v="0"/>
    <b v="0"/>
    <b v="0"/>
    <x v="0"/>
    <b v="1"/>
  </r>
  <r>
    <s v="S-f83811"/>
    <s v="A-f97b9a"/>
    <d v="2024-07-06T00:00:00"/>
    <m/>
    <x v="2"/>
    <n v="16"/>
    <n v="304"/>
    <n v="3648"/>
    <x v="0"/>
    <b v="0"/>
    <b v="0"/>
    <b v="0"/>
    <x v="1"/>
    <b v="1"/>
  </r>
  <r>
    <s v="S-3d0e64"/>
    <s v="A-cbbe12"/>
    <d v="2023-12-05T00:00:00"/>
    <m/>
    <x v="1"/>
    <n v="40"/>
    <n v="0"/>
    <n v="0"/>
    <x v="1"/>
    <b v="0"/>
    <b v="0"/>
    <b v="0"/>
    <x v="0"/>
    <b v="1"/>
  </r>
  <r>
    <s v="S-0f15b7"/>
    <s v="A-3a5ad8"/>
    <d v="2024-04-16T00:00:00"/>
    <m/>
    <x v="1"/>
    <n v="9"/>
    <n v="441"/>
    <n v="5292"/>
    <x v="0"/>
    <b v="0"/>
    <b v="0"/>
    <b v="0"/>
    <x v="0"/>
    <b v="1"/>
  </r>
  <r>
    <s v="S-24ecbf"/>
    <s v="A-92a333"/>
    <d v="2024-03-17T00:00:00"/>
    <m/>
    <x v="0"/>
    <n v="9"/>
    <n v="1791"/>
    <n v="21492"/>
    <x v="0"/>
    <b v="0"/>
    <b v="0"/>
    <b v="0"/>
    <x v="0"/>
    <b v="1"/>
  </r>
  <r>
    <s v="S-03906f"/>
    <s v="A-c1e51e"/>
    <d v="2024-11-28T00:00:00"/>
    <m/>
    <x v="2"/>
    <n v="25"/>
    <n v="475"/>
    <n v="5700"/>
    <x v="0"/>
    <b v="0"/>
    <b v="0"/>
    <b v="0"/>
    <x v="1"/>
    <b v="1"/>
  </r>
  <r>
    <s v="S-a4d69d"/>
    <s v="A-592832"/>
    <d v="2024-12-11T00:00:00"/>
    <m/>
    <x v="2"/>
    <n v="18"/>
    <n v="342"/>
    <n v="4104"/>
    <x v="0"/>
    <b v="0"/>
    <b v="0"/>
    <b v="0"/>
    <x v="0"/>
    <b v="1"/>
  </r>
  <r>
    <s v="S-9a8646"/>
    <s v="A-098560"/>
    <d v="2024-04-29T00:00:00"/>
    <m/>
    <x v="2"/>
    <n v="10"/>
    <n v="190"/>
    <n v="2280"/>
    <x v="0"/>
    <b v="0"/>
    <b v="0"/>
    <b v="0"/>
    <x v="0"/>
    <b v="1"/>
  </r>
  <r>
    <s v="S-3d7bed"/>
    <s v="A-2e4581"/>
    <d v="2024-12-22T00:00:00"/>
    <m/>
    <x v="2"/>
    <n v="44"/>
    <n v="836"/>
    <n v="10032"/>
    <x v="0"/>
    <b v="0"/>
    <b v="0"/>
    <b v="0"/>
    <x v="0"/>
    <b v="1"/>
  </r>
  <r>
    <s v="S-a9a707"/>
    <s v="A-71615e"/>
    <d v="2024-08-24T00:00:00"/>
    <m/>
    <x v="1"/>
    <n v="51"/>
    <n v="2499"/>
    <n v="29988"/>
    <x v="0"/>
    <b v="1"/>
    <b v="0"/>
    <b v="0"/>
    <x v="0"/>
    <b v="0"/>
  </r>
  <r>
    <s v="S-1eba7d"/>
    <s v="A-4e0e85"/>
    <d v="2024-12-14T00:00:00"/>
    <m/>
    <x v="0"/>
    <n v="39"/>
    <n v="0"/>
    <n v="0"/>
    <x v="1"/>
    <b v="1"/>
    <b v="0"/>
    <b v="0"/>
    <x v="1"/>
    <b v="1"/>
  </r>
  <r>
    <s v="S-7863b1"/>
    <s v="A-b11cd0"/>
    <d v="2023-04-01T00:00:00"/>
    <m/>
    <x v="2"/>
    <n v="26"/>
    <n v="0"/>
    <n v="0"/>
    <x v="1"/>
    <b v="0"/>
    <b v="0"/>
    <b v="0"/>
    <x v="0"/>
    <b v="1"/>
  </r>
  <r>
    <s v="S-8d3495"/>
    <s v="A-cbd1a3"/>
    <d v="2024-12-26T00:00:00"/>
    <m/>
    <x v="2"/>
    <n v="37"/>
    <n v="703"/>
    <n v="8436"/>
    <x v="0"/>
    <b v="1"/>
    <b v="0"/>
    <b v="0"/>
    <x v="0"/>
    <b v="1"/>
  </r>
  <r>
    <s v="S-509e88"/>
    <s v="A-781cc0"/>
    <d v="2024-10-18T00:00:00"/>
    <m/>
    <x v="2"/>
    <n v="21"/>
    <n v="399"/>
    <n v="4788"/>
    <x v="0"/>
    <b v="0"/>
    <b v="0"/>
    <b v="0"/>
    <x v="0"/>
    <b v="1"/>
  </r>
  <r>
    <s v="S-35ff9e"/>
    <s v="A-ffc04f"/>
    <d v="2024-09-09T00:00:00"/>
    <m/>
    <x v="0"/>
    <n v="19"/>
    <n v="3781"/>
    <n v="45372"/>
    <x v="0"/>
    <b v="0"/>
    <b v="0"/>
    <b v="0"/>
    <x v="0"/>
    <b v="0"/>
  </r>
  <r>
    <s v="S-c84ce4"/>
    <s v="A-bc87bc"/>
    <d v="2024-11-06T00:00:00"/>
    <m/>
    <x v="0"/>
    <n v="22"/>
    <n v="4378"/>
    <n v="52536"/>
    <x v="0"/>
    <b v="0"/>
    <b v="0"/>
    <b v="0"/>
    <x v="0"/>
    <b v="1"/>
  </r>
  <r>
    <s v="S-75c438"/>
    <s v="A-92a3af"/>
    <d v="2024-08-14T00:00:00"/>
    <m/>
    <x v="1"/>
    <n v="34"/>
    <n v="1666"/>
    <n v="19992"/>
    <x v="0"/>
    <b v="0"/>
    <b v="0"/>
    <b v="0"/>
    <x v="0"/>
    <b v="1"/>
  </r>
  <r>
    <s v="S-ccd045"/>
    <s v="A-96215d"/>
    <d v="2024-08-17T00:00:00"/>
    <m/>
    <x v="0"/>
    <n v="10"/>
    <n v="1990"/>
    <n v="23880"/>
    <x v="0"/>
    <b v="0"/>
    <b v="0"/>
    <b v="0"/>
    <x v="0"/>
    <b v="1"/>
  </r>
  <r>
    <s v="S-28e7bf"/>
    <s v="A-5a92e7"/>
    <d v="2024-08-29T00:00:00"/>
    <m/>
    <x v="1"/>
    <n v="27"/>
    <n v="1323"/>
    <n v="15876"/>
    <x v="0"/>
    <b v="0"/>
    <b v="0"/>
    <b v="0"/>
    <x v="0"/>
    <b v="1"/>
  </r>
  <r>
    <s v="S-656302"/>
    <s v="A-e60f9d"/>
    <d v="2024-10-11T00:00:00"/>
    <m/>
    <x v="0"/>
    <n v="29"/>
    <n v="5771"/>
    <n v="69252"/>
    <x v="0"/>
    <b v="0"/>
    <b v="0"/>
    <b v="0"/>
    <x v="0"/>
    <b v="1"/>
  </r>
  <r>
    <s v="S-c5cee8"/>
    <s v="A-31ab9a"/>
    <d v="2024-04-23T00:00:00"/>
    <m/>
    <x v="1"/>
    <n v="73"/>
    <n v="3577"/>
    <n v="42924"/>
    <x v="0"/>
    <b v="0"/>
    <b v="0"/>
    <b v="0"/>
    <x v="0"/>
    <b v="1"/>
  </r>
  <r>
    <s v="S-d6aefa"/>
    <s v="A-65c341"/>
    <d v="2024-03-14T00:00:00"/>
    <m/>
    <x v="0"/>
    <n v="84"/>
    <n v="16716"/>
    <n v="200592"/>
    <x v="0"/>
    <b v="0"/>
    <b v="0"/>
    <b v="0"/>
    <x v="1"/>
    <b v="1"/>
  </r>
  <r>
    <s v="S-354f6f"/>
    <s v="A-c58f49"/>
    <d v="2024-11-24T00:00:00"/>
    <m/>
    <x v="0"/>
    <n v="70"/>
    <n v="13930"/>
    <n v="167160"/>
    <x v="0"/>
    <b v="0"/>
    <b v="0"/>
    <b v="0"/>
    <x v="1"/>
    <b v="1"/>
  </r>
  <r>
    <s v="S-14f39f"/>
    <s v="A-9affe6"/>
    <d v="2024-06-22T00:00:00"/>
    <d v="2024-12-10T00:00:00"/>
    <x v="2"/>
    <n v="19"/>
    <n v="361"/>
    <n v="4332"/>
    <x v="0"/>
    <b v="0"/>
    <b v="0"/>
    <b v="1"/>
    <x v="0"/>
    <b v="1"/>
  </r>
  <r>
    <s v="S-c7667c"/>
    <s v="A-c1e51e"/>
    <d v="2024-11-02T00:00:00"/>
    <m/>
    <x v="1"/>
    <n v="10"/>
    <n v="490"/>
    <n v="5880"/>
    <x v="0"/>
    <b v="0"/>
    <b v="0"/>
    <b v="0"/>
    <x v="0"/>
    <b v="1"/>
  </r>
  <r>
    <s v="S-85f2ab"/>
    <s v="A-180abf"/>
    <d v="2024-12-17T00:00:00"/>
    <m/>
    <x v="1"/>
    <n v="64"/>
    <n v="3136"/>
    <n v="37632"/>
    <x v="0"/>
    <b v="0"/>
    <b v="0"/>
    <b v="0"/>
    <x v="0"/>
    <b v="1"/>
  </r>
  <r>
    <s v="S-2d2a88"/>
    <s v="A-bbe56f"/>
    <d v="2024-04-04T00:00:00"/>
    <m/>
    <x v="2"/>
    <n v="21"/>
    <n v="0"/>
    <n v="0"/>
    <x v="1"/>
    <b v="0"/>
    <b v="0"/>
    <b v="0"/>
    <x v="1"/>
    <b v="1"/>
  </r>
  <r>
    <s v="S-58d17c"/>
    <s v="A-396e5f"/>
    <d v="2024-12-02T00:00:00"/>
    <m/>
    <x v="0"/>
    <n v="2"/>
    <n v="398"/>
    <n v="4776"/>
    <x v="0"/>
    <b v="0"/>
    <b v="0"/>
    <b v="0"/>
    <x v="0"/>
    <b v="1"/>
  </r>
  <r>
    <s v="S-941e0f"/>
    <s v="A-1e6fc3"/>
    <d v="2024-08-28T00:00:00"/>
    <m/>
    <x v="2"/>
    <n v="11"/>
    <n v="0"/>
    <n v="0"/>
    <x v="1"/>
    <b v="0"/>
    <b v="0"/>
    <b v="0"/>
    <x v="1"/>
    <b v="1"/>
  </r>
  <r>
    <s v="S-f0c3f6"/>
    <s v="A-6f50ae"/>
    <d v="2024-06-16T00:00:00"/>
    <m/>
    <x v="0"/>
    <n v="50"/>
    <n v="9950"/>
    <n v="119400"/>
    <x v="0"/>
    <b v="0"/>
    <b v="0"/>
    <b v="0"/>
    <x v="1"/>
    <b v="1"/>
  </r>
  <r>
    <s v="S-00837c"/>
    <s v="A-089363"/>
    <d v="2024-11-15T00:00:00"/>
    <d v="2024-11-27T00:00:00"/>
    <x v="0"/>
    <n v="43"/>
    <n v="8557"/>
    <n v="102684"/>
    <x v="0"/>
    <b v="0"/>
    <b v="0"/>
    <b v="1"/>
    <x v="1"/>
    <b v="0"/>
  </r>
  <r>
    <s v="S-904886"/>
    <s v="A-e36807"/>
    <d v="2024-06-20T00:00:00"/>
    <d v="2024-08-09T00:00:00"/>
    <x v="1"/>
    <n v="38"/>
    <n v="1862"/>
    <n v="22344"/>
    <x v="0"/>
    <b v="0"/>
    <b v="0"/>
    <b v="1"/>
    <x v="1"/>
    <b v="0"/>
  </r>
  <r>
    <s v="S-d0bb87"/>
    <s v="A-5f7781"/>
    <d v="2024-12-07T00:00:00"/>
    <m/>
    <x v="1"/>
    <n v="22"/>
    <n v="1078"/>
    <n v="12936"/>
    <x v="0"/>
    <b v="0"/>
    <b v="0"/>
    <b v="0"/>
    <x v="1"/>
    <b v="1"/>
  </r>
  <r>
    <s v="S-9ae8de"/>
    <s v="A-779e4e"/>
    <d v="2023-03-27T00:00:00"/>
    <m/>
    <x v="1"/>
    <n v="21"/>
    <n v="1029"/>
    <n v="12348"/>
    <x v="0"/>
    <b v="1"/>
    <b v="1"/>
    <b v="0"/>
    <x v="0"/>
    <b v="1"/>
  </r>
  <r>
    <s v="S-f971ab"/>
    <s v="A-4bfa33"/>
    <d v="2024-12-10T00:00:00"/>
    <m/>
    <x v="1"/>
    <n v="13"/>
    <n v="637"/>
    <n v="7644"/>
    <x v="0"/>
    <b v="0"/>
    <b v="0"/>
    <b v="0"/>
    <x v="1"/>
    <b v="1"/>
  </r>
  <r>
    <s v="S-ae4bb3"/>
    <s v="A-89ee83"/>
    <d v="2024-11-22T00:00:00"/>
    <m/>
    <x v="1"/>
    <n v="74"/>
    <n v="3626"/>
    <n v="43512"/>
    <x v="0"/>
    <b v="1"/>
    <b v="0"/>
    <b v="0"/>
    <x v="1"/>
    <b v="1"/>
  </r>
  <r>
    <s v="S-b8ca59"/>
    <s v="A-80eeb6"/>
    <d v="2024-02-27T00:00:00"/>
    <m/>
    <x v="0"/>
    <n v="22"/>
    <n v="4378"/>
    <n v="52536"/>
    <x v="0"/>
    <b v="0"/>
    <b v="0"/>
    <b v="0"/>
    <x v="0"/>
    <b v="1"/>
  </r>
  <r>
    <s v="S-3ae7af"/>
    <s v="A-902ef7"/>
    <d v="2024-12-18T00:00:00"/>
    <m/>
    <x v="2"/>
    <n v="83"/>
    <n v="0"/>
    <n v="0"/>
    <x v="1"/>
    <b v="0"/>
    <b v="0"/>
    <b v="0"/>
    <x v="0"/>
    <b v="1"/>
  </r>
  <r>
    <s v="S-ed2593"/>
    <s v="A-e1b9cd"/>
    <d v="2023-05-28T00:00:00"/>
    <m/>
    <x v="1"/>
    <n v="100"/>
    <n v="4900"/>
    <n v="58800"/>
    <x v="0"/>
    <b v="0"/>
    <b v="1"/>
    <b v="0"/>
    <x v="0"/>
    <b v="0"/>
  </r>
  <r>
    <s v="S-ac4799"/>
    <s v="A-86fc1d"/>
    <d v="2024-10-14T00:00:00"/>
    <d v="2024-10-20T00:00:00"/>
    <x v="0"/>
    <n v="26"/>
    <n v="0"/>
    <n v="0"/>
    <x v="1"/>
    <b v="1"/>
    <b v="0"/>
    <b v="1"/>
    <x v="0"/>
    <b v="1"/>
  </r>
  <r>
    <s v="S-2b35cc"/>
    <s v="A-9f2731"/>
    <d v="2024-11-11T00:00:00"/>
    <m/>
    <x v="1"/>
    <n v="13"/>
    <n v="637"/>
    <n v="7644"/>
    <x v="0"/>
    <b v="0"/>
    <b v="1"/>
    <b v="0"/>
    <x v="0"/>
    <b v="1"/>
  </r>
  <r>
    <s v="S-9f59fd"/>
    <s v="A-158f4e"/>
    <d v="2024-09-03T00:00:00"/>
    <m/>
    <x v="2"/>
    <n v="61"/>
    <n v="1159"/>
    <n v="13908"/>
    <x v="0"/>
    <b v="0"/>
    <b v="0"/>
    <b v="0"/>
    <x v="1"/>
    <b v="0"/>
  </r>
  <r>
    <s v="S-19cb09"/>
    <s v="A-d42431"/>
    <d v="2024-10-17T00:00:00"/>
    <m/>
    <x v="0"/>
    <n v="22"/>
    <n v="4378"/>
    <n v="52536"/>
    <x v="0"/>
    <b v="0"/>
    <b v="0"/>
    <b v="0"/>
    <x v="0"/>
    <b v="1"/>
  </r>
  <r>
    <s v="S-909612"/>
    <s v="A-151c9a"/>
    <d v="2024-02-10T00:00:00"/>
    <m/>
    <x v="0"/>
    <n v="23"/>
    <n v="4577"/>
    <n v="54924"/>
    <x v="0"/>
    <b v="0"/>
    <b v="0"/>
    <b v="0"/>
    <x v="0"/>
    <b v="1"/>
  </r>
  <r>
    <s v="S-01fa46"/>
    <s v="A-6f50ae"/>
    <d v="2024-01-08T00:00:00"/>
    <m/>
    <x v="2"/>
    <n v="19"/>
    <n v="361"/>
    <n v="4332"/>
    <x v="0"/>
    <b v="0"/>
    <b v="0"/>
    <b v="0"/>
    <x v="1"/>
    <b v="0"/>
  </r>
  <r>
    <s v="S-45c47e"/>
    <s v="A-d792a6"/>
    <d v="2023-08-01T00:00:00"/>
    <m/>
    <x v="2"/>
    <n v="21"/>
    <n v="399"/>
    <n v="4788"/>
    <x v="0"/>
    <b v="0"/>
    <b v="0"/>
    <b v="0"/>
    <x v="1"/>
    <b v="1"/>
  </r>
  <r>
    <s v="S-a50803"/>
    <s v="A-a45270"/>
    <d v="2024-12-23T00:00:00"/>
    <m/>
    <x v="2"/>
    <n v="66"/>
    <n v="0"/>
    <n v="0"/>
    <x v="1"/>
    <b v="0"/>
    <b v="0"/>
    <b v="0"/>
    <x v="1"/>
    <b v="1"/>
  </r>
  <r>
    <s v="S-4984e3"/>
    <s v="A-f19409"/>
    <d v="2024-10-20T00:00:00"/>
    <m/>
    <x v="0"/>
    <n v="23"/>
    <n v="4577"/>
    <n v="54924"/>
    <x v="0"/>
    <b v="0"/>
    <b v="0"/>
    <b v="0"/>
    <x v="0"/>
    <b v="1"/>
  </r>
  <r>
    <s v="S-1f93cd"/>
    <s v="A-30b4ca"/>
    <d v="2024-08-25T00:00:00"/>
    <m/>
    <x v="2"/>
    <n v="86"/>
    <n v="1634"/>
    <n v="19608"/>
    <x v="0"/>
    <b v="0"/>
    <b v="0"/>
    <b v="0"/>
    <x v="0"/>
    <b v="1"/>
  </r>
  <r>
    <s v="S-6cf058"/>
    <s v="A-4a4c2d"/>
    <d v="2024-02-23T00:00:00"/>
    <m/>
    <x v="2"/>
    <n v="54"/>
    <n v="0"/>
    <n v="0"/>
    <x v="1"/>
    <b v="0"/>
    <b v="0"/>
    <b v="0"/>
    <x v="0"/>
    <b v="1"/>
  </r>
  <r>
    <s v="S-cd6d68"/>
    <s v="A-4814a3"/>
    <d v="2024-12-30T00:00:00"/>
    <m/>
    <x v="1"/>
    <n v="87"/>
    <n v="4263"/>
    <n v="51156"/>
    <x v="0"/>
    <b v="0"/>
    <b v="0"/>
    <b v="0"/>
    <x v="0"/>
    <b v="1"/>
  </r>
  <r>
    <s v="S-041553"/>
    <s v="A-c608c8"/>
    <d v="2023-12-16T00:00:00"/>
    <m/>
    <x v="1"/>
    <n v="11"/>
    <n v="539"/>
    <n v="6468"/>
    <x v="0"/>
    <b v="0"/>
    <b v="0"/>
    <b v="0"/>
    <x v="1"/>
    <b v="1"/>
  </r>
  <r>
    <s v="S-3ea19d"/>
    <s v="A-4e44e8"/>
    <d v="2024-09-28T00:00:00"/>
    <m/>
    <x v="2"/>
    <n v="10"/>
    <n v="0"/>
    <n v="0"/>
    <x v="1"/>
    <b v="0"/>
    <b v="0"/>
    <b v="0"/>
    <x v="0"/>
    <b v="1"/>
  </r>
  <r>
    <s v="S-f62f59"/>
    <s v="A-96215d"/>
    <d v="2024-10-13T00:00:00"/>
    <m/>
    <x v="1"/>
    <n v="21"/>
    <n v="1029"/>
    <n v="12348"/>
    <x v="0"/>
    <b v="0"/>
    <b v="0"/>
    <b v="0"/>
    <x v="1"/>
    <b v="1"/>
  </r>
  <r>
    <s v="S-c99814"/>
    <s v="A-9289f6"/>
    <d v="2024-03-05T00:00:00"/>
    <m/>
    <x v="1"/>
    <n v="81"/>
    <n v="3969"/>
    <n v="47628"/>
    <x v="0"/>
    <b v="0"/>
    <b v="0"/>
    <b v="0"/>
    <x v="0"/>
    <b v="1"/>
  </r>
  <r>
    <s v="S-23ba41"/>
    <s v="A-de58ca"/>
    <d v="2024-06-09T00:00:00"/>
    <m/>
    <x v="1"/>
    <n v="15"/>
    <n v="735"/>
    <n v="8820"/>
    <x v="0"/>
    <b v="0"/>
    <b v="0"/>
    <b v="0"/>
    <x v="1"/>
    <b v="1"/>
  </r>
  <r>
    <s v="S-3981c7"/>
    <s v="A-c16b88"/>
    <d v="2024-03-08T00:00:00"/>
    <m/>
    <x v="1"/>
    <n v="27"/>
    <n v="0"/>
    <n v="0"/>
    <x v="1"/>
    <b v="0"/>
    <b v="0"/>
    <b v="0"/>
    <x v="1"/>
    <b v="1"/>
  </r>
  <r>
    <s v="S-6d507b"/>
    <s v="A-ffc04f"/>
    <d v="2024-06-08T00:00:00"/>
    <m/>
    <x v="0"/>
    <n v="13"/>
    <n v="2587"/>
    <n v="31044"/>
    <x v="0"/>
    <b v="0"/>
    <b v="0"/>
    <b v="0"/>
    <x v="1"/>
    <b v="1"/>
  </r>
  <r>
    <s v="S-1d3af2"/>
    <s v="A-c42f1f"/>
    <d v="2024-11-19T00:00:00"/>
    <m/>
    <x v="2"/>
    <n v="8"/>
    <n v="152"/>
    <n v="1824"/>
    <x v="0"/>
    <b v="1"/>
    <b v="0"/>
    <b v="0"/>
    <x v="0"/>
    <b v="1"/>
  </r>
  <r>
    <s v="S-f53776"/>
    <s v="A-f446b6"/>
    <d v="2023-09-06T00:00:00"/>
    <m/>
    <x v="2"/>
    <n v="12"/>
    <n v="228"/>
    <n v="2736"/>
    <x v="0"/>
    <b v="0"/>
    <b v="0"/>
    <b v="0"/>
    <x v="0"/>
    <b v="1"/>
  </r>
  <r>
    <s v="S-e05ab8"/>
    <s v="A-0158bb"/>
    <d v="2024-12-10T00:00:00"/>
    <m/>
    <x v="1"/>
    <n v="21"/>
    <n v="1029"/>
    <n v="12348"/>
    <x v="0"/>
    <b v="0"/>
    <b v="0"/>
    <b v="0"/>
    <x v="0"/>
    <b v="1"/>
  </r>
  <r>
    <s v="S-da0b9b"/>
    <s v="A-3a7284"/>
    <d v="2024-12-21T00:00:00"/>
    <d v="2024-12-23T00:00:00"/>
    <x v="1"/>
    <n v="33"/>
    <n v="1617"/>
    <n v="19404"/>
    <x v="0"/>
    <b v="0"/>
    <b v="0"/>
    <b v="1"/>
    <x v="1"/>
    <b v="1"/>
  </r>
  <r>
    <s v="S-131064"/>
    <s v="A-9f0b68"/>
    <d v="2024-10-19T00:00:00"/>
    <m/>
    <x v="0"/>
    <n v="34"/>
    <n v="6766"/>
    <n v="81192"/>
    <x v="0"/>
    <b v="0"/>
    <b v="0"/>
    <b v="0"/>
    <x v="1"/>
    <b v="1"/>
  </r>
  <r>
    <s v="S-541d7a"/>
    <s v="A-4f18f0"/>
    <d v="2024-09-05T00:00:00"/>
    <d v="2024-10-11T00:00:00"/>
    <x v="1"/>
    <n v="24"/>
    <n v="0"/>
    <n v="0"/>
    <x v="1"/>
    <b v="0"/>
    <b v="0"/>
    <b v="1"/>
    <x v="1"/>
    <b v="0"/>
  </r>
  <r>
    <s v="S-2ddb46"/>
    <s v="A-4c38bc"/>
    <d v="2024-05-09T00:00:00"/>
    <m/>
    <x v="1"/>
    <n v="36"/>
    <n v="1764"/>
    <n v="21168"/>
    <x v="0"/>
    <b v="0"/>
    <b v="0"/>
    <b v="0"/>
    <x v="0"/>
    <b v="1"/>
  </r>
  <r>
    <s v="S-16cf6a"/>
    <s v="A-d792a6"/>
    <d v="2023-04-21T00:00:00"/>
    <m/>
    <x v="0"/>
    <n v="12"/>
    <n v="2388"/>
    <n v="28656"/>
    <x v="0"/>
    <b v="0"/>
    <b v="0"/>
    <b v="0"/>
    <x v="1"/>
    <b v="1"/>
  </r>
  <r>
    <s v="S-0a01c5"/>
    <s v="A-e888d1"/>
    <d v="2023-08-05T00:00:00"/>
    <m/>
    <x v="0"/>
    <n v="16"/>
    <n v="3184"/>
    <n v="38208"/>
    <x v="0"/>
    <b v="0"/>
    <b v="0"/>
    <b v="0"/>
    <x v="0"/>
    <b v="0"/>
  </r>
  <r>
    <s v="S-ba8f61"/>
    <s v="A-e693b6"/>
    <d v="2024-09-26T00:00:00"/>
    <m/>
    <x v="2"/>
    <n v="55"/>
    <n v="1045"/>
    <n v="12540"/>
    <x v="0"/>
    <b v="0"/>
    <b v="0"/>
    <b v="0"/>
    <x v="0"/>
    <b v="1"/>
  </r>
  <r>
    <s v="S-0ed7be"/>
    <s v="A-95b24a"/>
    <d v="2023-07-14T00:00:00"/>
    <m/>
    <x v="1"/>
    <n v="47"/>
    <n v="2303"/>
    <n v="27636"/>
    <x v="0"/>
    <b v="0"/>
    <b v="0"/>
    <b v="0"/>
    <x v="0"/>
    <b v="0"/>
  </r>
  <r>
    <s v="S-c985c4"/>
    <s v="A-7f8241"/>
    <d v="2023-05-22T00:00:00"/>
    <m/>
    <x v="2"/>
    <n v="34"/>
    <n v="646"/>
    <n v="7752"/>
    <x v="0"/>
    <b v="0"/>
    <b v="0"/>
    <b v="0"/>
    <x v="1"/>
    <b v="0"/>
  </r>
  <r>
    <s v="S-894692"/>
    <s v="A-c62e55"/>
    <d v="2024-02-22T00:00:00"/>
    <m/>
    <x v="1"/>
    <n v="17"/>
    <n v="833"/>
    <n v="9996"/>
    <x v="0"/>
    <b v="0"/>
    <b v="0"/>
    <b v="0"/>
    <x v="0"/>
    <b v="1"/>
  </r>
  <r>
    <s v="S-2cec4e"/>
    <s v="A-76fa4d"/>
    <d v="2024-11-26T00:00:00"/>
    <m/>
    <x v="0"/>
    <n v="69"/>
    <n v="13731"/>
    <n v="164772"/>
    <x v="0"/>
    <b v="0"/>
    <b v="0"/>
    <b v="0"/>
    <x v="0"/>
    <b v="1"/>
  </r>
  <r>
    <s v="S-aede24"/>
    <s v="A-751c58"/>
    <d v="2024-09-09T00:00:00"/>
    <m/>
    <x v="0"/>
    <n v="15"/>
    <n v="2985"/>
    <n v="35820"/>
    <x v="0"/>
    <b v="1"/>
    <b v="0"/>
    <b v="0"/>
    <x v="1"/>
    <b v="1"/>
  </r>
  <r>
    <s v="S-d0af44"/>
    <s v="A-4e44e8"/>
    <d v="2024-08-23T00:00:00"/>
    <m/>
    <x v="2"/>
    <n v="20"/>
    <n v="380"/>
    <n v="4560"/>
    <x v="0"/>
    <b v="1"/>
    <b v="0"/>
    <b v="0"/>
    <x v="1"/>
    <b v="0"/>
  </r>
  <r>
    <s v="S-3e0c7b"/>
    <s v="A-cc1d8d"/>
    <d v="2024-12-16T00:00:00"/>
    <m/>
    <x v="2"/>
    <n v="84"/>
    <n v="1596"/>
    <n v="19152"/>
    <x v="0"/>
    <b v="0"/>
    <b v="0"/>
    <b v="0"/>
    <x v="1"/>
    <b v="1"/>
  </r>
  <r>
    <s v="S-3d0aa6"/>
    <s v="A-81edc3"/>
    <d v="2024-02-09T00:00:00"/>
    <m/>
    <x v="0"/>
    <n v="7"/>
    <n v="0"/>
    <n v="0"/>
    <x v="1"/>
    <b v="0"/>
    <b v="0"/>
    <b v="0"/>
    <x v="0"/>
    <b v="1"/>
  </r>
  <r>
    <s v="S-0639f1"/>
    <s v="A-3be56b"/>
    <d v="2024-05-07T00:00:00"/>
    <m/>
    <x v="2"/>
    <n v="25"/>
    <n v="0"/>
    <n v="0"/>
    <x v="1"/>
    <b v="0"/>
    <b v="0"/>
    <b v="0"/>
    <x v="1"/>
    <b v="1"/>
  </r>
  <r>
    <s v="S-907e70"/>
    <s v="A-993085"/>
    <d v="2023-08-05T00:00:00"/>
    <m/>
    <x v="2"/>
    <n v="31"/>
    <n v="589"/>
    <n v="7068"/>
    <x v="0"/>
    <b v="0"/>
    <b v="0"/>
    <b v="0"/>
    <x v="0"/>
    <b v="1"/>
  </r>
  <r>
    <s v="S-227856"/>
    <s v="A-310452"/>
    <d v="2024-12-26T00:00:00"/>
    <m/>
    <x v="1"/>
    <n v="9"/>
    <n v="441"/>
    <n v="5292"/>
    <x v="0"/>
    <b v="0"/>
    <b v="0"/>
    <b v="0"/>
    <x v="1"/>
    <b v="1"/>
  </r>
  <r>
    <s v="S-4af421"/>
    <s v="A-6c093d"/>
    <d v="2024-07-08T00:00:00"/>
    <m/>
    <x v="2"/>
    <n v="27"/>
    <n v="513"/>
    <n v="6156"/>
    <x v="0"/>
    <b v="0"/>
    <b v="0"/>
    <b v="0"/>
    <x v="0"/>
    <b v="0"/>
  </r>
  <r>
    <s v="S-f4dbc7"/>
    <s v="A-65c341"/>
    <d v="2024-09-21T00:00:00"/>
    <m/>
    <x v="1"/>
    <n v="11"/>
    <n v="539"/>
    <n v="6468"/>
    <x v="0"/>
    <b v="0"/>
    <b v="0"/>
    <b v="0"/>
    <x v="0"/>
    <b v="1"/>
  </r>
  <r>
    <s v="S-526a2c"/>
    <s v="A-9174e0"/>
    <d v="2024-12-21T00:00:00"/>
    <m/>
    <x v="1"/>
    <n v="37"/>
    <n v="1813"/>
    <n v="21756"/>
    <x v="0"/>
    <b v="0"/>
    <b v="0"/>
    <b v="0"/>
    <x v="0"/>
    <b v="1"/>
  </r>
  <r>
    <s v="S-aa5012"/>
    <s v="A-6f8ad2"/>
    <d v="2024-12-31T00:00:00"/>
    <m/>
    <x v="2"/>
    <n v="41"/>
    <n v="779"/>
    <n v="9348"/>
    <x v="0"/>
    <b v="0"/>
    <b v="0"/>
    <b v="0"/>
    <x v="1"/>
    <b v="0"/>
  </r>
  <r>
    <s v="S-551502"/>
    <s v="A-bb1486"/>
    <d v="2024-12-09T00:00:00"/>
    <m/>
    <x v="2"/>
    <n v="41"/>
    <n v="779"/>
    <n v="9348"/>
    <x v="0"/>
    <b v="0"/>
    <b v="0"/>
    <b v="0"/>
    <x v="0"/>
    <b v="0"/>
  </r>
  <r>
    <s v="S-007e2c"/>
    <s v="A-cb5333"/>
    <d v="2024-09-06T00:00:00"/>
    <m/>
    <x v="1"/>
    <n v="33"/>
    <n v="1617"/>
    <n v="19404"/>
    <x v="0"/>
    <b v="0"/>
    <b v="0"/>
    <b v="0"/>
    <x v="0"/>
    <b v="0"/>
  </r>
  <r>
    <s v="S-3e0991"/>
    <s v="A-9174e0"/>
    <d v="2024-12-07T00:00:00"/>
    <d v="2024-12-14T00:00:00"/>
    <x v="0"/>
    <n v="37"/>
    <n v="7363"/>
    <n v="88356"/>
    <x v="0"/>
    <b v="0"/>
    <b v="0"/>
    <b v="1"/>
    <x v="0"/>
    <b v="0"/>
  </r>
  <r>
    <s v="S-fe0bc0"/>
    <s v="A-692f18"/>
    <d v="2024-03-29T00:00:00"/>
    <m/>
    <x v="0"/>
    <n v="29"/>
    <n v="5771"/>
    <n v="69252"/>
    <x v="0"/>
    <b v="0"/>
    <b v="0"/>
    <b v="0"/>
    <x v="0"/>
    <b v="1"/>
  </r>
  <r>
    <s v="S-ed76ff"/>
    <s v="A-1e1b80"/>
    <d v="2024-03-28T00:00:00"/>
    <m/>
    <x v="0"/>
    <n v="50"/>
    <n v="9950"/>
    <n v="119400"/>
    <x v="0"/>
    <b v="0"/>
    <b v="0"/>
    <b v="0"/>
    <x v="0"/>
    <b v="1"/>
  </r>
  <r>
    <s v="S-c8d680"/>
    <s v="A-558c72"/>
    <d v="2024-01-16T00:00:00"/>
    <d v="2024-02-03T00:00:00"/>
    <x v="0"/>
    <n v="12"/>
    <n v="2388"/>
    <n v="28656"/>
    <x v="0"/>
    <b v="0"/>
    <b v="0"/>
    <b v="1"/>
    <x v="0"/>
    <b v="1"/>
  </r>
  <r>
    <s v="S-8b1b5a"/>
    <s v="A-592832"/>
    <d v="2024-12-17T00:00:00"/>
    <m/>
    <x v="1"/>
    <n v="18"/>
    <n v="882"/>
    <n v="10584"/>
    <x v="0"/>
    <b v="0"/>
    <b v="0"/>
    <b v="0"/>
    <x v="1"/>
    <b v="1"/>
  </r>
  <r>
    <s v="S-c0d979"/>
    <s v="A-3932db"/>
    <d v="2024-09-19T00:00:00"/>
    <m/>
    <x v="0"/>
    <n v="19"/>
    <n v="0"/>
    <n v="0"/>
    <x v="1"/>
    <b v="0"/>
    <b v="0"/>
    <b v="0"/>
    <x v="1"/>
    <b v="1"/>
  </r>
  <r>
    <s v="S-a8ae52"/>
    <s v="A-fda07f"/>
    <d v="2024-10-10T00:00:00"/>
    <m/>
    <x v="0"/>
    <n v="26"/>
    <n v="0"/>
    <n v="0"/>
    <x v="1"/>
    <b v="0"/>
    <b v="1"/>
    <b v="0"/>
    <x v="1"/>
    <b v="0"/>
  </r>
  <r>
    <s v="S-05aaef"/>
    <s v="A-883b7d"/>
    <d v="2024-08-03T00:00:00"/>
    <m/>
    <x v="1"/>
    <n v="22"/>
    <n v="0"/>
    <n v="0"/>
    <x v="1"/>
    <b v="0"/>
    <b v="0"/>
    <b v="0"/>
    <x v="1"/>
    <b v="1"/>
  </r>
  <r>
    <s v="S-a14d4b"/>
    <s v="A-8b0451"/>
    <d v="2024-10-05T00:00:00"/>
    <m/>
    <x v="1"/>
    <n v="43"/>
    <n v="2107"/>
    <n v="25284"/>
    <x v="0"/>
    <b v="0"/>
    <b v="0"/>
    <b v="0"/>
    <x v="1"/>
    <b v="0"/>
  </r>
  <r>
    <s v="S-f97537"/>
    <s v="A-0aaf6e"/>
    <d v="2024-06-16T00:00:00"/>
    <m/>
    <x v="1"/>
    <n v="37"/>
    <n v="1813"/>
    <n v="21756"/>
    <x v="0"/>
    <b v="0"/>
    <b v="0"/>
    <b v="0"/>
    <x v="0"/>
    <b v="0"/>
  </r>
  <r>
    <s v="S-d6dc7a"/>
    <s v="A-0e966d"/>
    <d v="2024-10-02T00:00:00"/>
    <m/>
    <x v="1"/>
    <n v="11"/>
    <n v="539"/>
    <n v="6468"/>
    <x v="0"/>
    <b v="0"/>
    <b v="0"/>
    <b v="0"/>
    <x v="0"/>
    <b v="0"/>
  </r>
  <r>
    <s v="S-ca6962"/>
    <s v="A-22d9d2"/>
    <d v="2024-04-01T00:00:00"/>
    <d v="2024-09-01T00:00:00"/>
    <x v="1"/>
    <n v="58"/>
    <n v="2842"/>
    <n v="34104"/>
    <x v="0"/>
    <b v="1"/>
    <b v="0"/>
    <b v="1"/>
    <x v="0"/>
    <b v="1"/>
  </r>
  <r>
    <s v="S-1f4c01"/>
    <s v="A-c42f1f"/>
    <d v="2024-11-22T00:00:00"/>
    <m/>
    <x v="1"/>
    <n v="12"/>
    <n v="588"/>
    <n v="7056"/>
    <x v="0"/>
    <b v="0"/>
    <b v="0"/>
    <b v="0"/>
    <x v="0"/>
    <b v="0"/>
  </r>
  <r>
    <s v="S-d6f7cd"/>
    <s v="A-bd4513"/>
    <d v="2024-11-14T00:00:00"/>
    <m/>
    <x v="0"/>
    <n v="50"/>
    <n v="9950"/>
    <n v="119400"/>
    <x v="0"/>
    <b v="0"/>
    <b v="0"/>
    <b v="0"/>
    <x v="1"/>
    <b v="1"/>
  </r>
  <r>
    <s v="S-c847dc"/>
    <s v="A-22f2df"/>
    <d v="2024-12-26T00:00:00"/>
    <m/>
    <x v="1"/>
    <n v="6"/>
    <n v="0"/>
    <n v="0"/>
    <x v="1"/>
    <b v="0"/>
    <b v="0"/>
    <b v="0"/>
    <x v="1"/>
    <b v="0"/>
  </r>
  <r>
    <s v="S-dbe1b3"/>
    <s v="A-40906c"/>
    <d v="2024-11-13T00:00:00"/>
    <m/>
    <x v="1"/>
    <n v="92"/>
    <n v="4508"/>
    <n v="54096"/>
    <x v="0"/>
    <b v="0"/>
    <b v="0"/>
    <b v="0"/>
    <x v="1"/>
    <b v="1"/>
  </r>
  <r>
    <s v="S-26593b"/>
    <s v="A-328bd0"/>
    <d v="2024-05-22T00:00:00"/>
    <m/>
    <x v="1"/>
    <n v="37"/>
    <n v="1813"/>
    <n v="21756"/>
    <x v="0"/>
    <b v="1"/>
    <b v="0"/>
    <b v="0"/>
    <x v="1"/>
    <b v="1"/>
  </r>
  <r>
    <s v="S-7d66fb"/>
    <s v="A-bb3bd4"/>
    <d v="2024-08-18T00:00:00"/>
    <m/>
    <x v="2"/>
    <n v="23"/>
    <n v="437"/>
    <n v="5244"/>
    <x v="0"/>
    <b v="0"/>
    <b v="0"/>
    <b v="0"/>
    <x v="0"/>
    <b v="1"/>
  </r>
  <r>
    <s v="S-4206eb"/>
    <s v="A-7df7a7"/>
    <d v="2023-09-07T00:00:00"/>
    <m/>
    <x v="0"/>
    <n v="13"/>
    <n v="2587"/>
    <n v="31044"/>
    <x v="0"/>
    <b v="0"/>
    <b v="0"/>
    <b v="0"/>
    <x v="0"/>
    <b v="1"/>
  </r>
  <r>
    <s v="S-b998a9"/>
    <s v="A-fce879"/>
    <d v="2024-10-18T00:00:00"/>
    <m/>
    <x v="0"/>
    <n v="10"/>
    <n v="1990"/>
    <n v="23880"/>
    <x v="0"/>
    <b v="0"/>
    <b v="0"/>
    <b v="0"/>
    <x v="1"/>
    <b v="1"/>
  </r>
  <r>
    <s v="S-040f03"/>
    <s v="A-31ab9a"/>
    <d v="2024-10-26T00:00:00"/>
    <m/>
    <x v="0"/>
    <n v="14"/>
    <n v="2786"/>
    <n v="33432"/>
    <x v="0"/>
    <b v="0"/>
    <b v="0"/>
    <b v="0"/>
    <x v="1"/>
    <b v="1"/>
  </r>
  <r>
    <s v="S-440dde"/>
    <s v="A-8e47ca"/>
    <d v="2024-07-21T00:00:00"/>
    <m/>
    <x v="2"/>
    <n v="19"/>
    <n v="361"/>
    <n v="4332"/>
    <x v="0"/>
    <b v="0"/>
    <b v="0"/>
    <b v="0"/>
    <x v="1"/>
    <b v="1"/>
  </r>
  <r>
    <s v="S-9a85ab"/>
    <s v="A-a8b49c"/>
    <d v="2024-06-02T00:00:00"/>
    <m/>
    <x v="2"/>
    <n v="30"/>
    <n v="570"/>
    <n v="6840"/>
    <x v="0"/>
    <b v="0"/>
    <b v="0"/>
    <b v="0"/>
    <x v="1"/>
    <b v="1"/>
  </r>
  <r>
    <s v="S-778c7e"/>
    <s v="A-544d0a"/>
    <d v="2024-12-19T00:00:00"/>
    <m/>
    <x v="0"/>
    <n v="2"/>
    <n v="398"/>
    <n v="4776"/>
    <x v="0"/>
    <b v="1"/>
    <b v="0"/>
    <b v="0"/>
    <x v="1"/>
    <b v="0"/>
  </r>
  <r>
    <s v="S-138c41"/>
    <s v="A-00cac8"/>
    <d v="2023-12-26T00:00:00"/>
    <m/>
    <x v="2"/>
    <n v="19"/>
    <n v="361"/>
    <n v="4332"/>
    <x v="0"/>
    <b v="0"/>
    <b v="0"/>
    <b v="0"/>
    <x v="1"/>
    <b v="1"/>
  </r>
  <r>
    <s v="S-109e0c"/>
    <s v="A-f51f16"/>
    <d v="2024-03-14T00:00:00"/>
    <m/>
    <x v="0"/>
    <n v="10"/>
    <n v="1990"/>
    <n v="23880"/>
    <x v="0"/>
    <b v="1"/>
    <b v="0"/>
    <b v="0"/>
    <x v="1"/>
    <b v="1"/>
  </r>
  <r>
    <s v="S-8e5be7"/>
    <s v="A-5ed98d"/>
    <d v="2024-11-01T00:00:00"/>
    <m/>
    <x v="1"/>
    <n v="24"/>
    <n v="1176"/>
    <n v="14112"/>
    <x v="0"/>
    <b v="0"/>
    <b v="0"/>
    <b v="0"/>
    <x v="0"/>
    <b v="1"/>
  </r>
  <r>
    <s v="S-497428"/>
    <s v="A-cc8c8f"/>
    <d v="2024-10-07T00:00:00"/>
    <m/>
    <x v="2"/>
    <n v="23"/>
    <n v="437"/>
    <n v="5244"/>
    <x v="0"/>
    <b v="0"/>
    <b v="0"/>
    <b v="0"/>
    <x v="0"/>
    <b v="1"/>
  </r>
  <r>
    <s v="S-846d41"/>
    <s v="A-1986ca"/>
    <d v="2024-09-02T00:00:00"/>
    <m/>
    <x v="0"/>
    <n v="28"/>
    <n v="5572"/>
    <n v="66864"/>
    <x v="0"/>
    <b v="0"/>
    <b v="0"/>
    <b v="0"/>
    <x v="0"/>
    <b v="1"/>
  </r>
  <r>
    <s v="S-9def16"/>
    <s v="A-c16101"/>
    <d v="2024-12-10T00:00:00"/>
    <m/>
    <x v="0"/>
    <n v="22"/>
    <n v="4378"/>
    <n v="52536"/>
    <x v="0"/>
    <b v="0"/>
    <b v="0"/>
    <b v="0"/>
    <x v="0"/>
    <b v="1"/>
  </r>
  <r>
    <s v="S-807f28"/>
    <s v="A-86fc1d"/>
    <d v="2024-11-05T00:00:00"/>
    <m/>
    <x v="0"/>
    <n v="26"/>
    <n v="5174"/>
    <n v="62088"/>
    <x v="0"/>
    <b v="0"/>
    <b v="0"/>
    <b v="0"/>
    <x v="0"/>
    <b v="0"/>
  </r>
  <r>
    <s v="S-056775"/>
    <s v="A-ee42db"/>
    <d v="2024-06-19T00:00:00"/>
    <m/>
    <x v="1"/>
    <n v="115"/>
    <n v="5635"/>
    <n v="67620"/>
    <x v="0"/>
    <b v="1"/>
    <b v="0"/>
    <b v="0"/>
    <x v="1"/>
    <b v="1"/>
  </r>
  <r>
    <s v="S-39c024"/>
    <s v="A-7df7a7"/>
    <d v="2023-06-10T00:00:00"/>
    <m/>
    <x v="1"/>
    <n v="29"/>
    <n v="0"/>
    <n v="0"/>
    <x v="1"/>
    <b v="0"/>
    <b v="0"/>
    <b v="0"/>
    <x v="1"/>
    <b v="1"/>
  </r>
  <r>
    <s v="S-9e450b"/>
    <s v="A-89ee83"/>
    <d v="2024-12-21T00:00:00"/>
    <d v="2024-12-31T00:00:00"/>
    <x v="0"/>
    <n v="23"/>
    <n v="4577"/>
    <n v="54924"/>
    <x v="0"/>
    <b v="0"/>
    <b v="0"/>
    <b v="1"/>
    <x v="0"/>
    <b v="1"/>
  </r>
  <r>
    <s v="S-e66964"/>
    <s v="A-e6afc1"/>
    <d v="2023-06-03T00:00:00"/>
    <m/>
    <x v="2"/>
    <n v="51"/>
    <n v="969"/>
    <n v="11628"/>
    <x v="0"/>
    <b v="0"/>
    <b v="0"/>
    <b v="0"/>
    <x v="0"/>
    <b v="0"/>
  </r>
  <r>
    <s v="S-5a500d"/>
    <s v="A-592832"/>
    <d v="2024-09-26T00:00:00"/>
    <m/>
    <x v="2"/>
    <n v="30"/>
    <n v="0"/>
    <n v="0"/>
    <x v="1"/>
    <b v="0"/>
    <b v="0"/>
    <b v="0"/>
    <x v="1"/>
    <b v="1"/>
  </r>
  <r>
    <s v="S-62fe77"/>
    <s v="A-34ea2f"/>
    <d v="2024-09-07T00:00:00"/>
    <m/>
    <x v="1"/>
    <n v="23"/>
    <n v="1127"/>
    <n v="13524"/>
    <x v="0"/>
    <b v="0"/>
    <b v="0"/>
    <b v="0"/>
    <x v="1"/>
    <b v="1"/>
  </r>
  <r>
    <s v="S-3eb9c8"/>
    <s v="A-69fad4"/>
    <d v="2023-09-07T00:00:00"/>
    <d v="2024-02-11T00:00:00"/>
    <x v="2"/>
    <n v="35"/>
    <n v="665"/>
    <n v="7980"/>
    <x v="0"/>
    <b v="0"/>
    <b v="0"/>
    <b v="1"/>
    <x v="0"/>
    <b v="1"/>
  </r>
  <r>
    <s v="S-6fa3a3"/>
    <s v="A-139c3b"/>
    <d v="2024-12-30T00:00:00"/>
    <m/>
    <x v="1"/>
    <n v="10"/>
    <n v="490"/>
    <n v="5880"/>
    <x v="0"/>
    <b v="0"/>
    <b v="0"/>
    <b v="0"/>
    <x v="1"/>
    <b v="1"/>
  </r>
  <r>
    <s v="S-8e5d9f"/>
    <s v="A-922109"/>
    <d v="2024-07-17T00:00:00"/>
    <m/>
    <x v="0"/>
    <n v="41"/>
    <n v="8159"/>
    <n v="97908"/>
    <x v="0"/>
    <b v="0"/>
    <b v="0"/>
    <b v="0"/>
    <x v="0"/>
    <b v="1"/>
  </r>
  <r>
    <s v="S-012ab9"/>
    <s v="A-b78bf8"/>
    <d v="2024-12-04T00:00:00"/>
    <m/>
    <x v="2"/>
    <n v="33"/>
    <n v="627"/>
    <n v="7524"/>
    <x v="0"/>
    <b v="0"/>
    <b v="0"/>
    <b v="0"/>
    <x v="0"/>
    <b v="1"/>
  </r>
  <r>
    <s v="S-b12284"/>
    <s v="A-0158bb"/>
    <d v="2024-06-29T00:00:00"/>
    <m/>
    <x v="2"/>
    <n v="9"/>
    <n v="171"/>
    <n v="2052"/>
    <x v="0"/>
    <b v="0"/>
    <b v="0"/>
    <b v="0"/>
    <x v="1"/>
    <b v="0"/>
  </r>
  <r>
    <s v="S-ae355b"/>
    <s v="A-378b99"/>
    <d v="2024-11-08T00:00:00"/>
    <m/>
    <x v="0"/>
    <n v="9"/>
    <n v="1791"/>
    <n v="21492"/>
    <x v="0"/>
    <b v="0"/>
    <b v="0"/>
    <b v="0"/>
    <x v="1"/>
    <b v="1"/>
  </r>
  <r>
    <s v="S-90432a"/>
    <s v="A-fe79a5"/>
    <d v="2024-12-04T00:00:00"/>
    <d v="2024-12-24T00:00:00"/>
    <x v="0"/>
    <n v="9"/>
    <n v="1791"/>
    <n v="21492"/>
    <x v="0"/>
    <b v="0"/>
    <b v="0"/>
    <b v="1"/>
    <x v="1"/>
    <b v="0"/>
  </r>
  <r>
    <s v="S-e04d93"/>
    <s v="A-5a215a"/>
    <d v="2024-05-27T00:00:00"/>
    <d v="2024-12-30T00:00:00"/>
    <x v="0"/>
    <n v="87"/>
    <n v="17313"/>
    <n v="207756"/>
    <x v="0"/>
    <b v="0"/>
    <b v="0"/>
    <b v="1"/>
    <x v="0"/>
    <b v="1"/>
  </r>
  <r>
    <s v="S-0f569f"/>
    <s v="A-781cc0"/>
    <d v="2024-09-18T00:00:00"/>
    <m/>
    <x v="0"/>
    <n v="12"/>
    <n v="2388"/>
    <n v="28656"/>
    <x v="0"/>
    <b v="0"/>
    <b v="0"/>
    <b v="0"/>
    <x v="0"/>
    <b v="1"/>
  </r>
  <r>
    <s v="S-6d6bde"/>
    <s v="A-068fc6"/>
    <d v="2024-10-14T00:00:00"/>
    <m/>
    <x v="2"/>
    <n v="35"/>
    <n v="665"/>
    <n v="7980"/>
    <x v="0"/>
    <b v="0"/>
    <b v="0"/>
    <b v="0"/>
    <x v="0"/>
    <b v="1"/>
  </r>
  <r>
    <s v="S-0cbce0"/>
    <s v="A-5b4ebb"/>
    <d v="2024-10-15T00:00:00"/>
    <m/>
    <x v="1"/>
    <n v="26"/>
    <n v="1274"/>
    <n v="15288"/>
    <x v="0"/>
    <b v="1"/>
    <b v="0"/>
    <b v="0"/>
    <x v="1"/>
    <b v="1"/>
  </r>
  <r>
    <s v="S-93cf65"/>
    <s v="A-ff3c73"/>
    <d v="2023-07-19T00:00:00"/>
    <m/>
    <x v="2"/>
    <n v="21"/>
    <n v="0"/>
    <n v="0"/>
    <x v="1"/>
    <b v="0"/>
    <b v="0"/>
    <b v="0"/>
    <x v="1"/>
    <b v="1"/>
  </r>
  <r>
    <s v="S-c3aa52"/>
    <s v="A-19b2c8"/>
    <d v="2024-08-30T00:00:00"/>
    <m/>
    <x v="0"/>
    <n v="20"/>
    <n v="0"/>
    <n v="0"/>
    <x v="1"/>
    <b v="1"/>
    <b v="0"/>
    <b v="0"/>
    <x v="0"/>
    <b v="0"/>
  </r>
  <r>
    <s v="S-68dca1"/>
    <s v="A-4ae22a"/>
    <d v="2024-12-23T00:00:00"/>
    <m/>
    <x v="2"/>
    <n v="28"/>
    <n v="532"/>
    <n v="6384"/>
    <x v="0"/>
    <b v="0"/>
    <b v="0"/>
    <b v="0"/>
    <x v="1"/>
    <b v="1"/>
  </r>
  <r>
    <s v="S-a97ab5"/>
    <s v="A-e1b9cd"/>
    <d v="2024-09-28T00:00:00"/>
    <m/>
    <x v="1"/>
    <n v="40"/>
    <n v="0"/>
    <n v="0"/>
    <x v="1"/>
    <b v="0"/>
    <b v="0"/>
    <b v="0"/>
    <x v="1"/>
    <b v="0"/>
  </r>
  <r>
    <s v="S-c68e80"/>
    <s v="A-2bc93d"/>
    <d v="2024-03-26T00:00:00"/>
    <m/>
    <x v="2"/>
    <n v="95"/>
    <n v="1805"/>
    <n v="21660"/>
    <x v="0"/>
    <b v="0"/>
    <b v="0"/>
    <b v="0"/>
    <x v="0"/>
    <b v="1"/>
  </r>
  <r>
    <s v="S-0c9fdd"/>
    <s v="A-5b4ebb"/>
    <d v="2024-12-16T00:00:00"/>
    <m/>
    <x v="1"/>
    <n v="30"/>
    <n v="1470"/>
    <n v="17640"/>
    <x v="0"/>
    <b v="0"/>
    <b v="0"/>
    <b v="0"/>
    <x v="1"/>
    <b v="1"/>
  </r>
  <r>
    <s v="S-d64a4e"/>
    <s v="A-cc98bc"/>
    <d v="2023-10-24T00:00:00"/>
    <m/>
    <x v="2"/>
    <n v="32"/>
    <n v="608"/>
    <n v="7296"/>
    <x v="0"/>
    <b v="0"/>
    <b v="0"/>
    <b v="0"/>
    <x v="0"/>
    <b v="1"/>
  </r>
  <r>
    <s v="S-efcb1e"/>
    <s v="A-118f1c"/>
    <d v="2024-12-10T00:00:00"/>
    <m/>
    <x v="1"/>
    <n v="32"/>
    <n v="0"/>
    <n v="0"/>
    <x v="1"/>
    <b v="0"/>
    <b v="0"/>
    <b v="0"/>
    <x v="1"/>
    <b v="1"/>
  </r>
  <r>
    <s v="S-3909f9"/>
    <s v="A-d4ac0e"/>
    <d v="2024-06-01T00:00:00"/>
    <m/>
    <x v="1"/>
    <n v="18"/>
    <n v="882"/>
    <n v="10584"/>
    <x v="0"/>
    <b v="0"/>
    <b v="0"/>
    <b v="0"/>
    <x v="1"/>
    <b v="0"/>
  </r>
  <r>
    <s v="S-ab476e"/>
    <s v="A-7dacce"/>
    <d v="2024-11-28T00:00:00"/>
    <m/>
    <x v="0"/>
    <n v="67"/>
    <n v="13333"/>
    <n v="159996"/>
    <x v="0"/>
    <b v="0"/>
    <b v="0"/>
    <b v="0"/>
    <x v="1"/>
    <b v="1"/>
  </r>
  <r>
    <s v="S-f5fcc9"/>
    <s v="A-40a557"/>
    <d v="2024-06-06T00:00:00"/>
    <m/>
    <x v="1"/>
    <n v="16"/>
    <n v="784"/>
    <n v="9408"/>
    <x v="0"/>
    <b v="0"/>
    <b v="0"/>
    <b v="0"/>
    <x v="0"/>
    <b v="1"/>
  </r>
  <r>
    <s v="S-804a70"/>
    <s v="A-4ef964"/>
    <d v="2024-07-28T00:00:00"/>
    <m/>
    <x v="0"/>
    <n v="17"/>
    <n v="3383"/>
    <n v="40596"/>
    <x v="0"/>
    <b v="0"/>
    <b v="0"/>
    <b v="0"/>
    <x v="0"/>
    <b v="1"/>
  </r>
  <r>
    <s v="S-834a48"/>
    <s v="A-86cdb4"/>
    <d v="2024-11-01T00:00:00"/>
    <m/>
    <x v="2"/>
    <n v="4"/>
    <n v="0"/>
    <n v="0"/>
    <x v="1"/>
    <b v="0"/>
    <b v="0"/>
    <b v="0"/>
    <x v="0"/>
    <b v="1"/>
  </r>
  <r>
    <s v="S-f6f308"/>
    <s v="A-3793ee"/>
    <d v="2023-11-20T00:00:00"/>
    <m/>
    <x v="0"/>
    <n v="49"/>
    <n v="0"/>
    <n v="0"/>
    <x v="1"/>
    <b v="1"/>
    <b v="0"/>
    <b v="0"/>
    <x v="1"/>
    <b v="1"/>
  </r>
  <r>
    <s v="S-06fb77"/>
    <s v="A-96e141"/>
    <d v="2024-03-28T00:00:00"/>
    <m/>
    <x v="1"/>
    <n v="22"/>
    <n v="1078"/>
    <n v="12936"/>
    <x v="0"/>
    <b v="0"/>
    <b v="0"/>
    <b v="0"/>
    <x v="1"/>
    <b v="1"/>
  </r>
  <r>
    <s v="S-5df64f"/>
    <s v="A-684255"/>
    <d v="2024-08-31T00:00:00"/>
    <m/>
    <x v="0"/>
    <n v="14"/>
    <n v="2786"/>
    <n v="33432"/>
    <x v="0"/>
    <b v="0"/>
    <b v="0"/>
    <b v="0"/>
    <x v="1"/>
    <b v="1"/>
  </r>
  <r>
    <s v="S-cf12f4"/>
    <s v="A-4814a3"/>
    <d v="2024-09-27T00:00:00"/>
    <m/>
    <x v="1"/>
    <n v="87"/>
    <n v="4263"/>
    <n v="51156"/>
    <x v="0"/>
    <b v="1"/>
    <b v="0"/>
    <b v="0"/>
    <x v="0"/>
    <b v="1"/>
  </r>
  <r>
    <s v="S-ee30bb"/>
    <s v="A-526d93"/>
    <d v="2024-04-19T00:00:00"/>
    <m/>
    <x v="0"/>
    <n v="43"/>
    <n v="8557"/>
    <n v="102684"/>
    <x v="0"/>
    <b v="1"/>
    <b v="0"/>
    <b v="0"/>
    <x v="0"/>
    <b v="0"/>
  </r>
  <r>
    <s v="S-ff93b5"/>
    <s v="A-ba6516"/>
    <d v="2024-05-10T00:00:00"/>
    <m/>
    <x v="2"/>
    <n v="27"/>
    <n v="0"/>
    <n v="0"/>
    <x v="1"/>
    <b v="0"/>
    <b v="0"/>
    <b v="0"/>
    <x v="1"/>
    <b v="1"/>
  </r>
  <r>
    <s v="S-2db458"/>
    <s v="A-53f4e3"/>
    <d v="2024-09-21T00:00:00"/>
    <m/>
    <x v="2"/>
    <n v="22"/>
    <n v="418"/>
    <n v="5016"/>
    <x v="0"/>
    <b v="0"/>
    <b v="0"/>
    <b v="0"/>
    <x v="1"/>
    <b v="1"/>
  </r>
  <r>
    <s v="S-e505f2"/>
    <s v="A-bb2f49"/>
    <d v="2024-06-15T00:00:00"/>
    <m/>
    <x v="1"/>
    <n v="35"/>
    <n v="1715"/>
    <n v="20580"/>
    <x v="0"/>
    <b v="0"/>
    <b v="0"/>
    <b v="0"/>
    <x v="1"/>
    <b v="1"/>
  </r>
  <r>
    <s v="S-fcbe5a"/>
    <s v="A-e19ff6"/>
    <d v="2024-10-04T00:00:00"/>
    <m/>
    <x v="1"/>
    <n v="40"/>
    <n v="1960"/>
    <n v="23520"/>
    <x v="0"/>
    <b v="1"/>
    <b v="0"/>
    <b v="0"/>
    <x v="1"/>
    <b v="1"/>
  </r>
  <r>
    <s v="S-d49a8f"/>
    <s v="A-f92792"/>
    <d v="2024-09-30T00:00:00"/>
    <m/>
    <x v="0"/>
    <n v="24"/>
    <n v="4776"/>
    <n v="57312"/>
    <x v="0"/>
    <b v="0"/>
    <b v="0"/>
    <b v="0"/>
    <x v="1"/>
    <b v="1"/>
  </r>
  <r>
    <s v="S-b120fb"/>
    <s v="A-f51f16"/>
    <d v="2024-04-01T00:00:00"/>
    <d v="2024-08-23T00:00:00"/>
    <x v="1"/>
    <n v="1"/>
    <n v="49"/>
    <n v="588"/>
    <x v="0"/>
    <b v="0"/>
    <b v="0"/>
    <b v="1"/>
    <x v="1"/>
    <b v="0"/>
  </r>
  <r>
    <s v="S-6c7bd8"/>
    <s v="A-7f8241"/>
    <d v="2024-06-16T00:00:00"/>
    <m/>
    <x v="0"/>
    <n v="36"/>
    <n v="7164"/>
    <n v="85968"/>
    <x v="0"/>
    <b v="0"/>
    <b v="0"/>
    <b v="0"/>
    <x v="0"/>
    <b v="1"/>
  </r>
  <r>
    <s v="S-ca321d"/>
    <s v="A-7920cc"/>
    <d v="2024-10-29T00:00:00"/>
    <m/>
    <x v="1"/>
    <n v="39"/>
    <n v="1911"/>
    <n v="22932"/>
    <x v="0"/>
    <b v="0"/>
    <b v="0"/>
    <b v="0"/>
    <x v="0"/>
    <b v="1"/>
  </r>
  <r>
    <s v="S-7cd9fa"/>
    <s v="A-d40bf7"/>
    <d v="2024-12-29T00:00:00"/>
    <m/>
    <x v="2"/>
    <n v="59"/>
    <n v="1121"/>
    <n v="13452"/>
    <x v="0"/>
    <b v="0"/>
    <b v="0"/>
    <b v="0"/>
    <x v="0"/>
    <b v="1"/>
  </r>
  <r>
    <s v="S-2a53d5"/>
    <s v="A-5a184f"/>
    <d v="2023-09-03T00:00:00"/>
    <m/>
    <x v="2"/>
    <n v="74"/>
    <n v="1406"/>
    <n v="16872"/>
    <x v="0"/>
    <b v="0"/>
    <b v="0"/>
    <b v="0"/>
    <x v="1"/>
    <b v="1"/>
  </r>
  <r>
    <s v="S-101324"/>
    <s v="A-8145a0"/>
    <d v="2023-09-29T00:00:00"/>
    <m/>
    <x v="0"/>
    <n v="24"/>
    <n v="4776"/>
    <n v="57312"/>
    <x v="0"/>
    <b v="0"/>
    <b v="0"/>
    <b v="0"/>
    <x v="0"/>
    <b v="1"/>
  </r>
  <r>
    <s v="S-307a21"/>
    <s v="A-940b8b"/>
    <d v="2024-05-02T00:00:00"/>
    <m/>
    <x v="2"/>
    <n v="56"/>
    <n v="1064"/>
    <n v="12768"/>
    <x v="0"/>
    <b v="0"/>
    <b v="0"/>
    <b v="0"/>
    <x v="0"/>
    <b v="0"/>
  </r>
  <r>
    <s v="S-f30081"/>
    <s v="A-cb5333"/>
    <d v="2024-04-01T00:00:00"/>
    <m/>
    <x v="0"/>
    <n v="33"/>
    <n v="6567"/>
    <n v="78804"/>
    <x v="0"/>
    <b v="0"/>
    <b v="0"/>
    <b v="0"/>
    <x v="1"/>
    <b v="1"/>
  </r>
  <r>
    <s v="S-d3e724"/>
    <s v="A-dec005"/>
    <d v="2024-08-24T00:00:00"/>
    <m/>
    <x v="2"/>
    <n v="26"/>
    <n v="494"/>
    <n v="5928"/>
    <x v="0"/>
    <b v="0"/>
    <b v="0"/>
    <b v="0"/>
    <x v="0"/>
    <b v="1"/>
  </r>
  <r>
    <s v="S-713e06"/>
    <s v="A-4e631b"/>
    <d v="2024-11-06T00:00:00"/>
    <m/>
    <x v="0"/>
    <n v="26"/>
    <n v="5174"/>
    <n v="62088"/>
    <x v="0"/>
    <b v="0"/>
    <b v="0"/>
    <b v="0"/>
    <x v="1"/>
    <b v="1"/>
  </r>
  <r>
    <s v="S-e977e4"/>
    <s v="A-80eeb6"/>
    <d v="2023-08-25T00:00:00"/>
    <m/>
    <x v="0"/>
    <n v="22"/>
    <n v="4378"/>
    <n v="52536"/>
    <x v="0"/>
    <b v="1"/>
    <b v="0"/>
    <b v="0"/>
    <x v="0"/>
    <b v="1"/>
  </r>
  <r>
    <s v="S-9464f8"/>
    <s v="A-eb7fac"/>
    <d v="2024-10-22T00:00:00"/>
    <m/>
    <x v="2"/>
    <n v="26"/>
    <n v="494"/>
    <n v="5928"/>
    <x v="0"/>
    <b v="0"/>
    <b v="0"/>
    <b v="0"/>
    <x v="0"/>
    <b v="1"/>
  </r>
  <r>
    <s v="S-3473af"/>
    <s v="A-d77f4c"/>
    <d v="2024-10-10T00:00:00"/>
    <m/>
    <x v="2"/>
    <n v="8"/>
    <n v="152"/>
    <n v="1824"/>
    <x v="0"/>
    <b v="1"/>
    <b v="0"/>
    <b v="0"/>
    <x v="0"/>
    <b v="1"/>
  </r>
  <r>
    <s v="S-2565f0"/>
    <s v="A-6a4e2d"/>
    <d v="2023-07-09T00:00:00"/>
    <m/>
    <x v="2"/>
    <n v="54"/>
    <n v="1026"/>
    <n v="12312"/>
    <x v="0"/>
    <b v="0"/>
    <b v="0"/>
    <b v="0"/>
    <x v="1"/>
    <b v="0"/>
  </r>
  <r>
    <s v="S-769f70"/>
    <s v="A-016043"/>
    <d v="2024-09-28T00:00:00"/>
    <m/>
    <x v="2"/>
    <n v="13"/>
    <n v="247"/>
    <n v="2964"/>
    <x v="0"/>
    <b v="0"/>
    <b v="0"/>
    <b v="0"/>
    <x v="0"/>
    <b v="1"/>
  </r>
  <r>
    <s v="S-d48577"/>
    <s v="A-7cfe77"/>
    <d v="2024-07-30T00:00:00"/>
    <m/>
    <x v="1"/>
    <n v="69"/>
    <n v="3381"/>
    <n v="40572"/>
    <x v="0"/>
    <b v="0"/>
    <b v="1"/>
    <b v="0"/>
    <x v="1"/>
    <b v="1"/>
  </r>
  <r>
    <s v="S-703faf"/>
    <s v="A-b7724f"/>
    <d v="2024-09-20T00:00:00"/>
    <d v="2024-11-19T00:00:00"/>
    <x v="2"/>
    <n v="10"/>
    <n v="190"/>
    <n v="2280"/>
    <x v="0"/>
    <b v="0"/>
    <b v="0"/>
    <b v="1"/>
    <x v="0"/>
    <b v="0"/>
  </r>
  <r>
    <s v="S-a3dc1e"/>
    <s v="A-5c9849"/>
    <d v="2024-12-04T00:00:00"/>
    <m/>
    <x v="0"/>
    <n v="19"/>
    <n v="0"/>
    <n v="0"/>
    <x v="1"/>
    <b v="1"/>
    <b v="0"/>
    <b v="0"/>
    <x v="0"/>
    <b v="1"/>
  </r>
  <r>
    <s v="S-ac1f01"/>
    <s v="A-e693b6"/>
    <d v="2024-03-14T00:00:00"/>
    <m/>
    <x v="0"/>
    <n v="55"/>
    <n v="10945"/>
    <n v="131340"/>
    <x v="0"/>
    <b v="0"/>
    <b v="0"/>
    <b v="0"/>
    <x v="0"/>
    <b v="1"/>
  </r>
  <r>
    <s v="S-e6ce29"/>
    <s v="A-76fa4d"/>
    <d v="2024-12-05T00:00:00"/>
    <m/>
    <x v="0"/>
    <n v="69"/>
    <n v="13731"/>
    <n v="164772"/>
    <x v="0"/>
    <b v="0"/>
    <b v="0"/>
    <b v="0"/>
    <x v="0"/>
    <b v="0"/>
  </r>
  <r>
    <s v="S-00866d"/>
    <s v="A-05f0e5"/>
    <d v="2023-10-31T00:00:00"/>
    <m/>
    <x v="2"/>
    <n v="32"/>
    <n v="608"/>
    <n v="7296"/>
    <x v="0"/>
    <b v="0"/>
    <b v="0"/>
    <b v="0"/>
    <x v="1"/>
    <b v="1"/>
  </r>
  <r>
    <s v="S-b7c825"/>
    <s v="A-9174e0"/>
    <d v="2024-12-21T00:00:00"/>
    <m/>
    <x v="0"/>
    <n v="68"/>
    <n v="0"/>
    <n v="0"/>
    <x v="1"/>
    <b v="0"/>
    <b v="0"/>
    <b v="0"/>
    <x v="0"/>
    <b v="0"/>
  </r>
  <r>
    <s v="S-22c99d"/>
    <s v="A-5a215a"/>
    <d v="2024-03-08T00:00:00"/>
    <m/>
    <x v="0"/>
    <n v="87"/>
    <n v="0"/>
    <n v="0"/>
    <x v="1"/>
    <b v="0"/>
    <b v="0"/>
    <b v="0"/>
    <x v="0"/>
    <b v="1"/>
  </r>
  <r>
    <s v="S-329db8"/>
    <s v="A-8b25f2"/>
    <d v="2024-05-22T00:00:00"/>
    <m/>
    <x v="1"/>
    <n v="12"/>
    <n v="588"/>
    <n v="7056"/>
    <x v="0"/>
    <b v="0"/>
    <b v="0"/>
    <b v="0"/>
    <x v="0"/>
    <b v="1"/>
  </r>
  <r>
    <s v="S-5fe191"/>
    <s v="A-c43359"/>
    <d v="2024-12-11T00:00:00"/>
    <m/>
    <x v="0"/>
    <n v="38"/>
    <n v="7562"/>
    <n v="90744"/>
    <x v="0"/>
    <b v="1"/>
    <b v="0"/>
    <b v="0"/>
    <x v="1"/>
    <b v="1"/>
  </r>
  <r>
    <s v="S-c19e74"/>
    <s v="A-ffc04f"/>
    <d v="2024-09-19T00:00:00"/>
    <m/>
    <x v="0"/>
    <n v="13"/>
    <n v="0"/>
    <n v="0"/>
    <x v="1"/>
    <b v="0"/>
    <b v="0"/>
    <b v="0"/>
    <x v="1"/>
    <b v="1"/>
  </r>
  <r>
    <s v="S-0e526f"/>
    <s v="A-e83938"/>
    <d v="2024-06-26T00:00:00"/>
    <m/>
    <x v="1"/>
    <n v="5"/>
    <n v="245"/>
    <n v="2940"/>
    <x v="0"/>
    <b v="0"/>
    <b v="0"/>
    <b v="0"/>
    <x v="1"/>
    <b v="1"/>
  </r>
  <r>
    <s v="S-beff12"/>
    <s v="A-f44180"/>
    <d v="2023-10-17T00:00:00"/>
    <m/>
    <x v="0"/>
    <n v="9"/>
    <n v="1791"/>
    <n v="21492"/>
    <x v="0"/>
    <b v="0"/>
    <b v="0"/>
    <b v="0"/>
    <x v="0"/>
    <b v="1"/>
  </r>
  <r>
    <s v="S-f9b4d8"/>
    <s v="A-6843f2"/>
    <d v="2024-12-31T00:00:00"/>
    <m/>
    <x v="1"/>
    <n v="21"/>
    <n v="1029"/>
    <n v="12348"/>
    <x v="0"/>
    <b v="0"/>
    <b v="0"/>
    <b v="0"/>
    <x v="1"/>
    <b v="1"/>
  </r>
  <r>
    <s v="S-d76bd0"/>
    <s v="A-7f29a7"/>
    <d v="2024-10-08T00:00:00"/>
    <d v="2024-10-15T00:00:00"/>
    <x v="2"/>
    <n v="41"/>
    <n v="779"/>
    <n v="9348"/>
    <x v="0"/>
    <b v="0"/>
    <b v="0"/>
    <b v="1"/>
    <x v="0"/>
    <b v="0"/>
  </r>
  <r>
    <s v="S-edf4e0"/>
    <s v="A-dbc825"/>
    <d v="2024-07-01T00:00:00"/>
    <m/>
    <x v="0"/>
    <n v="22"/>
    <n v="4378"/>
    <n v="52536"/>
    <x v="0"/>
    <b v="0"/>
    <b v="0"/>
    <b v="0"/>
    <x v="0"/>
    <b v="1"/>
  </r>
  <r>
    <s v="S-326691"/>
    <s v="A-e40f45"/>
    <d v="2024-11-24T00:00:00"/>
    <d v="2024-12-22T00:00:00"/>
    <x v="2"/>
    <n v="21"/>
    <n v="399"/>
    <n v="4788"/>
    <x v="0"/>
    <b v="0"/>
    <b v="0"/>
    <b v="1"/>
    <x v="0"/>
    <b v="0"/>
  </r>
  <r>
    <s v="S-e7a190"/>
    <s v="A-0a62f5"/>
    <d v="2024-12-06T00:00:00"/>
    <m/>
    <x v="2"/>
    <n v="22"/>
    <n v="418"/>
    <n v="5016"/>
    <x v="0"/>
    <b v="0"/>
    <b v="0"/>
    <b v="0"/>
    <x v="1"/>
    <b v="1"/>
  </r>
  <r>
    <s v="S-f73a84"/>
    <s v="A-2edab2"/>
    <d v="2024-12-15T00:00:00"/>
    <m/>
    <x v="1"/>
    <n v="17"/>
    <n v="833"/>
    <n v="9996"/>
    <x v="0"/>
    <b v="0"/>
    <b v="0"/>
    <b v="0"/>
    <x v="0"/>
    <b v="1"/>
  </r>
  <r>
    <s v="S-ba67a5"/>
    <s v="A-fce879"/>
    <d v="2024-10-27T00:00:00"/>
    <m/>
    <x v="0"/>
    <n v="19"/>
    <n v="3781"/>
    <n v="45372"/>
    <x v="0"/>
    <b v="0"/>
    <b v="0"/>
    <b v="0"/>
    <x v="1"/>
    <b v="1"/>
  </r>
  <r>
    <s v="S-5272ff"/>
    <s v="A-fda07f"/>
    <d v="2024-11-10T00:00:00"/>
    <m/>
    <x v="0"/>
    <n v="69"/>
    <n v="13731"/>
    <n v="164772"/>
    <x v="0"/>
    <b v="0"/>
    <b v="0"/>
    <b v="0"/>
    <x v="1"/>
    <b v="1"/>
  </r>
  <r>
    <s v="S-d407d0"/>
    <s v="A-b9eed8"/>
    <d v="2024-11-04T00:00:00"/>
    <m/>
    <x v="1"/>
    <n v="11"/>
    <n v="539"/>
    <n v="6468"/>
    <x v="0"/>
    <b v="0"/>
    <b v="0"/>
    <b v="0"/>
    <x v="1"/>
    <b v="1"/>
  </r>
  <r>
    <s v="S-54d8cf"/>
    <s v="A-2f6a32"/>
    <d v="2024-10-13T00:00:00"/>
    <m/>
    <x v="2"/>
    <n v="19"/>
    <n v="361"/>
    <n v="4332"/>
    <x v="0"/>
    <b v="0"/>
    <b v="0"/>
    <b v="0"/>
    <x v="0"/>
    <b v="1"/>
  </r>
  <r>
    <s v="S-bdf7c2"/>
    <s v="A-c42f1f"/>
    <d v="2024-10-26T00:00:00"/>
    <d v="2024-12-24T00:00:00"/>
    <x v="1"/>
    <n v="11"/>
    <n v="539"/>
    <n v="6468"/>
    <x v="0"/>
    <b v="0"/>
    <b v="1"/>
    <b v="1"/>
    <x v="1"/>
    <b v="1"/>
  </r>
  <r>
    <s v="S-e9257d"/>
    <s v="A-5b1bcd"/>
    <d v="2024-12-31T00:00:00"/>
    <m/>
    <x v="1"/>
    <n v="73"/>
    <n v="3577"/>
    <n v="42924"/>
    <x v="0"/>
    <b v="1"/>
    <b v="0"/>
    <b v="0"/>
    <x v="1"/>
    <b v="0"/>
  </r>
  <r>
    <s v="S-c15f06"/>
    <s v="A-82d8a6"/>
    <d v="2024-12-27T00:00:00"/>
    <m/>
    <x v="1"/>
    <n v="33"/>
    <n v="1617"/>
    <n v="19404"/>
    <x v="0"/>
    <b v="1"/>
    <b v="1"/>
    <b v="0"/>
    <x v="0"/>
    <b v="1"/>
  </r>
  <r>
    <s v="S-fbc35d"/>
    <s v="A-a8b49c"/>
    <d v="2024-10-17T00:00:00"/>
    <m/>
    <x v="1"/>
    <n v="7"/>
    <n v="343"/>
    <n v="4116"/>
    <x v="0"/>
    <b v="0"/>
    <b v="0"/>
    <b v="0"/>
    <x v="1"/>
    <b v="1"/>
  </r>
  <r>
    <s v="S-78c894"/>
    <s v="A-d792a6"/>
    <d v="2023-02-17T00:00:00"/>
    <m/>
    <x v="2"/>
    <n v="4"/>
    <n v="76"/>
    <n v="912"/>
    <x v="0"/>
    <b v="1"/>
    <b v="0"/>
    <b v="0"/>
    <x v="1"/>
    <b v="1"/>
  </r>
  <r>
    <s v="S-2ee2e1"/>
    <s v="A-692f18"/>
    <d v="2024-06-12T00:00:00"/>
    <m/>
    <x v="1"/>
    <n v="50"/>
    <n v="2450"/>
    <n v="29400"/>
    <x v="0"/>
    <b v="1"/>
    <b v="0"/>
    <b v="0"/>
    <x v="1"/>
    <b v="0"/>
  </r>
  <r>
    <s v="S-5677fb"/>
    <s v="A-e5d6ab"/>
    <d v="2024-07-02T00:00:00"/>
    <m/>
    <x v="0"/>
    <n v="13"/>
    <n v="2587"/>
    <n v="31044"/>
    <x v="0"/>
    <b v="0"/>
    <b v="0"/>
    <b v="0"/>
    <x v="0"/>
    <b v="0"/>
  </r>
  <r>
    <s v="S-3c9a70"/>
    <s v="A-ee42db"/>
    <d v="2024-12-22T00:00:00"/>
    <m/>
    <x v="2"/>
    <n v="30"/>
    <n v="570"/>
    <n v="6840"/>
    <x v="0"/>
    <b v="0"/>
    <b v="0"/>
    <b v="0"/>
    <x v="0"/>
    <b v="1"/>
  </r>
  <r>
    <s v="S-036362"/>
    <s v="A-c37601"/>
    <d v="2024-11-01T00:00:00"/>
    <m/>
    <x v="1"/>
    <n v="12"/>
    <n v="588"/>
    <n v="7056"/>
    <x v="0"/>
    <b v="0"/>
    <b v="0"/>
    <b v="0"/>
    <x v="1"/>
    <b v="1"/>
  </r>
  <r>
    <s v="S-18b1f9"/>
    <s v="A-02cd81"/>
    <d v="2024-08-13T00:00:00"/>
    <m/>
    <x v="1"/>
    <n v="44"/>
    <n v="2156"/>
    <n v="25872"/>
    <x v="0"/>
    <b v="0"/>
    <b v="0"/>
    <b v="0"/>
    <x v="0"/>
    <b v="1"/>
  </r>
  <r>
    <s v="S-31afc4"/>
    <s v="A-d40bf7"/>
    <d v="2024-12-09T00:00:00"/>
    <m/>
    <x v="1"/>
    <n v="59"/>
    <n v="2891"/>
    <n v="34692"/>
    <x v="0"/>
    <b v="0"/>
    <b v="0"/>
    <b v="0"/>
    <x v="0"/>
    <b v="0"/>
  </r>
  <r>
    <s v="S-6ea0ad"/>
    <s v="A-712426"/>
    <d v="2024-12-15T00:00:00"/>
    <m/>
    <x v="1"/>
    <n v="13"/>
    <n v="637"/>
    <n v="7644"/>
    <x v="0"/>
    <b v="1"/>
    <b v="0"/>
    <b v="0"/>
    <x v="0"/>
    <b v="1"/>
  </r>
  <r>
    <s v="S-c25d2f"/>
    <s v="A-fabe19"/>
    <d v="2024-12-12T00:00:00"/>
    <d v="2024-12-27T00:00:00"/>
    <x v="0"/>
    <n v="32"/>
    <n v="6368"/>
    <n v="76416"/>
    <x v="0"/>
    <b v="0"/>
    <b v="0"/>
    <b v="1"/>
    <x v="1"/>
    <b v="1"/>
  </r>
  <r>
    <s v="S-444f22"/>
    <s v="A-8ed5dd"/>
    <d v="2023-12-09T00:00:00"/>
    <m/>
    <x v="1"/>
    <n v="46"/>
    <n v="2254"/>
    <n v="27048"/>
    <x v="0"/>
    <b v="1"/>
    <b v="0"/>
    <b v="0"/>
    <x v="0"/>
    <b v="1"/>
  </r>
  <r>
    <s v="S-f3ff07"/>
    <s v="A-158f4e"/>
    <d v="2023-06-19T00:00:00"/>
    <d v="2024-05-15T00:00:00"/>
    <x v="2"/>
    <n v="61"/>
    <n v="1159"/>
    <n v="13908"/>
    <x v="0"/>
    <b v="0"/>
    <b v="0"/>
    <b v="1"/>
    <x v="1"/>
    <b v="0"/>
  </r>
  <r>
    <s v="S-154119"/>
    <s v="A-3d957b"/>
    <d v="2024-08-30T00:00:00"/>
    <m/>
    <x v="2"/>
    <n v="73"/>
    <n v="1387"/>
    <n v="16644"/>
    <x v="0"/>
    <b v="0"/>
    <b v="0"/>
    <b v="0"/>
    <x v="0"/>
    <b v="1"/>
  </r>
  <r>
    <s v="S-62fa42"/>
    <s v="A-bb1486"/>
    <d v="2024-12-06T00:00:00"/>
    <d v="2024-12-19T00:00:00"/>
    <x v="2"/>
    <n v="41"/>
    <n v="779"/>
    <n v="9348"/>
    <x v="0"/>
    <b v="0"/>
    <b v="1"/>
    <b v="1"/>
    <x v="1"/>
    <b v="0"/>
  </r>
  <r>
    <s v="S-97a57b"/>
    <s v="A-a0ca4e"/>
    <d v="2024-08-12T00:00:00"/>
    <m/>
    <x v="0"/>
    <n v="26"/>
    <n v="5174"/>
    <n v="62088"/>
    <x v="0"/>
    <b v="0"/>
    <b v="0"/>
    <b v="0"/>
    <x v="0"/>
    <b v="1"/>
  </r>
  <r>
    <s v="S-7c2997"/>
    <s v="A-c1e51e"/>
    <d v="2024-12-21T00:00:00"/>
    <d v="2024-12-31T00:00:00"/>
    <x v="1"/>
    <n v="32"/>
    <n v="1568"/>
    <n v="18816"/>
    <x v="0"/>
    <b v="0"/>
    <b v="0"/>
    <b v="1"/>
    <x v="1"/>
    <b v="1"/>
  </r>
  <r>
    <s v="S-9122a4"/>
    <s v="A-883b7d"/>
    <d v="2024-05-29T00:00:00"/>
    <m/>
    <x v="0"/>
    <n v="25"/>
    <n v="4975"/>
    <n v="59700"/>
    <x v="0"/>
    <b v="0"/>
    <b v="0"/>
    <b v="0"/>
    <x v="0"/>
    <b v="1"/>
  </r>
  <r>
    <s v="S-f9f7af"/>
    <s v="A-20736a"/>
    <d v="2024-08-07T00:00:00"/>
    <m/>
    <x v="1"/>
    <n v="50"/>
    <n v="2450"/>
    <n v="29400"/>
    <x v="0"/>
    <b v="0"/>
    <b v="0"/>
    <b v="0"/>
    <x v="1"/>
    <b v="1"/>
  </r>
  <r>
    <s v="S-f6edd4"/>
    <s v="A-5a92e7"/>
    <d v="2024-12-04T00:00:00"/>
    <d v="2024-12-15T00:00:00"/>
    <x v="2"/>
    <n v="11"/>
    <n v="209"/>
    <n v="2508"/>
    <x v="0"/>
    <b v="0"/>
    <b v="0"/>
    <b v="1"/>
    <x v="1"/>
    <b v="0"/>
  </r>
  <r>
    <s v="S-bbe998"/>
    <s v="A-08e34e"/>
    <d v="2024-07-01T00:00:00"/>
    <m/>
    <x v="1"/>
    <n v="14"/>
    <n v="686"/>
    <n v="8232"/>
    <x v="0"/>
    <b v="0"/>
    <b v="0"/>
    <b v="0"/>
    <x v="1"/>
    <b v="1"/>
  </r>
  <r>
    <s v="S-02508a"/>
    <s v="A-05d3b3"/>
    <d v="2024-02-04T00:00:00"/>
    <m/>
    <x v="2"/>
    <n v="28"/>
    <n v="532"/>
    <n v="6384"/>
    <x v="0"/>
    <b v="0"/>
    <b v="0"/>
    <b v="0"/>
    <x v="1"/>
    <b v="1"/>
  </r>
  <r>
    <s v="S-7e44b0"/>
    <s v="A-a33200"/>
    <d v="2024-10-14T00:00:00"/>
    <m/>
    <x v="1"/>
    <n v="29"/>
    <n v="1421"/>
    <n v="17052"/>
    <x v="0"/>
    <b v="0"/>
    <b v="0"/>
    <b v="0"/>
    <x v="1"/>
    <b v="0"/>
  </r>
  <r>
    <s v="S-028f5b"/>
    <s v="A-80eeb6"/>
    <d v="2024-02-20T00:00:00"/>
    <d v="2024-08-12T00:00:00"/>
    <x v="0"/>
    <n v="26"/>
    <n v="5174"/>
    <n v="62088"/>
    <x v="0"/>
    <b v="0"/>
    <b v="0"/>
    <b v="1"/>
    <x v="1"/>
    <b v="1"/>
  </r>
  <r>
    <s v="S-d26ee3"/>
    <s v="A-1f559b"/>
    <d v="2023-12-12T00:00:00"/>
    <d v="2024-05-24T00:00:00"/>
    <x v="2"/>
    <n v="16"/>
    <n v="304"/>
    <n v="3648"/>
    <x v="0"/>
    <b v="0"/>
    <b v="0"/>
    <b v="1"/>
    <x v="0"/>
    <b v="1"/>
  </r>
  <r>
    <s v="S-a1901c"/>
    <s v="A-5c9849"/>
    <d v="2024-12-10T00:00:00"/>
    <m/>
    <x v="0"/>
    <n v="19"/>
    <n v="3781"/>
    <n v="45372"/>
    <x v="0"/>
    <b v="0"/>
    <b v="0"/>
    <b v="0"/>
    <x v="0"/>
    <b v="0"/>
  </r>
  <r>
    <s v="S-c96d86"/>
    <s v="A-1e1b80"/>
    <d v="2024-11-04T00:00:00"/>
    <m/>
    <x v="2"/>
    <n v="50"/>
    <n v="950"/>
    <n v="11400"/>
    <x v="0"/>
    <b v="1"/>
    <b v="0"/>
    <b v="0"/>
    <x v="1"/>
    <b v="1"/>
  </r>
  <r>
    <s v="S-ea8479"/>
    <s v="A-bcf87c"/>
    <d v="2024-10-25T00:00:00"/>
    <m/>
    <x v="2"/>
    <n v="17"/>
    <n v="323"/>
    <n v="3876"/>
    <x v="0"/>
    <b v="0"/>
    <b v="1"/>
    <b v="0"/>
    <x v="1"/>
    <b v="0"/>
  </r>
  <r>
    <s v="S-7eb81c"/>
    <s v="A-474ad4"/>
    <d v="2024-01-15T00:00:00"/>
    <m/>
    <x v="1"/>
    <n v="8"/>
    <n v="392"/>
    <n v="4704"/>
    <x v="0"/>
    <b v="0"/>
    <b v="0"/>
    <b v="0"/>
    <x v="0"/>
    <b v="0"/>
  </r>
  <r>
    <s v="S-8d4b81"/>
    <s v="A-2b9d3e"/>
    <d v="2024-04-28T00:00:00"/>
    <m/>
    <x v="2"/>
    <n v="1"/>
    <n v="19"/>
    <n v="228"/>
    <x v="0"/>
    <b v="0"/>
    <b v="0"/>
    <b v="0"/>
    <x v="1"/>
    <b v="0"/>
  </r>
  <r>
    <s v="S-9e5075"/>
    <s v="A-81edc3"/>
    <d v="2024-09-02T00:00:00"/>
    <m/>
    <x v="0"/>
    <n v="44"/>
    <n v="8756"/>
    <n v="105072"/>
    <x v="0"/>
    <b v="0"/>
    <b v="0"/>
    <b v="0"/>
    <x v="1"/>
    <b v="1"/>
  </r>
  <r>
    <s v="S-6bdda7"/>
    <s v="A-bad8c1"/>
    <d v="2024-06-03T00:00:00"/>
    <m/>
    <x v="1"/>
    <n v="37"/>
    <n v="1813"/>
    <n v="21756"/>
    <x v="0"/>
    <b v="0"/>
    <b v="0"/>
    <b v="0"/>
    <x v="0"/>
    <b v="1"/>
  </r>
  <r>
    <s v="S-2c52b6"/>
    <s v="A-016043"/>
    <d v="2024-10-09T00:00:00"/>
    <m/>
    <x v="0"/>
    <n v="14"/>
    <n v="2786"/>
    <n v="33432"/>
    <x v="0"/>
    <b v="0"/>
    <b v="0"/>
    <b v="0"/>
    <x v="0"/>
    <b v="0"/>
  </r>
  <r>
    <s v="S-9c09cb"/>
    <s v="A-702032"/>
    <d v="2024-12-10T00:00:00"/>
    <m/>
    <x v="2"/>
    <n v="28"/>
    <n v="532"/>
    <n v="6384"/>
    <x v="0"/>
    <b v="0"/>
    <b v="0"/>
    <b v="0"/>
    <x v="1"/>
    <b v="1"/>
  </r>
  <r>
    <s v="S-3829dc"/>
    <s v="A-1ac5e0"/>
    <d v="2024-11-17T00:00:00"/>
    <m/>
    <x v="0"/>
    <n v="33"/>
    <n v="6567"/>
    <n v="78804"/>
    <x v="0"/>
    <b v="0"/>
    <b v="0"/>
    <b v="0"/>
    <x v="0"/>
    <b v="1"/>
  </r>
  <r>
    <s v="S-d238c2"/>
    <s v="A-71615e"/>
    <d v="2024-08-17T00:00:00"/>
    <m/>
    <x v="0"/>
    <n v="55"/>
    <n v="10945"/>
    <n v="131340"/>
    <x v="0"/>
    <b v="0"/>
    <b v="0"/>
    <b v="0"/>
    <x v="1"/>
    <b v="1"/>
  </r>
  <r>
    <s v="S-885bd4"/>
    <s v="A-8bde0c"/>
    <d v="2024-11-13T00:00:00"/>
    <m/>
    <x v="1"/>
    <n v="12"/>
    <n v="588"/>
    <n v="7056"/>
    <x v="0"/>
    <b v="0"/>
    <b v="0"/>
    <b v="0"/>
    <x v="1"/>
    <b v="1"/>
  </r>
  <r>
    <s v="S-700923"/>
    <s v="A-bcf664"/>
    <d v="2024-04-04T00:00:00"/>
    <m/>
    <x v="0"/>
    <n v="13"/>
    <n v="2587"/>
    <n v="31044"/>
    <x v="0"/>
    <b v="0"/>
    <b v="0"/>
    <b v="0"/>
    <x v="0"/>
    <b v="1"/>
  </r>
  <r>
    <s v="S-d538f6"/>
    <s v="A-d535f6"/>
    <d v="2024-12-15T00:00:00"/>
    <m/>
    <x v="0"/>
    <n v="12"/>
    <n v="0"/>
    <n v="0"/>
    <x v="1"/>
    <b v="0"/>
    <b v="1"/>
    <b v="0"/>
    <x v="0"/>
    <b v="1"/>
  </r>
  <r>
    <s v="S-5ca0fe"/>
    <s v="A-d3c88e"/>
    <d v="2024-11-02T00:00:00"/>
    <m/>
    <x v="1"/>
    <n v="16"/>
    <n v="784"/>
    <n v="9408"/>
    <x v="0"/>
    <b v="0"/>
    <b v="0"/>
    <b v="0"/>
    <x v="0"/>
    <b v="0"/>
  </r>
  <r>
    <s v="S-83dc0a"/>
    <s v="A-f44180"/>
    <d v="2023-08-31T00:00:00"/>
    <m/>
    <x v="0"/>
    <n v="9"/>
    <n v="1791"/>
    <n v="21492"/>
    <x v="0"/>
    <b v="0"/>
    <b v="0"/>
    <b v="0"/>
    <x v="1"/>
    <b v="1"/>
  </r>
  <r>
    <s v="S-39a8f1"/>
    <s v="A-52dd88"/>
    <d v="2024-03-12T00:00:00"/>
    <m/>
    <x v="1"/>
    <n v="23"/>
    <n v="1127"/>
    <n v="13524"/>
    <x v="0"/>
    <b v="0"/>
    <b v="0"/>
    <b v="0"/>
    <x v="0"/>
    <b v="0"/>
  </r>
  <r>
    <s v="S-0a765d"/>
    <s v="A-439b2f"/>
    <d v="2024-07-03T00:00:00"/>
    <m/>
    <x v="2"/>
    <n v="4"/>
    <n v="76"/>
    <n v="912"/>
    <x v="0"/>
    <b v="0"/>
    <b v="0"/>
    <b v="0"/>
    <x v="0"/>
    <b v="1"/>
  </r>
  <r>
    <s v="S-fa9b43"/>
    <s v="A-10b8f2"/>
    <d v="2023-02-05T00:00:00"/>
    <m/>
    <x v="2"/>
    <n v="47"/>
    <n v="0"/>
    <n v="0"/>
    <x v="1"/>
    <b v="0"/>
    <b v="0"/>
    <b v="0"/>
    <x v="1"/>
    <b v="0"/>
  </r>
  <r>
    <s v="S-3a57be"/>
    <s v="A-05f0e5"/>
    <d v="2024-05-15T00:00:00"/>
    <m/>
    <x v="1"/>
    <n v="32"/>
    <n v="1568"/>
    <n v="18816"/>
    <x v="0"/>
    <b v="0"/>
    <b v="0"/>
    <b v="0"/>
    <x v="0"/>
    <b v="1"/>
  </r>
  <r>
    <s v="S-5ede24"/>
    <s v="A-9bfc9f"/>
    <d v="2024-07-30T00:00:00"/>
    <m/>
    <x v="1"/>
    <n v="60"/>
    <n v="2940"/>
    <n v="35280"/>
    <x v="0"/>
    <b v="0"/>
    <b v="0"/>
    <b v="0"/>
    <x v="0"/>
    <b v="1"/>
  </r>
  <r>
    <s v="S-df5924"/>
    <s v="A-443f6f"/>
    <d v="2024-12-21T00:00:00"/>
    <d v="2024-12-22T00:00:00"/>
    <x v="1"/>
    <n v="19"/>
    <n v="931"/>
    <n v="11172"/>
    <x v="0"/>
    <b v="0"/>
    <b v="0"/>
    <b v="1"/>
    <x v="1"/>
    <b v="1"/>
  </r>
  <r>
    <s v="S-eb9911"/>
    <s v="A-ab438f"/>
    <d v="2024-10-18T00:00:00"/>
    <m/>
    <x v="2"/>
    <n v="28"/>
    <n v="0"/>
    <n v="0"/>
    <x v="1"/>
    <b v="0"/>
    <b v="0"/>
    <b v="0"/>
    <x v="1"/>
    <b v="1"/>
  </r>
  <r>
    <s v="S-7db513"/>
    <s v="A-4f18f0"/>
    <d v="2024-06-01T00:00:00"/>
    <m/>
    <x v="0"/>
    <n v="24"/>
    <n v="4776"/>
    <n v="57312"/>
    <x v="0"/>
    <b v="0"/>
    <b v="0"/>
    <b v="0"/>
    <x v="0"/>
    <b v="1"/>
  </r>
  <r>
    <s v="S-2ded06"/>
    <s v="A-ff79f2"/>
    <d v="2024-12-25T00:00:00"/>
    <m/>
    <x v="2"/>
    <n v="31"/>
    <n v="589"/>
    <n v="7068"/>
    <x v="0"/>
    <b v="1"/>
    <b v="0"/>
    <b v="0"/>
    <x v="0"/>
    <b v="0"/>
  </r>
  <r>
    <s v="S-c0ca82"/>
    <s v="A-00cac8"/>
    <d v="2024-12-02T00:00:00"/>
    <m/>
    <x v="1"/>
    <n v="19"/>
    <n v="931"/>
    <n v="11172"/>
    <x v="0"/>
    <b v="0"/>
    <b v="1"/>
    <b v="0"/>
    <x v="1"/>
    <b v="1"/>
  </r>
  <r>
    <s v="S-7cf7c6"/>
    <s v="A-22d9d2"/>
    <d v="2024-06-02T00:00:00"/>
    <m/>
    <x v="1"/>
    <n v="13"/>
    <n v="637"/>
    <n v="7644"/>
    <x v="0"/>
    <b v="0"/>
    <b v="0"/>
    <b v="0"/>
    <x v="1"/>
    <b v="1"/>
  </r>
  <r>
    <s v="S-9fa49b"/>
    <s v="A-1f7acb"/>
    <d v="2023-09-01T00:00:00"/>
    <m/>
    <x v="0"/>
    <n v="64"/>
    <n v="12736"/>
    <n v="152832"/>
    <x v="0"/>
    <b v="1"/>
    <b v="0"/>
    <b v="0"/>
    <x v="1"/>
    <b v="0"/>
  </r>
  <r>
    <s v="S-4a3e6c"/>
    <s v="A-acb7f7"/>
    <d v="2024-06-19T00:00:00"/>
    <m/>
    <x v="1"/>
    <n v="32"/>
    <n v="1568"/>
    <n v="18816"/>
    <x v="0"/>
    <b v="0"/>
    <b v="0"/>
    <b v="0"/>
    <x v="0"/>
    <b v="1"/>
  </r>
  <r>
    <s v="S-112733"/>
    <s v="A-71615e"/>
    <d v="2024-10-21T00:00:00"/>
    <m/>
    <x v="2"/>
    <n v="15"/>
    <n v="285"/>
    <n v="3420"/>
    <x v="0"/>
    <b v="0"/>
    <b v="0"/>
    <b v="0"/>
    <x v="1"/>
    <b v="0"/>
  </r>
  <r>
    <s v="S-28332f"/>
    <s v="A-ff79f2"/>
    <d v="2024-09-16T00:00:00"/>
    <m/>
    <x v="0"/>
    <n v="23"/>
    <n v="4577"/>
    <n v="54924"/>
    <x v="0"/>
    <b v="0"/>
    <b v="0"/>
    <b v="0"/>
    <x v="0"/>
    <b v="1"/>
  </r>
  <r>
    <s v="S-6709f4"/>
    <s v="A-bcbe98"/>
    <d v="2024-12-06T00:00:00"/>
    <m/>
    <x v="2"/>
    <n v="46"/>
    <n v="874"/>
    <n v="10488"/>
    <x v="0"/>
    <b v="0"/>
    <b v="0"/>
    <b v="0"/>
    <x v="0"/>
    <b v="0"/>
  </r>
  <r>
    <s v="S-0b059f"/>
    <s v="A-7c4956"/>
    <d v="2023-07-10T00:00:00"/>
    <d v="2023-11-30T00:00:00"/>
    <x v="2"/>
    <n v="5"/>
    <n v="95"/>
    <n v="1140"/>
    <x v="0"/>
    <b v="0"/>
    <b v="0"/>
    <b v="1"/>
    <x v="0"/>
    <b v="0"/>
  </r>
  <r>
    <s v="S-d91908"/>
    <s v="A-02fac6"/>
    <d v="2024-09-22T00:00:00"/>
    <m/>
    <x v="2"/>
    <n v="22"/>
    <n v="418"/>
    <n v="5016"/>
    <x v="0"/>
    <b v="0"/>
    <b v="0"/>
    <b v="0"/>
    <x v="0"/>
    <b v="1"/>
  </r>
  <r>
    <s v="S-381988"/>
    <s v="A-eb7c38"/>
    <d v="2024-08-27T00:00:00"/>
    <m/>
    <x v="1"/>
    <n v="7"/>
    <n v="0"/>
    <n v="0"/>
    <x v="1"/>
    <b v="0"/>
    <b v="0"/>
    <b v="0"/>
    <x v="1"/>
    <b v="0"/>
  </r>
  <r>
    <s v="S-535e55"/>
    <s v="A-9077b0"/>
    <d v="2024-12-08T00:00:00"/>
    <m/>
    <x v="1"/>
    <n v="7"/>
    <n v="343"/>
    <n v="4116"/>
    <x v="0"/>
    <b v="1"/>
    <b v="0"/>
    <b v="0"/>
    <x v="0"/>
    <b v="1"/>
  </r>
  <r>
    <s v="S-a22ca2"/>
    <s v="A-dbc825"/>
    <d v="2024-07-30T00:00:00"/>
    <m/>
    <x v="0"/>
    <n v="45"/>
    <n v="8955"/>
    <n v="107460"/>
    <x v="0"/>
    <b v="0"/>
    <b v="0"/>
    <b v="0"/>
    <x v="0"/>
    <b v="1"/>
  </r>
  <r>
    <s v="S-4e762d"/>
    <s v="A-2789e3"/>
    <d v="2024-11-06T00:00:00"/>
    <m/>
    <x v="0"/>
    <n v="61"/>
    <n v="12139"/>
    <n v="145668"/>
    <x v="0"/>
    <b v="0"/>
    <b v="0"/>
    <b v="0"/>
    <x v="1"/>
    <b v="1"/>
  </r>
  <r>
    <s v="S-1d3a93"/>
    <s v="A-d82ef9"/>
    <d v="2024-08-10T00:00:00"/>
    <m/>
    <x v="0"/>
    <n v="26"/>
    <n v="5174"/>
    <n v="62088"/>
    <x v="0"/>
    <b v="0"/>
    <b v="0"/>
    <b v="0"/>
    <x v="0"/>
    <b v="0"/>
  </r>
  <r>
    <s v="S-1c5650"/>
    <s v="A-1e1b80"/>
    <d v="2023-12-27T00:00:00"/>
    <m/>
    <x v="1"/>
    <n v="53"/>
    <n v="2597"/>
    <n v="31164"/>
    <x v="0"/>
    <b v="0"/>
    <b v="0"/>
    <b v="0"/>
    <x v="0"/>
    <b v="1"/>
  </r>
  <r>
    <s v="S-593787"/>
    <s v="A-9ee962"/>
    <d v="2023-11-22T00:00:00"/>
    <m/>
    <x v="2"/>
    <n v="9"/>
    <n v="0"/>
    <n v="0"/>
    <x v="1"/>
    <b v="1"/>
    <b v="0"/>
    <b v="0"/>
    <x v="0"/>
    <b v="1"/>
  </r>
  <r>
    <s v="S-28a2b2"/>
    <s v="A-eb7fac"/>
    <d v="2024-09-22T00:00:00"/>
    <m/>
    <x v="0"/>
    <n v="7"/>
    <n v="1393"/>
    <n v="16716"/>
    <x v="0"/>
    <b v="0"/>
    <b v="0"/>
    <b v="0"/>
    <x v="0"/>
    <b v="1"/>
  </r>
  <r>
    <s v="S-0bdbb3"/>
    <s v="A-00cac8"/>
    <d v="2024-08-09T00:00:00"/>
    <m/>
    <x v="0"/>
    <n v="39"/>
    <n v="7761"/>
    <n v="93132"/>
    <x v="0"/>
    <b v="0"/>
    <b v="0"/>
    <b v="0"/>
    <x v="0"/>
    <b v="1"/>
  </r>
  <r>
    <s v="S-dc8c2f"/>
    <s v="A-8b0451"/>
    <d v="2024-09-21T00:00:00"/>
    <m/>
    <x v="2"/>
    <n v="41"/>
    <n v="779"/>
    <n v="9348"/>
    <x v="0"/>
    <b v="0"/>
    <b v="0"/>
    <b v="0"/>
    <x v="0"/>
    <b v="1"/>
  </r>
  <r>
    <s v="S-a33656"/>
    <s v="A-524364"/>
    <d v="2024-12-31T00:00:00"/>
    <m/>
    <x v="2"/>
    <n v="12"/>
    <n v="228"/>
    <n v="2736"/>
    <x v="0"/>
    <b v="0"/>
    <b v="0"/>
    <b v="0"/>
    <x v="0"/>
    <b v="1"/>
  </r>
  <r>
    <s v="S-b991d2"/>
    <s v="A-3ce5b8"/>
    <d v="2024-02-17T00:00:00"/>
    <m/>
    <x v="1"/>
    <n v="8"/>
    <n v="392"/>
    <n v="4704"/>
    <x v="0"/>
    <b v="0"/>
    <b v="0"/>
    <b v="0"/>
    <x v="1"/>
    <b v="1"/>
  </r>
  <r>
    <s v="S-a53e06"/>
    <s v="A-089363"/>
    <d v="2024-06-14T00:00:00"/>
    <m/>
    <x v="2"/>
    <n v="3"/>
    <n v="57"/>
    <n v="684"/>
    <x v="0"/>
    <b v="0"/>
    <b v="0"/>
    <b v="0"/>
    <x v="1"/>
    <b v="0"/>
  </r>
  <r>
    <s v="S-249448"/>
    <s v="A-dbc825"/>
    <d v="2024-01-19T00:00:00"/>
    <m/>
    <x v="0"/>
    <n v="19"/>
    <n v="3781"/>
    <n v="45372"/>
    <x v="0"/>
    <b v="0"/>
    <b v="0"/>
    <b v="0"/>
    <x v="1"/>
    <b v="1"/>
  </r>
  <r>
    <s v="S-768196"/>
    <s v="A-1f7acb"/>
    <d v="2023-10-14T00:00:00"/>
    <m/>
    <x v="2"/>
    <n v="64"/>
    <n v="1216"/>
    <n v="14592"/>
    <x v="0"/>
    <b v="0"/>
    <b v="0"/>
    <b v="0"/>
    <x v="0"/>
    <b v="1"/>
  </r>
  <r>
    <s v="S-e6513c"/>
    <s v="A-2edab2"/>
    <d v="2023-12-05T00:00:00"/>
    <m/>
    <x v="2"/>
    <n v="17"/>
    <n v="323"/>
    <n v="3876"/>
    <x v="0"/>
    <b v="0"/>
    <b v="0"/>
    <b v="0"/>
    <x v="0"/>
    <b v="1"/>
  </r>
  <r>
    <s v="S-0acba4"/>
    <s v="A-4e631b"/>
    <d v="2024-11-22T00:00:00"/>
    <m/>
    <x v="2"/>
    <n v="22"/>
    <n v="418"/>
    <n v="5016"/>
    <x v="0"/>
    <b v="0"/>
    <b v="0"/>
    <b v="0"/>
    <x v="1"/>
    <b v="0"/>
  </r>
  <r>
    <s v="S-e57a7d"/>
    <s v="A-3f9cc0"/>
    <d v="2024-06-23T00:00:00"/>
    <m/>
    <x v="0"/>
    <n v="22"/>
    <n v="4378"/>
    <n v="52536"/>
    <x v="0"/>
    <b v="0"/>
    <b v="1"/>
    <b v="0"/>
    <x v="1"/>
    <b v="0"/>
  </r>
  <r>
    <s v="S-f24609"/>
    <s v="A-151c9a"/>
    <d v="2023-07-14T00:00:00"/>
    <m/>
    <x v="1"/>
    <n v="29"/>
    <n v="1421"/>
    <n v="17052"/>
    <x v="0"/>
    <b v="0"/>
    <b v="0"/>
    <b v="0"/>
    <x v="0"/>
    <b v="1"/>
  </r>
  <r>
    <s v="S-cfb246"/>
    <s v="A-ee42db"/>
    <d v="2024-10-25T00:00:00"/>
    <m/>
    <x v="2"/>
    <n v="13"/>
    <n v="0"/>
    <n v="0"/>
    <x v="1"/>
    <b v="0"/>
    <b v="0"/>
    <b v="0"/>
    <x v="1"/>
    <b v="1"/>
  </r>
  <r>
    <s v="S-242e1b"/>
    <s v="A-313be3"/>
    <d v="2024-08-25T00:00:00"/>
    <m/>
    <x v="1"/>
    <n v="47"/>
    <n v="2303"/>
    <n v="27636"/>
    <x v="0"/>
    <b v="1"/>
    <b v="0"/>
    <b v="0"/>
    <x v="1"/>
    <b v="0"/>
  </r>
  <r>
    <s v="S-89d7b0"/>
    <s v="A-fe79a5"/>
    <d v="2024-06-03T00:00:00"/>
    <m/>
    <x v="0"/>
    <n v="9"/>
    <n v="1791"/>
    <n v="21492"/>
    <x v="0"/>
    <b v="0"/>
    <b v="0"/>
    <b v="0"/>
    <x v="1"/>
    <b v="1"/>
  </r>
  <r>
    <s v="S-5a26fc"/>
    <s v="A-9779ad"/>
    <d v="2024-07-07T00:00:00"/>
    <m/>
    <x v="1"/>
    <n v="40"/>
    <n v="0"/>
    <n v="0"/>
    <x v="1"/>
    <b v="0"/>
    <b v="0"/>
    <b v="0"/>
    <x v="1"/>
    <b v="0"/>
  </r>
  <r>
    <s v="S-d64e41"/>
    <s v="A-354f12"/>
    <d v="2024-05-28T00:00:00"/>
    <m/>
    <x v="0"/>
    <n v="34"/>
    <n v="6766"/>
    <n v="81192"/>
    <x v="0"/>
    <b v="0"/>
    <b v="1"/>
    <b v="0"/>
    <x v="1"/>
    <b v="1"/>
  </r>
  <r>
    <s v="S-482962"/>
    <s v="A-de24d5"/>
    <d v="2024-11-06T00:00:00"/>
    <m/>
    <x v="1"/>
    <n v="20"/>
    <n v="980"/>
    <n v="11760"/>
    <x v="0"/>
    <b v="0"/>
    <b v="0"/>
    <b v="0"/>
    <x v="1"/>
    <b v="1"/>
  </r>
  <r>
    <s v="S-e77d56"/>
    <s v="A-9289f6"/>
    <d v="2023-12-06T00:00:00"/>
    <m/>
    <x v="2"/>
    <n v="1"/>
    <n v="19"/>
    <n v="228"/>
    <x v="0"/>
    <b v="0"/>
    <b v="0"/>
    <b v="0"/>
    <x v="0"/>
    <b v="1"/>
  </r>
  <r>
    <s v="S-658bcb"/>
    <s v="A-0cc442"/>
    <d v="2024-08-14T00:00:00"/>
    <m/>
    <x v="0"/>
    <n v="45"/>
    <n v="8955"/>
    <n v="107460"/>
    <x v="0"/>
    <b v="0"/>
    <b v="0"/>
    <b v="0"/>
    <x v="0"/>
    <b v="1"/>
  </r>
  <r>
    <s v="S-56c23b"/>
    <s v="A-e888d1"/>
    <d v="2024-10-31T00:00:00"/>
    <m/>
    <x v="0"/>
    <n v="19"/>
    <n v="3781"/>
    <n v="45372"/>
    <x v="0"/>
    <b v="0"/>
    <b v="0"/>
    <b v="0"/>
    <x v="1"/>
    <b v="0"/>
  </r>
  <r>
    <s v="S-39f1b0"/>
    <s v="A-bf7919"/>
    <d v="2024-12-10T00:00:00"/>
    <m/>
    <x v="0"/>
    <n v="8"/>
    <n v="0"/>
    <n v="0"/>
    <x v="1"/>
    <b v="0"/>
    <b v="0"/>
    <b v="0"/>
    <x v="1"/>
    <b v="1"/>
  </r>
  <r>
    <s v="S-21d0ab"/>
    <s v="A-a1b80b"/>
    <d v="2024-07-21T00:00:00"/>
    <m/>
    <x v="2"/>
    <n v="22"/>
    <n v="418"/>
    <n v="5016"/>
    <x v="0"/>
    <b v="0"/>
    <b v="0"/>
    <b v="0"/>
    <x v="0"/>
    <b v="1"/>
  </r>
  <r>
    <s v="S-b27c2f"/>
    <s v="A-625d0b"/>
    <d v="2024-12-24T00:00:00"/>
    <m/>
    <x v="1"/>
    <n v="17"/>
    <n v="833"/>
    <n v="9996"/>
    <x v="0"/>
    <b v="0"/>
    <b v="0"/>
    <b v="0"/>
    <x v="0"/>
    <b v="1"/>
  </r>
  <r>
    <s v="S-1224ea"/>
    <s v="A-474ad4"/>
    <d v="2023-12-10T00:00:00"/>
    <m/>
    <x v="1"/>
    <n v="8"/>
    <n v="0"/>
    <n v="0"/>
    <x v="1"/>
    <b v="0"/>
    <b v="0"/>
    <b v="0"/>
    <x v="0"/>
    <b v="1"/>
  </r>
  <r>
    <s v="S-0d8293"/>
    <s v="A-425e76"/>
    <d v="2023-11-18T00:00:00"/>
    <m/>
    <x v="1"/>
    <n v="71"/>
    <n v="3479"/>
    <n v="41748"/>
    <x v="0"/>
    <b v="0"/>
    <b v="0"/>
    <b v="0"/>
    <x v="0"/>
    <b v="1"/>
  </r>
  <r>
    <s v="S-f409d8"/>
    <s v="A-0651a4"/>
    <d v="2024-12-04T00:00:00"/>
    <m/>
    <x v="0"/>
    <n v="16"/>
    <n v="3184"/>
    <n v="38208"/>
    <x v="0"/>
    <b v="0"/>
    <b v="0"/>
    <b v="0"/>
    <x v="1"/>
    <b v="1"/>
  </r>
  <r>
    <s v="S-374511"/>
    <s v="A-e89151"/>
    <d v="2024-04-01T00:00:00"/>
    <m/>
    <x v="0"/>
    <n v="10"/>
    <n v="1990"/>
    <n v="23880"/>
    <x v="0"/>
    <b v="0"/>
    <b v="0"/>
    <b v="0"/>
    <x v="0"/>
    <b v="1"/>
  </r>
  <r>
    <s v="S-c1f160"/>
    <s v="A-ccabf0"/>
    <d v="2024-07-14T00:00:00"/>
    <d v="2024-12-04T00:00:00"/>
    <x v="1"/>
    <n v="2"/>
    <n v="98"/>
    <n v="1176"/>
    <x v="0"/>
    <b v="0"/>
    <b v="1"/>
    <b v="1"/>
    <x v="1"/>
    <b v="1"/>
  </r>
  <r>
    <s v="S-2b58a7"/>
    <s v="A-7c5768"/>
    <d v="2024-07-07T00:00:00"/>
    <m/>
    <x v="2"/>
    <n v="3"/>
    <n v="57"/>
    <n v="684"/>
    <x v="0"/>
    <b v="0"/>
    <b v="0"/>
    <b v="0"/>
    <x v="0"/>
    <b v="1"/>
  </r>
  <r>
    <s v="S-4dfd17"/>
    <s v="A-bcbe98"/>
    <d v="2024-07-29T00:00:00"/>
    <m/>
    <x v="2"/>
    <n v="46"/>
    <n v="874"/>
    <n v="10488"/>
    <x v="0"/>
    <b v="1"/>
    <b v="1"/>
    <b v="0"/>
    <x v="0"/>
    <b v="1"/>
  </r>
  <r>
    <s v="S-4781b1"/>
    <s v="A-558c72"/>
    <d v="2023-06-12T00:00:00"/>
    <m/>
    <x v="1"/>
    <n v="16"/>
    <n v="784"/>
    <n v="9408"/>
    <x v="0"/>
    <b v="0"/>
    <b v="0"/>
    <b v="0"/>
    <x v="0"/>
    <b v="1"/>
  </r>
  <r>
    <s v="S-c53808"/>
    <s v="A-712426"/>
    <d v="2024-12-08T00:00:00"/>
    <m/>
    <x v="1"/>
    <n v="12"/>
    <n v="588"/>
    <n v="7056"/>
    <x v="0"/>
    <b v="0"/>
    <b v="0"/>
    <b v="0"/>
    <x v="0"/>
    <b v="1"/>
  </r>
  <r>
    <s v="S-e3165d"/>
    <s v="A-3b5cd1"/>
    <d v="2023-10-09T00:00:00"/>
    <m/>
    <x v="1"/>
    <n v="21"/>
    <n v="1029"/>
    <n v="12348"/>
    <x v="0"/>
    <b v="0"/>
    <b v="0"/>
    <b v="0"/>
    <x v="0"/>
    <b v="1"/>
  </r>
  <r>
    <s v="S-0334aa"/>
    <s v="A-acb7f7"/>
    <d v="2024-04-12T00:00:00"/>
    <m/>
    <x v="1"/>
    <n v="41"/>
    <n v="2009"/>
    <n v="24108"/>
    <x v="0"/>
    <b v="1"/>
    <b v="0"/>
    <b v="0"/>
    <x v="1"/>
    <b v="1"/>
  </r>
  <r>
    <s v="S-6c625e"/>
    <s v="A-854864"/>
    <d v="2024-12-15T00:00:00"/>
    <m/>
    <x v="1"/>
    <n v="91"/>
    <n v="4459"/>
    <n v="53508"/>
    <x v="0"/>
    <b v="0"/>
    <b v="0"/>
    <b v="0"/>
    <x v="0"/>
    <b v="0"/>
  </r>
  <r>
    <s v="S-e48c4d"/>
    <s v="A-439b2f"/>
    <d v="2024-03-09T00:00:00"/>
    <m/>
    <x v="2"/>
    <n v="7"/>
    <n v="133"/>
    <n v="1596"/>
    <x v="0"/>
    <b v="0"/>
    <b v="0"/>
    <b v="0"/>
    <x v="1"/>
    <b v="1"/>
  </r>
  <r>
    <s v="S-322a59"/>
    <s v="A-a8b49c"/>
    <d v="2024-02-17T00:00:00"/>
    <m/>
    <x v="1"/>
    <n v="26"/>
    <n v="1274"/>
    <n v="15288"/>
    <x v="0"/>
    <b v="0"/>
    <b v="0"/>
    <b v="0"/>
    <x v="0"/>
    <b v="1"/>
  </r>
  <r>
    <s v="S-41b844"/>
    <s v="A-94d3da"/>
    <d v="2023-06-03T00:00:00"/>
    <m/>
    <x v="1"/>
    <n v="41"/>
    <n v="2009"/>
    <n v="24108"/>
    <x v="0"/>
    <b v="0"/>
    <b v="0"/>
    <b v="0"/>
    <x v="0"/>
    <b v="0"/>
  </r>
  <r>
    <s v="S-12125f"/>
    <s v="A-e5d6ab"/>
    <d v="2023-08-08T00:00:00"/>
    <m/>
    <x v="2"/>
    <n v="3"/>
    <n v="57"/>
    <n v="684"/>
    <x v="0"/>
    <b v="0"/>
    <b v="0"/>
    <b v="0"/>
    <x v="0"/>
    <b v="1"/>
  </r>
  <r>
    <s v="S-91709b"/>
    <s v="A-ab438f"/>
    <d v="2024-11-26T00:00:00"/>
    <d v="2024-12-31T00:00:00"/>
    <x v="0"/>
    <n v="23"/>
    <n v="4577"/>
    <n v="54924"/>
    <x v="0"/>
    <b v="0"/>
    <b v="0"/>
    <b v="1"/>
    <x v="1"/>
    <b v="1"/>
  </r>
  <r>
    <s v="S-ff681f"/>
    <s v="A-bbc346"/>
    <d v="2024-08-31T00:00:00"/>
    <m/>
    <x v="0"/>
    <n v="19"/>
    <n v="3781"/>
    <n v="45372"/>
    <x v="0"/>
    <b v="1"/>
    <b v="0"/>
    <b v="0"/>
    <x v="1"/>
    <b v="0"/>
  </r>
  <r>
    <s v="S-6b534f"/>
    <s v="A-08e34e"/>
    <d v="2024-12-31T00:00:00"/>
    <m/>
    <x v="0"/>
    <n v="14"/>
    <n v="2786"/>
    <n v="33432"/>
    <x v="0"/>
    <b v="0"/>
    <b v="0"/>
    <b v="0"/>
    <x v="0"/>
    <b v="1"/>
  </r>
  <r>
    <s v="S-2d3434"/>
    <s v="A-425e76"/>
    <d v="2023-07-22T00:00:00"/>
    <m/>
    <x v="1"/>
    <n v="8"/>
    <n v="392"/>
    <n v="4704"/>
    <x v="0"/>
    <b v="0"/>
    <b v="0"/>
    <b v="0"/>
    <x v="1"/>
    <b v="1"/>
  </r>
  <r>
    <s v="S-b8caad"/>
    <s v="A-ac14bb"/>
    <d v="2023-09-27T00:00:00"/>
    <m/>
    <x v="1"/>
    <n v="21"/>
    <n v="1029"/>
    <n v="12348"/>
    <x v="0"/>
    <b v="0"/>
    <b v="0"/>
    <b v="0"/>
    <x v="1"/>
    <b v="0"/>
  </r>
  <r>
    <s v="S-58ab69"/>
    <s v="A-58b9ff"/>
    <d v="2024-09-27T00:00:00"/>
    <m/>
    <x v="1"/>
    <n v="63"/>
    <n v="3087"/>
    <n v="37044"/>
    <x v="0"/>
    <b v="0"/>
    <b v="1"/>
    <b v="0"/>
    <x v="0"/>
    <b v="1"/>
  </r>
  <r>
    <s v="S-6c877e"/>
    <s v="A-712533"/>
    <d v="2023-08-13T00:00:00"/>
    <m/>
    <x v="0"/>
    <n v="18"/>
    <n v="0"/>
    <n v="0"/>
    <x v="1"/>
    <b v="0"/>
    <b v="0"/>
    <b v="0"/>
    <x v="0"/>
    <b v="1"/>
  </r>
  <r>
    <s v="S-ff4611"/>
    <s v="A-c9bb3e"/>
    <d v="2024-04-25T00:00:00"/>
    <m/>
    <x v="1"/>
    <n v="123"/>
    <n v="6027"/>
    <n v="72324"/>
    <x v="0"/>
    <b v="0"/>
    <b v="0"/>
    <b v="0"/>
    <x v="1"/>
    <b v="1"/>
  </r>
  <r>
    <s v="S-f3c329"/>
    <s v="A-1f0636"/>
    <d v="2024-09-02T00:00:00"/>
    <m/>
    <x v="2"/>
    <n v="105"/>
    <n v="1995"/>
    <n v="23940"/>
    <x v="0"/>
    <b v="0"/>
    <b v="0"/>
    <b v="0"/>
    <x v="1"/>
    <b v="1"/>
  </r>
  <r>
    <s v="S-270a4e"/>
    <s v="A-6c093d"/>
    <d v="2024-01-17T00:00:00"/>
    <m/>
    <x v="2"/>
    <n v="7"/>
    <n v="133"/>
    <n v="1596"/>
    <x v="0"/>
    <b v="1"/>
    <b v="0"/>
    <b v="0"/>
    <x v="0"/>
    <b v="1"/>
  </r>
  <r>
    <s v="S-2a312e"/>
    <s v="A-034368"/>
    <d v="2024-06-21T00:00:00"/>
    <m/>
    <x v="2"/>
    <n v="26"/>
    <n v="494"/>
    <n v="5928"/>
    <x v="0"/>
    <b v="0"/>
    <b v="0"/>
    <b v="0"/>
    <x v="0"/>
    <b v="1"/>
  </r>
  <r>
    <s v="S-3aa11b"/>
    <s v="A-7c83a1"/>
    <d v="2024-09-27T00:00:00"/>
    <m/>
    <x v="1"/>
    <n v="12"/>
    <n v="588"/>
    <n v="7056"/>
    <x v="0"/>
    <b v="0"/>
    <b v="0"/>
    <b v="0"/>
    <x v="1"/>
    <b v="1"/>
  </r>
  <r>
    <s v="S-0a8cff"/>
    <s v="A-016043"/>
    <d v="2024-09-28T00:00:00"/>
    <m/>
    <x v="0"/>
    <n v="12"/>
    <n v="0"/>
    <n v="0"/>
    <x v="1"/>
    <b v="1"/>
    <b v="0"/>
    <b v="0"/>
    <x v="0"/>
    <b v="1"/>
  </r>
  <r>
    <s v="S-b4d224"/>
    <s v="A-4c6f11"/>
    <d v="2024-05-31T00:00:00"/>
    <m/>
    <x v="2"/>
    <n v="27"/>
    <n v="513"/>
    <n v="6156"/>
    <x v="0"/>
    <b v="0"/>
    <b v="1"/>
    <b v="0"/>
    <x v="1"/>
    <b v="1"/>
  </r>
  <r>
    <s v="S-f0e458"/>
    <s v="A-ab438f"/>
    <d v="2024-12-27T00:00:00"/>
    <m/>
    <x v="1"/>
    <n v="77"/>
    <n v="0"/>
    <n v="0"/>
    <x v="1"/>
    <b v="0"/>
    <b v="0"/>
    <b v="0"/>
    <x v="0"/>
    <b v="1"/>
  </r>
  <r>
    <s v="S-af5ec3"/>
    <s v="A-8e47ca"/>
    <d v="2024-08-23T00:00:00"/>
    <m/>
    <x v="0"/>
    <n v="19"/>
    <n v="3781"/>
    <n v="45372"/>
    <x v="0"/>
    <b v="0"/>
    <b v="0"/>
    <b v="0"/>
    <x v="0"/>
    <b v="1"/>
  </r>
  <r>
    <s v="S-683c6b"/>
    <s v="A-e36807"/>
    <d v="2024-11-21T00:00:00"/>
    <m/>
    <x v="0"/>
    <n v="14"/>
    <n v="2786"/>
    <n v="33432"/>
    <x v="0"/>
    <b v="0"/>
    <b v="0"/>
    <b v="0"/>
    <x v="1"/>
    <b v="1"/>
  </r>
  <r>
    <s v="S-1df679"/>
    <s v="A-508199"/>
    <d v="2024-04-26T00:00:00"/>
    <m/>
    <x v="0"/>
    <n v="19"/>
    <n v="3781"/>
    <n v="45372"/>
    <x v="0"/>
    <b v="0"/>
    <b v="0"/>
    <b v="0"/>
    <x v="1"/>
    <b v="1"/>
  </r>
  <r>
    <s v="S-ca74fe"/>
    <s v="A-dfbd31"/>
    <d v="2024-07-30T00:00:00"/>
    <m/>
    <x v="1"/>
    <n v="14"/>
    <n v="686"/>
    <n v="8232"/>
    <x v="0"/>
    <b v="0"/>
    <b v="0"/>
    <b v="0"/>
    <x v="1"/>
    <b v="0"/>
  </r>
  <r>
    <s v="S-061025"/>
    <s v="A-c45b23"/>
    <d v="2024-11-16T00:00:00"/>
    <m/>
    <x v="1"/>
    <n v="7"/>
    <n v="343"/>
    <n v="4116"/>
    <x v="0"/>
    <b v="0"/>
    <b v="0"/>
    <b v="0"/>
    <x v="1"/>
    <b v="1"/>
  </r>
  <r>
    <s v="S-333abd"/>
    <s v="A-a1b80b"/>
    <d v="2024-07-05T00:00:00"/>
    <m/>
    <x v="2"/>
    <n v="16"/>
    <n v="304"/>
    <n v="3648"/>
    <x v="0"/>
    <b v="0"/>
    <b v="0"/>
    <b v="0"/>
    <x v="1"/>
    <b v="1"/>
  </r>
  <r>
    <s v="S-5281ee"/>
    <s v="A-427b69"/>
    <d v="2024-09-27T00:00:00"/>
    <m/>
    <x v="1"/>
    <n v="17"/>
    <n v="0"/>
    <n v="0"/>
    <x v="1"/>
    <b v="0"/>
    <b v="0"/>
    <b v="0"/>
    <x v="1"/>
    <b v="0"/>
  </r>
  <r>
    <s v="S-1bf697"/>
    <s v="A-acb7f7"/>
    <d v="2024-08-31T00:00:00"/>
    <m/>
    <x v="1"/>
    <n v="32"/>
    <n v="1568"/>
    <n v="18816"/>
    <x v="0"/>
    <b v="0"/>
    <b v="0"/>
    <b v="0"/>
    <x v="0"/>
    <b v="1"/>
  </r>
  <r>
    <s v="S-9b8167"/>
    <s v="A-054577"/>
    <d v="2024-05-08T00:00:00"/>
    <m/>
    <x v="1"/>
    <n v="29"/>
    <n v="1421"/>
    <n v="17052"/>
    <x v="0"/>
    <b v="0"/>
    <b v="0"/>
    <b v="0"/>
    <x v="0"/>
    <b v="1"/>
  </r>
  <r>
    <s v="S-585d4c"/>
    <s v="A-00bed1"/>
    <d v="2024-05-06T00:00:00"/>
    <m/>
    <x v="0"/>
    <n v="28"/>
    <n v="5572"/>
    <n v="66864"/>
    <x v="0"/>
    <b v="1"/>
    <b v="0"/>
    <b v="0"/>
    <x v="0"/>
    <b v="1"/>
  </r>
  <r>
    <s v="S-cdd281"/>
    <s v="A-39ddf4"/>
    <d v="2024-12-30T00:00:00"/>
    <m/>
    <x v="0"/>
    <n v="40"/>
    <n v="7960"/>
    <n v="95520"/>
    <x v="0"/>
    <b v="0"/>
    <b v="0"/>
    <b v="0"/>
    <x v="0"/>
    <b v="1"/>
  </r>
  <r>
    <s v="S-f83141"/>
    <s v="A-659280"/>
    <d v="2024-12-26T00:00:00"/>
    <m/>
    <x v="2"/>
    <n v="17"/>
    <n v="0"/>
    <n v="0"/>
    <x v="1"/>
    <b v="0"/>
    <b v="0"/>
    <b v="0"/>
    <x v="1"/>
    <b v="0"/>
  </r>
  <r>
    <s v="S-3af429"/>
    <s v="A-9077b0"/>
    <d v="2024-12-10T00:00:00"/>
    <m/>
    <x v="2"/>
    <n v="30"/>
    <n v="0"/>
    <n v="0"/>
    <x v="1"/>
    <b v="1"/>
    <b v="0"/>
    <b v="0"/>
    <x v="0"/>
    <b v="1"/>
  </r>
  <r>
    <s v="S-0cb4fe"/>
    <s v="A-560d27"/>
    <d v="2024-05-31T00:00:00"/>
    <m/>
    <x v="0"/>
    <n v="71"/>
    <n v="14129"/>
    <n v="169548"/>
    <x v="0"/>
    <b v="0"/>
    <b v="0"/>
    <b v="0"/>
    <x v="0"/>
    <b v="1"/>
  </r>
  <r>
    <s v="S-da3b68"/>
    <s v="A-5c046d"/>
    <d v="2024-11-23T00:00:00"/>
    <m/>
    <x v="0"/>
    <n v="93"/>
    <n v="18507"/>
    <n v="222084"/>
    <x v="0"/>
    <b v="0"/>
    <b v="0"/>
    <b v="0"/>
    <x v="0"/>
    <b v="1"/>
  </r>
  <r>
    <s v="S-620b62"/>
    <s v="A-d42431"/>
    <d v="2024-08-06T00:00:00"/>
    <m/>
    <x v="0"/>
    <n v="22"/>
    <n v="4378"/>
    <n v="52536"/>
    <x v="0"/>
    <b v="1"/>
    <b v="0"/>
    <b v="0"/>
    <x v="1"/>
    <b v="0"/>
  </r>
  <r>
    <s v="S-4056f6"/>
    <s v="A-86cdb4"/>
    <d v="2024-10-06T00:00:00"/>
    <m/>
    <x v="1"/>
    <n v="2"/>
    <n v="98"/>
    <n v="1176"/>
    <x v="0"/>
    <b v="0"/>
    <b v="0"/>
    <b v="0"/>
    <x v="1"/>
    <b v="1"/>
  </r>
  <r>
    <s v="S-7a1803"/>
    <s v="A-443b7c"/>
    <d v="2024-10-26T00:00:00"/>
    <m/>
    <x v="0"/>
    <n v="11"/>
    <n v="0"/>
    <n v="0"/>
    <x v="1"/>
    <b v="0"/>
    <b v="0"/>
    <b v="0"/>
    <x v="1"/>
    <b v="1"/>
  </r>
  <r>
    <s v="S-ddc51c"/>
    <s v="A-ad296b"/>
    <d v="2024-12-09T00:00:00"/>
    <m/>
    <x v="1"/>
    <n v="38"/>
    <n v="1862"/>
    <n v="22344"/>
    <x v="0"/>
    <b v="0"/>
    <b v="0"/>
    <b v="0"/>
    <x v="1"/>
    <b v="1"/>
  </r>
  <r>
    <s v="S-ba228b"/>
    <s v="A-a33200"/>
    <d v="2024-12-20T00:00:00"/>
    <m/>
    <x v="2"/>
    <n v="29"/>
    <n v="551"/>
    <n v="6612"/>
    <x v="0"/>
    <b v="0"/>
    <b v="0"/>
    <b v="0"/>
    <x v="0"/>
    <b v="1"/>
  </r>
  <r>
    <s v="S-e3255c"/>
    <s v="A-600734"/>
    <d v="2024-10-08T00:00:00"/>
    <m/>
    <x v="1"/>
    <n v="29"/>
    <n v="1421"/>
    <n v="17052"/>
    <x v="0"/>
    <b v="0"/>
    <b v="0"/>
    <b v="0"/>
    <x v="0"/>
    <b v="1"/>
  </r>
  <r>
    <s v="S-5619af"/>
    <s v="A-1d5444"/>
    <d v="2024-04-23T00:00:00"/>
    <m/>
    <x v="0"/>
    <n v="24"/>
    <n v="4776"/>
    <n v="57312"/>
    <x v="0"/>
    <b v="0"/>
    <b v="0"/>
    <b v="0"/>
    <x v="0"/>
    <b v="0"/>
  </r>
  <r>
    <s v="S-47048b"/>
    <s v="A-0f7d77"/>
    <d v="2024-12-31T00:00:00"/>
    <m/>
    <x v="2"/>
    <n v="7"/>
    <n v="133"/>
    <n v="1596"/>
    <x v="0"/>
    <b v="0"/>
    <b v="0"/>
    <b v="0"/>
    <x v="1"/>
    <b v="1"/>
  </r>
  <r>
    <s v="S-b60208"/>
    <s v="A-9174e0"/>
    <d v="2024-12-06T00:00:00"/>
    <m/>
    <x v="0"/>
    <n v="37"/>
    <n v="0"/>
    <n v="0"/>
    <x v="1"/>
    <b v="0"/>
    <b v="0"/>
    <b v="0"/>
    <x v="1"/>
    <b v="1"/>
  </r>
  <r>
    <s v="S-64d203"/>
    <s v="A-f17767"/>
    <d v="2024-03-20T00:00:00"/>
    <m/>
    <x v="1"/>
    <n v="9"/>
    <n v="441"/>
    <n v="5292"/>
    <x v="0"/>
    <b v="0"/>
    <b v="0"/>
    <b v="0"/>
    <x v="0"/>
    <b v="1"/>
  </r>
  <r>
    <s v="S-a87ff6"/>
    <s v="A-4e960a"/>
    <d v="2024-12-08T00:00:00"/>
    <m/>
    <x v="2"/>
    <n v="12"/>
    <n v="228"/>
    <n v="2736"/>
    <x v="0"/>
    <b v="0"/>
    <b v="0"/>
    <b v="0"/>
    <x v="0"/>
    <b v="1"/>
  </r>
  <r>
    <s v="S-0ff481"/>
    <s v="A-6c093d"/>
    <d v="2023-04-30T00:00:00"/>
    <m/>
    <x v="2"/>
    <n v="15"/>
    <n v="285"/>
    <n v="3420"/>
    <x v="0"/>
    <b v="0"/>
    <b v="0"/>
    <b v="0"/>
    <x v="1"/>
    <b v="0"/>
  </r>
  <r>
    <s v="S-bb3c63"/>
    <s v="A-94d3da"/>
    <d v="2023-12-01T00:00:00"/>
    <m/>
    <x v="2"/>
    <n v="41"/>
    <n v="779"/>
    <n v="9348"/>
    <x v="0"/>
    <b v="0"/>
    <b v="0"/>
    <b v="0"/>
    <x v="0"/>
    <b v="1"/>
  </r>
  <r>
    <s v="S-55aa8a"/>
    <s v="A-bad8c1"/>
    <d v="2023-11-15T00:00:00"/>
    <m/>
    <x v="1"/>
    <n v="60"/>
    <n v="0"/>
    <n v="0"/>
    <x v="1"/>
    <b v="0"/>
    <b v="0"/>
    <b v="0"/>
    <x v="0"/>
    <b v="1"/>
  </r>
  <r>
    <s v="S-196dc6"/>
    <s v="A-eb2fdc"/>
    <d v="2024-05-22T00:00:00"/>
    <m/>
    <x v="0"/>
    <n v="47"/>
    <n v="9353"/>
    <n v="112236"/>
    <x v="0"/>
    <b v="0"/>
    <b v="0"/>
    <b v="0"/>
    <x v="1"/>
    <b v="1"/>
  </r>
  <r>
    <s v="S-afa7a7"/>
    <s v="A-1b9609"/>
    <d v="2024-10-03T00:00:00"/>
    <m/>
    <x v="0"/>
    <n v="25"/>
    <n v="0"/>
    <n v="0"/>
    <x v="1"/>
    <b v="0"/>
    <b v="0"/>
    <b v="0"/>
    <x v="1"/>
    <b v="1"/>
  </r>
  <r>
    <s v="S-fcef74"/>
    <s v="A-ad64c6"/>
    <d v="2024-09-08T00:00:00"/>
    <m/>
    <x v="1"/>
    <n v="12"/>
    <n v="588"/>
    <n v="7056"/>
    <x v="0"/>
    <b v="0"/>
    <b v="0"/>
    <b v="0"/>
    <x v="0"/>
    <b v="1"/>
  </r>
  <r>
    <s v="S-a3129d"/>
    <s v="A-712426"/>
    <d v="2024-12-07T00:00:00"/>
    <m/>
    <x v="0"/>
    <n v="18"/>
    <n v="0"/>
    <n v="0"/>
    <x v="1"/>
    <b v="0"/>
    <b v="0"/>
    <b v="0"/>
    <x v="1"/>
    <b v="1"/>
  </r>
  <r>
    <s v="S-8def89"/>
    <s v="A-cbd1a3"/>
    <d v="2024-11-27T00:00:00"/>
    <m/>
    <x v="0"/>
    <n v="8"/>
    <n v="1592"/>
    <n v="19104"/>
    <x v="0"/>
    <b v="0"/>
    <b v="0"/>
    <b v="0"/>
    <x v="1"/>
    <b v="1"/>
  </r>
  <r>
    <s v="S-a2cde5"/>
    <s v="A-463db0"/>
    <d v="2024-12-20T00:00:00"/>
    <m/>
    <x v="1"/>
    <n v="15"/>
    <n v="735"/>
    <n v="8820"/>
    <x v="0"/>
    <b v="0"/>
    <b v="0"/>
    <b v="0"/>
    <x v="1"/>
    <b v="0"/>
  </r>
  <r>
    <s v="S-c855b0"/>
    <s v="A-ac14bb"/>
    <d v="2024-01-16T00:00:00"/>
    <m/>
    <x v="0"/>
    <n v="71"/>
    <n v="14129"/>
    <n v="169548"/>
    <x v="0"/>
    <b v="1"/>
    <b v="0"/>
    <b v="0"/>
    <x v="1"/>
    <b v="1"/>
  </r>
  <r>
    <s v="S-85ddea"/>
    <s v="A-cc1d8d"/>
    <d v="2024-12-20T00:00:00"/>
    <m/>
    <x v="0"/>
    <n v="5"/>
    <n v="995"/>
    <n v="11940"/>
    <x v="0"/>
    <b v="0"/>
    <b v="0"/>
    <b v="0"/>
    <x v="0"/>
    <b v="1"/>
  </r>
  <r>
    <s v="S-982ee2"/>
    <s v="A-eb2fdc"/>
    <d v="2024-11-07T00:00:00"/>
    <m/>
    <x v="0"/>
    <n v="31"/>
    <n v="6169"/>
    <n v="74028"/>
    <x v="0"/>
    <b v="0"/>
    <b v="0"/>
    <b v="0"/>
    <x v="1"/>
    <b v="1"/>
  </r>
  <r>
    <s v="S-6ce11a"/>
    <s v="A-ac85cd"/>
    <d v="2024-12-03T00:00:00"/>
    <m/>
    <x v="2"/>
    <n v="53"/>
    <n v="1007"/>
    <n v="12084"/>
    <x v="0"/>
    <b v="0"/>
    <b v="0"/>
    <b v="0"/>
    <x v="1"/>
    <b v="1"/>
  </r>
  <r>
    <s v="S-d638c7"/>
    <s v="A-832ec2"/>
    <d v="2024-07-25T00:00:00"/>
    <m/>
    <x v="2"/>
    <n v="31"/>
    <n v="589"/>
    <n v="7068"/>
    <x v="0"/>
    <b v="1"/>
    <b v="0"/>
    <b v="0"/>
    <x v="1"/>
    <b v="1"/>
  </r>
  <r>
    <s v="S-f967c2"/>
    <s v="A-029f69"/>
    <d v="2024-12-10T00:00:00"/>
    <m/>
    <x v="2"/>
    <n v="7"/>
    <n v="133"/>
    <n v="1596"/>
    <x v="0"/>
    <b v="0"/>
    <b v="0"/>
    <b v="0"/>
    <x v="0"/>
    <b v="1"/>
  </r>
  <r>
    <s v="S-196c1e"/>
    <s v="A-7df7a7"/>
    <d v="2024-11-04T00:00:00"/>
    <m/>
    <x v="2"/>
    <n v="7"/>
    <n v="133"/>
    <n v="1596"/>
    <x v="0"/>
    <b v="0"/>
    <b v="0"/>
    <b v="0"/>
    <x v="1"/>
    <b v="1"/>
  </r>
  <r>
    <s v="S-559e85"/>
    <s v="A-53f4e3"/>
    <d v="2024-12-22T00:00:00"/>
    <m/>
    <x v="1"/>
    <n v="29"/>
    <n v="1421"/>
    <n v="17052"/>
    <x v="0"/>
    <b v="0"/>
    <b v="0"/>
    <b v="0"/>
    <x v="0"/>
    <b v="1"/>
  </r>
  <r>
    <s v="S-af7a2c"/>
    <s v="A-dcc2f0"/>
    <d v="2024-11-13T00:00:00"/>
    <m/>
    <x v="2"/>
    <n v="22"/>
    <n v="418"/>
    <n v="5016"/>
    <x v="0"/>
    <b v="1"/>
    <b v="0"/>
    <b v="0"/>
    <x v="1"/>
    <b v="1"/>
  </r>
  <r>
    <s v="S-e66253"/>
    <s v="A-d5a319"/>
    <d v="2024-11-19T00:00:00"/>
    <m/>
    <x v="0"/>
    <n v="15"/>
    <n v="2985"/>
    <n v="35820"/>
    <x v="0"/>
    <b v="0"/>
    <b v="0"/>
    <b v="0"/>
    <x v="1"/>
    <b v="1"/>
  </r>
  <r>
    <s v="S-25f647"/>
    <s v="A-425e76"/>
    <d v="2024-07-10T00:00:00"/>
    <m/>
    <x v="2"/>
    <n v="37"/>
    <n v="703"/>
    <n v="8436"/>
    <x v="0"/>
    <b v="0"/>
    <b v="0"/>
    <b v="0"/>
    <x v="0"/>
    <b v="1"/>
  </r>
  <r>
    <s v="S-766d8b"/>
    <s v="A-82861f"/>
    <d v="2024-05-27T00:00:00"/>
    <d v="2024-11-15T00:00:00"/>
    <x v="0"/>
    <n v="41"/>
    <n v="8159"/>
    <n v="97908"/>
    <x v="0"/>
    <b v="0"/>
    <b v="0"/>
    <b v="1"/>
    <x v="0"/>
    <b v="1"/>
  </r>
  <r>
    <s v="S-39f1ed"/>
    <s v="A-6dee43"/>
    <d v="2024-04-27T00:00:00"/>
    <m/>
    <x v="1"/>
    <n v="3"/>
    <n v="147"/>
    <n v="1764"/>
    <x v="0"/>
    <b v="0"/>
    <b v="0"/>
    <b v="0"/>
    <x v="0"/>
    <b v="1"/>
  </r>
  <r>
    <s v="S-70c734"/>
    <s v="A-bd4708"/>
    <d v="2024-09-05T00:00:00"/>
    <m/>
    <x v="1"/>
    <n v="37"/>
    <n v="1813"/>
    <n v="21756"/>
    <x v="0"/>
    <b v="0"/>
    <b v="0"/>
    <b v="0"/>
    <x v="1"/>
    <b v="1"/>
  </r>
  <r>
    <s v="S-e44831"/>
    <s v="A-bb2f49"/>
    <d v="2024-12-26T00:00:00"/>
    <m/>
    <x v="1"/>
    <n v="28"/>
    <n v="1372"/>
    <n v="16464"/>
    <x v="0"/>
    <b v="0"/>
    <b v="0"/>
    <b v="0"/>
    <x v="0"/>
    <b v="0"/>
  </r>
  <r>
    <s v="S-21c164"/>
    <s v="A-029f69"/>
    <d v="2024-12-31T00:00:00"/>
    <m/>
    <x v="2"/>
    <n v="34"/>
    <n v="646"/>
    <n v="7752"/>
    <x v="0"/>
    <b v="0"/>
    <b v="0"/>
    <b v="0"/>
    <x v="1"/>
    <b v="1"/>
  </r>
  <r>
    <s v="S-d83789"/>
    <s v="A-104f1a"/>
    <d v="2024-12-10T00:00:00"/>
    <m/>
    <x v="1"/>
    <n v="24"/>
    <n v="1176"/>
    <n v="14112"/>
    <x v="0"/>
    <b v="0"/>
    <b v="0"/>
    <b v="0"/>
    <x v="0"/>
    <b v="1"/>
  </r>
  <r>
    <s v="S-dafec3"/>
    <s v="A-684255"/>
    <d v="2024-09-09T00:00:00"/>
    <m/>
    <x v="0"/>
    <n v="9"/>
    <n v="1791"/>
    <n v="21492"/>
    <x v="0"/>
    <b v="0"/>
    <b v="0"/>
    <b v="0"/>
    <x v="1"/>
    <b v="0"/>
  </r>
  <r>
    <s v="S-9cd745"/>
    <s v="A-cab532"/>
    <d v="2023-07-24T00:00:00"/>
    <m/>
    <x v="0"/>
    <n v="11"/>
    <n v="2189"/>
    <n v="26268"/>
    <x v="0"/>
    <b v="0"/>
    <b v="0"/>
    <b v="0"/>
    <x v="0"/>
    <b v="1"/>
  </r>
  <r>
    <s v="S-90e2d7"/>
    <s v="A-8ae3fc"/>
    <d v="2024-07-17T00:00:00"/>
    <m/>
    <x v="2"/>
    <n v="31"/>
    <n v="589"/>
    <n v="7068"/>
    <x v="0"/>
    <b v="0"/>
    <b v="0"/>
    <b v="0"/>
    <x v="1"/>
    <b v="1"/>
  </r>
  <r>
    <s v="S-ca72d9"/>
    <s v="A-bcf664"/>
    <d v="2024-01-29T00:00:00"/>
    <m/>
    <x v="2"/>
    <n v="55"/>
    <n v="1045"/>
    <n v="12540"/>
    <x v="0"/>
    <b v="0"/>
    <b v="0"/>
    <b v="0"/>
    <x v="1"/>
    <b v="1"/>
  </r>
  <r>
    <s v="S-e05562"/>
    <s v="A-075038"/>
    <d v="2023-11-08T00:00:00"/>
    <m/>
    <x v="1"/>
    <n v="17"/>
    <n v="833"/>
    <n v="9996"/>
    <x v="0"/>
    <b v="0"/>
    <b v="0"/>
    <b v="0"/>
    <x v="0"/>
    <b v="1"/>
  </r>
  <r>
    <s v="S-c14073"/>
    <s v="A-ba6516"/>
    <d v="2024-01-30T00:00:00"/>
    <m/>
    <x v="2"/>
    <n v="27"/>
    <n v="513"/>
    <n v="6156"/>
    <x v="0"/>
    <b v="1"/>
    <b v="0"/>
    <b v="0"/>
    <x v="1"/>
    <b v="1"/>
  </r>
  <r>
    <s v="S-01b2dc"/>
    <s v="A-cc102e"/>
    <d v="2024-12-23T00:00:00"/>
    <m/>
    <x v="2"/>
    <n v="13"/>
    <n v="247"/>
    <n v="2964"/>
    <x v="0"/>
    <b v="1"/>
    <b v="0"/>
    <b v="0"/>
    <x v="1"/>
    <b v="1"/>
  </r>
  <r>
    <s v="S-e25e6e"/>
    <s v="A-5a92e7"/>
    <d v="2024-12-07T00:00:00"/>
    <m/>
    <x v="2"/>
    <n v="4"/>
    <n v="76"/>
    <n v="912"/>
    <x v="0"/>
    <b v="0"/>
    <b v="0"/>
    <b v="0"/>
    <x v="0"/>
    <b v="1"/>
  </r>
  <r>
    <s v="S-47e122"/>
    <s v="A-271f46"/>
    <d v="2023-07-01T00:00:00"/>
    <m/>
    <x v="2"/>
    <n v="38"/>
    <n v="722"/>
    <n v="8664"/>
    <x v="0"/>
    <b v="0"/>
    <b v="0"/>
    <b v="0"/>
    <x v="0"/>
    <b v="1"/>
  </r>
  <r>
    <s v="S-5856ab"/>
    <s v="A-3c1a3f"/>
    <d v="2024-05-06T00:00:00"/>
    <d v="2024-11-25T00:00:00"/>
    <x v="1"/>
    <n v="19"/>
    <n v="931"/>
    <n v="11172"/>
    <x v="0"/>
    <b v="0"/>
    <b v="0"/>
    <b v="1"/>
    <x v="1"/>
    <b v="1"/>
  </r>
  <r>
    <s v="S-edd29b"/>
    <s v="A-592832"/>
    <d v="2024-12-24T00:00:00"/>
    <m/>
    <x v="0"/>
    <n v="18"/>
    <n v="3582"/>
    <n v="42984"/>
    <x v="0"/>
    <b v="0"/>
    <b v="0"/>
    <b v="0"/>
    <x v="1"/>
    <b v="1"/>
  </r>
  <r>
    <s v="S-dc77b7"/>
    <s v="A-cbd1a3"/>
    <d v="2024-12-29T00:00:00"/>
    <m/>
    <x v="2"/>
    <n v="20"/>
    <n v="380"/>
    <n v="4560"/>
    <x v="0"/>
    <b v="0"/>
    <b v="0"/>
    <b v="0"/>
    <x v="1"/>
    <b v="1"/>
  </r>
  <r>
    <s v="S-2d0c1f"/>
    <s v="A-241e75"/>
    <d v="2024-07-11T00:00:00"/>
    <m/>
    <x v="1"/>
    <n v="46"/>
    <n v="2254"/>
    <n v="27048"/>
    <x v="0"/>
    <b v="0"/>
    <b v="0"/>
    <b v="0"/>
    <x v="1"/>
    <b v="1"/>
  </r>
  <r>
    <s v="S-ac42e8"/>
    <s v="A-417d2f"/>
    <d v="2024-09-08T00:00:00"/>
    <m/>
    <x v="2"/>
    <n v="49"/>
    <n v="931"/>
    <n v="11172"/>
    <x v="0"/>
    <b v="0"/>
    <b v="0"/>
    <b v="0"/>
    <x v="0"/>
    <b v="0"/>
  </r>
  <r>
    <s v="S-5c3f50"/>
    <s v="A-f3ff05"/>
    <d v="2024-09-11T00:00:00"/>
    <m/>
    <x v="0"/>
    <n v="4"/>
    <n v="796"/>
    <n v="9552"/>
    <x v="0"/>
    <b v="0"/>
    <b v="0"/>
    <b v="0"/>
    <x v="1"/>
    <b v="1"/>
  </r>
  <r>
    <s v="S-84e658"/>
    <s v="A-922109"/>
    <d v="2024-08-18T00:00:00"/>
    <m/>
    <x v="0"/>
    <n v="3"/>
    <n v="0"/>
    <n v="0"/>
    <x v="1"/>
    <b v="0"/>
    <b v="0"/>
    <b v="0"/>
    <x v="0"/>
    <b v="0"/>
  </r>
  <r>
    <s v="S-1dbbc2"/>
    <s v="A-42b791"/>
    <d v="2024-12-30T00:00:00"/>
    <m/>
    <x v="2"/>
    <n v="20"/>
    <n v="380"/>
    <n v="4560"/>
    <x v="0"/>
    <b v="0"/>
    <b v="0"/>
    <b v="0"/>
    <x v="0"/>
    <b v="0"/>
  </r>
  <r>
    <s v="S-b633be"/>
    <s v="A-6c093d"/>
    <d v="2023-09-26T00:00:00"/>
    <d v="2024-07-14T00:00:00"/>
    <x v="2"/>
    <n v="62"/>
    <n v="0"/>
    <n v="0"/>
    <x v="1"/>
    <b v="0"/>
    <b v="0"/>
    <b v="1"/>
    <x v="0"/>
    <b v="1"/>
  </r>
  <r>
    <s v="S-a1676a"/>
    <s v="A-bb3bd4"/>
    <d v="2024-05-06T00:00:00"/>
    <m/>
    <x v="1"/>
    <n v="23"/>
    <n v="1127"/>
    <n v="13524"/>
    <x v="0"/>
    <b v="0"/>
    <b v="0"/>
    <b v="0"/>
    <x v="1"/>
    <b v="1"/>
  </r>
  <r>
    <s v="S-e958ba"/>
    <s v="A-417d2f"/>
    <d v="2024-03-29T00:00:00"/>
    <m/>
    <x v="1"/>
    <n v="13"/>
    <n v="637"/>
    <n v="7644"/>
    <x v="0"/>
    <b v="0"/>
    <b v="0"/>
    <b v="0"/>
    <x v="0"/>
    <b v="1"/>
  </r>
  <r>
    <s v="S-86571c"/>
    <s v="A-d26ab4"/>
    <d v="2024-12-27T00:00:00"/>
    <m/>
    <x v="0"/>
    <n v="33"/>
    <n v="6567"/>
    <n v="78804"/>
    <x v="0"/>
    <b v="0"/>
    <b v="0"/>
    <b v="0"/>
    <x v="0"/>
    <b v="1"/>
  </r>
  <r>
    <s v="S-4193dd"/>
    <s v="A-4e631b"/>
    <d v="2024-10-13T00:00:00"/>
    <m/>
    <x v="2"/>
    <n v="22"/>
    <n v="418"/>
    <n v="5016"/>
    <x v="0"/>
    <b v="0"/>
    <b v="0"/>
    <b v="0"/>
    <x v="0"/>
    <b v="1"/>
  </r>
  <r>
    <s v="S-860bc8"/>
    <s v="A-42e5e1"/>
    <d v="2024-08-29T00:00:00"/>
    <m/>
    <x v="2"/>
    <n v="1"/>
    <n v="19"/>
    <n v="228"/>
    <x v="0"/>
    <b v="0"/>
    <b v="0"/>
    <b v="0"/>
    <x v="1"/>
    <b v="1"/>
  </r>
  <r>
    <s v="S-2e78ce"/>
    <s v="A-84ebe4"/>
    <d v="2024-04-15T00:00:00"/>
    <d v="2024-10-22T00:00:00"/>
    <x v="2"/>
    <n v="18"/>
    <n v="342"/>
    <n v="4104"/>
    <x v="0"/>
    <b v="0"/>
    <b v="0"/>
    <b v="1"/>
    <x v="0"/>
    <b v="1"/>
  </r>
  <r>
    <s v="S-b5a1a0"/>
    <s v="A-474ad4"/>
    <d v="2023-12-04T00:00:00"/>
    <m/>
    <x v="2"/>
    <n v="10"/>
    <n v="190"/>
    <n v="2280"/>
    <x v="0"/>
    <b v="1"/>
    <b v="1"/>
    <b v="0"/>
    <x v="1"/>
    <b v="1"/>
  </r>
  <r>
    <s v="S-480226"/>
    <s v="A-7f6b86"/>
    <d v="2024-05-21T00:00:00"/>
    <m/>
    <x v="2"/>
    <n v="45"/>
    <n v="855"/>
    <n v="10260"/>
    <x v="0"/>
    <b v="1"/>
    <b v="0"/>
    <b v="0"/>
    <x v="1"/>
    <b v="1"/>
  </r>
  <r>
    <s v="S-be828b"/>
    <s v="A-cbbe12"/>
    <d v="2023-08-09T00:00:00"/>
    <m/>
    <x v="1"/>
    <n v="40"/>
    <n v="1960"/>
    <n v="23520"/>
    <x v="0"/>
    <b v="0"/>
    <b v="0"/>
    <b v="0"/>
    <x v="0"/>
    <b v="1"/>
  </r>
  <r>
    <s v="S-3ffd93"/>
    <s v="A-cc1d8d"/>
    <d v="2024-12-23T00:00:00"/>
    <m/>
    <x v="2"/>
    <n v="39"/>
    <n v="741"/>
    <n v="8892"/>
    <x v="0"/>
    <b v="0"/>
    <b v="0"/>
    <b v="0"/>
    <x v="0"/>
    <b v="1"/>
  </r>
  <r>
    <s v="S-94d88f"/>
    <s v="A-ccc747"/>
    <d v="2024-09-11T00:00:00"/>
    <m/>
    <x v="1"/>
    <n v="16"/>
    <n v="784"/>
    <n v="9408"/>
    <x v="0"/>
    <b v="0"/>
    <b v="0"/>
    <b v="0"/>
    <x v="1"/>
    <b v="0"/>
  </r>
  <r>
    <s v="S-b27c39"/>
    <s v="A-484819"/>
    <d v="2023-06-02T00:00:00"/>
    <d v="2024-07-03T00:00:00"/>
    <x v="2"/>
    <n v="18"/>
    <n v="342"/>
    <n v="4104"/>
    <x v="0"/>
    <b v="1"/>
    <b v="0"/>
    <b v="1"/>
    <x v="0"/>
    <b v="1"/>
  </r>
  <r>
    <s v="S-d073bb"/>
    <s v="A-a1bbb6"/>
    <d v="2023-08-13T00:00:00"/>
    <m/>
    <x v="0"/>
    <n v="9"/>
    <n v="1791"/>
    <n v="21492"/>
    <x v="0"/>
    <b v="0"/>
    <b v="0"/>
    <b v="0"/>
    <x v="0"/>
    <b v="1"/>
  </r>
  <r>
    <s v="S-afe3b8"/>
    <s v="A-cc1d8d"/>
    <d v="2024-12-10T00:00:00"/>
    <m/>
    <x v="1"/>
    <n v="16"/>
    <n v="784"/>
    <n v="9408"/>
    <x v="0"/>
    <b v="0"/>
    <b v="0"/>
    <b v="0"/>
    <x v="0"/>
    <b v="1"/>
  </r>
  <r>
    <s v="S-bbd8b5"/>
    <s v="A-54ecc2"/>
    <d v="2023-11-26T00:00:00"/>
    <m/>
    <x v="2"/>
    <n v="4"/>
    <n v="76"/>
    <n v="912"/>
    <x v="0"/>
    <b v="0"/>
    <b v="0"/>
    <b v="0"/>
    <x v="1"/>
    <b v="1"/>
  </r>
  <r>
    <s v="S-6d10f7"/>
    <s v="A-7641d3"/>
    <d v="2024-11-17T00:00:00"/>
    <m/>
    <x v="1"/>
    <n v="16"/>
    <n v="784"/>
    <n v="9408"/>
    <x v="0"/>
    <b v="0"/>
    <b v="0"/>
    <b v="0"/>
    <x v="0"/>
    <b v="1"/>
  </r>
  <r>
    <s v="S-491d53"/>
    <s v="A-3cc791"/>
    <d v="2024-05-23T00:00:00"/>
    <m/>
    <x v="1"/>
    <n v="12"/>
    <n v="588"/>
    <n v="7056"/>
    <x v="0"/>
    <b v="0"/>
    <b v="0"/>
    <b v="0"/>
    <x v="0"/>
    <b v="1"/>
  </r>
  <r>
    <s v="S-cfedb3"/>
    <s v="A-54d94a"/>
    <d v="2024-07-16T00:00:00"/>
    <m/>
    <x v="2"/>
    <n v="27"/>
    <n v="513"/>
    <n v="6156"/>
    <x v="0"/>
    <b v="0"/>
    <b v="0"/>
    <b v="0"/>
    <x v="1"/>
    <b v="1"/>
  </r>
  <r>
    <s v="S-62a617"/>
    <s v="A-2d1036"/>
    <d v="2024-09-23T00:00:00"/>
    <d v="2024-10-17T00:00:00"/>
    <x v="2"/>
    <n v="69"/>
    <n v="1311"/>
    <n v="15732"/>
    <x v="0"/>
    <b v="0"/>
    <b v="0"/>
    <b v="1"/>
    <x v="1"/>
    <b v="0"/>
  </r>
  <r>
    <s v="S-0b3f0c"/>
    <s v="A-3be56b"/>
    <d v="2024-06-12T00:00:00"/>
    <m/>
    <x v="0"/>
    <n v="3"/>
    <n v="0"/>
    <n v="0"/>
    <x v="1"/>
    <b v="0"/>
    <b v="0"/>
    <b v="0"/>
    <x v="0"/>
    <b v="1"/>
  </r>
  <r>
    <s v="S-e5909f"/>
    <s v="A-b44e3e"/>
    <d v="2024-04-17T00:00:00"/>
    <m/>
    <x v="1"/>
    <n v="40"/>
    <n v="1960"/>
    <n v="23520"/>
    <x v="0"/>
    <b v="1"/>
    <b v="0"/>
    <b v="0"/>
    <x v="1"/>
    <b v="1"/>
  </r>
  <r>
    <s v="S-53ff75"/>
    <s v="A-acb7f7"/>
    <d v="2024-11-26T00:00:00"/>
    <m/>
    <x v="2"/>
    <n v="32"/>
    <n v="608"/>
    <n v="7296"/>
    <x v="0"/>
    <b v="0"/>
    <b v="1"/>
    <b v="0"/>
    <x v="0"/>
    <b v="1"/>
  </r>
  <r>
    <s v="S-4a724b"/>
    <s v="A-00bed1"/>
    <d v="2024-08-06T00:00:00"/>
    <m/>
    <x v="1"/>
    <n v="28"/>
    <n v="1372"/>
    <n v="16464"/>
    <x v="0"/>
    <b v="0"/>
    <b v="0"/>
    <b v="0"/>
    <x v="1"/>
    <b v="1"/>
  </r>
  <r>
    <s v="S-ce90ba"/>
    <s v="A-812c5b"/>
    <d v="2024-04-03T00:00:00"/>
    <m/>
    <x v="1"/>
    <n v="55"/>
    <n v="0"/>
    <n v="0"/>
    <x v="1"/>
    <b v="0"/>
    <b v="0"/>
    <b v="0"/>
    <x v="0"/>
    <b v="1"/>
  </r>
  <r>
    <s v="S-672dd6"/>
    <s v="A-05d3b3"/>
    <d v="2023-08-03T00:00:00"/>
    <m/>
    <x v="0"/>
    <n v="16"/>
    <n v="3184"/>
    <n v="38208"/>
    <x v="0"/>
    <b v="0"/>
    <b v="0"/>
    <b v="0"/>
    <x v="0"/>
    <b v="1"/>
  </r>
  <r>
    <s v="S-78172b"/>
    <s v="A-f9cc74"/>
    <d v="2024-10-30T00:00:00"/>
    <m/>
    <x v="0"/>
    <n v="30"/>
    <n v="5970"/>
    <n v="71640"/>
    <x v="0"/>
    <b v="0"/>
    <b v="0"/>
    <b v="0"/>
    <x v="0"/>
    <b v="1"/>
  </r>
  <r>
    <s v="S-ea9f08"/>
    <s v="A-b9eed8"/>
    <d v="2024-07-14T00:00:00"/>
    <m/>
    <x v="1"/>
    <n v="13"/>
    <n v="637"/>
    <n v="7644"/>
    <x v="0"/>
    <b v="0"/>
    <b v="1"/>
    <b v="0"/>
    <x v="1"/>
    <b v="1"/>
  </r>
  <r>
    <s v="S-5aa854"/>
    <s v="A-328bd0"/>
    <d v="2024-04-29T00:00:00"/>
    <m/>
    <x v="1"/>
    <n v="18"/>
    <n v="882"/>
    <n v="10584"/>
    <x v="0"/>
    <b v="0"/>
    <b v="0"/>
    <b v="0"/>
    <x v="1"/>
    <b v="1"/>
  </r>
  <r>
    <s v="S-e81358"/>
    <s v="A-d77f4c"/>
    <d v="2024-02-29T00:00:00"/>
    <m/>
    <x v="1"/>
    <n v="29"/>
    <n v="1421"/>
    <n v="17052"/>
    <x v="0"/>
    <b v="0"/>
    <b v="0"/>
    <b v="0"/>
    <x v="1"/>
    <b v="1"/>
  </r>
  <r>
    <s v="S-e95f57"/>
    <s v="A-1986ca"/>
    <d v="2024-09-24T00:00:00"/>
    <m/>
    <x v="0"/>
    <n v="20"/>
    <n v="3980"/>
    <n v="47760"/>
    <x v="0"/>
    <b v="0"/>
    <b v="0"/>
    <b v="0"/>
    <x v="0"/>
    <b v="0"/>
  </r>
  <r>
    <s v="S-0027d3"/>
    <s v="A-e693b6"/>
    <d v="2024-05-04T00:00:00"/>
    <m/>
    <x v="2"/>
    <n v="55"/>
    <n v="1045"/>
    <n v="12540"/>
    <x v="0"/>
    <b v="0"/>
    <b v="0"/>
    <b v="0"/>
    <x v="1"/>
    <b v="1"/>
  </r>
  <r>
    <s v="S-3ce79c"/>
    <s v="A-781cc0"/>
    <d v="2024-10-17T00:00:00"/>
    <m/>
    <x v="0"/>
    <n v="22"/>
    <n v="4378"/>
    <n v="52536"/>
    <x v="0"/>
    <b v="0"/>
    <b v="0"/>
    <b v="0"/>
    <x v="0"/>
    <b v="0"/>
  </r>
  <r>
    <s v="S-6e81f5"/>
    <s v="A-bece89"/>
    <d v="2024-10-18T00:00:00"/>
    <m/>
    <x v="1"/>
    <n v="38"/>
    <n v="1862"/>
    <n v="22344"/>
    <x v="0"/>
    <b v="0"/>
    <b v="0"/>
    <b v="0"/>
    <x v="1"/>
    <b v="1"/>
  </r>
  <r>
    <s v="S-775a4f"/>
    <s v="A-7c83a1"/>
    <d v="2024-07-18T00:00:00"/>
    <m/>
    <x v="0"/>
    <n v="19"/>
    <n v="3781"/>
    <n v="45372"/>
    <x v="0"/>
    <b v="0"/>
    <b v="0"/>
    <b v="0"/>
    <x v="0"/>
    <b v="1"/>
  </r>
  <r>
    <s v="S-f4e6c0"/>
    <s v="A-2f6a32"/>
    <d v="2024-11-16T00:00:00"/>
    <m/>
    <x v="2"/>
    <n v="19"/>
    <n v="0"/>
    <n v="0"/>
    <x v="1"/>
    <b v="0"/>
    <b v="0"/>
    <b v="0"/>
    <x v="0"/>
    <b v="1"/>
  </r>
  <r>
    <s v="S-089366"/>
    <s v="A-e60f9d"/>
    <d v="2024-11-12T00:00:00"/>
    <m/>
    <x v="2"/>
    <n v="29"/>
    <n v="551"/>
    <n v="6612"/>
    <x v="0"/>
    <b v="0"/>
    <b v="0"/>
    <b v="0"/>
    <x v="1"/>
    <b v="1"/>
  </r>
  <r>
    <s v="S-a19f87"/>
    <s v="A-bb1486"/>
    <d v="2024-12-18T00:00:00"/>
    <m/>
    <x v="1"/>
    <n v="41"/>
    <n v="2009"/>
    <n v="24108"/>
    <x v="0"/>
    <b v="0"/>
    <b v="0"/>
    <b v="0"/>
    <x v="1"/>
    <b v="1"/>
  </r>
  <r>
    <s v="S-2de283"/>
    <s v="A-117171"/>
    <d v="2024-11-27T00:00:00"/>
    <m/>
    <x v="1"/>
    <n v="45"/>
    <n v="0"/>
    <n v="0"/>
    <x v="1"/>
    <b v="0"/>
    <b v="0"/>
    <b v="0"/>
    <x v="0"/>
    <b v="1"/>
  </r>
  <r>
    <s v="S-f497df"/>
    <s v="A-751c58"/>
    <d v="2024-12-21T00:00:00"/>
    <m/>
    <x v="2"/>
    <n v="71"/>
    <n v="1349"/>
    <n v="16188"/>
    <x v="0"/>
    <b v="0"/>
    <b v="0"/>
    <b v="0"/>
    <x v="1"/>
    <b v="1"/>
  </r>
  <r>
    <s v="S-c8a4ff"/>
    <s v="A-fabe19"/>
    <d v="2024-12-24T00:00:00"/>
    <d v="2024-12-29T00:00:00"/>
    <x v="0"/>
    <n v="23"/>
    <n v="4577"/>
    <n v="54924"/>
    <x v="0"/>
    <b v="0"/>
    <b v="0"/>
    <b v="1"/>
    <x v="1"/>
    <b v="0"/>
  </r>
  <r>
    <s v="S-294d8b"/>
    <s v="A-9289f6"/>
    <d v="2024-09-15T00:00:00"/>
    <m/>
    <x v="0"/>
    <n v="17"/>
    <n v="3383"/>
    <n v="40596"/>
    <x v="0"/>
    <b v="0"/>
    <b v="0"/>
    <b v="0"/>
    <x v="0"/>
    <b v="1"/>
  </r>
  <r>
    <s v="S-a3927a"/>
    <s v="A-378b99"/>
    <d v="2024-12-02T00:00:00"/>
    <d v="2024-12-30T00:00:00"/>
    <x v="0"/>
    <n v="8"/>
    <n v="1592"/>
    <n v="19104"/>
    <x v="0"/>
    <b v="0"/>
    <b v="0"/>
    <b v="1"/>
    <x v="1"/>
    <b v="1"/>
  </r>
  <r>
    <s v="S-2cf162"/>
    <s v="A-a8d89d"/>
    <d v="2024-04-12T00:00:00"/>
    <m/>
    <x v="2"/>
    <n v="13"/>
    <n v="247"/>
    <n v="2964"/>
    <x v="0"/>
    <b v="0"/>
    <b v="0"/>
    <b v="0"/>
    <x v="1"/>
    <b v="1"/>
  </r>
  <r>
    <s v="S-7be036"/>
    <s v="A-3a7284"/>
    <d v="2024-12-28T00:00:00"/>
    <m/>
    <x v="1"/>
    <n v="31"/>
    <n v="1519"/>
    <n v="18228"/>
    <x v="0"/>
    <b v="1"/>
    <b v="0"/>
    <b v="0"/>
    <x v="1"/>
    <b v="1"/>
  </r>
  <r>
    <s v="S-1facfc"/>
    <s v="A-7df7a7"/>
    <d v="2024-03-04T00:00:00"/>
    <m/>
    <x v="1"/>
    <n v="7"/>
    <n v="343"/>
    <n v="4116"/>
    <x v="0"/>
    <b v="0"/>
    <b v="0"/>
    <b v="0"/>
    <x v="1"/>
    <b v="1"/>
  </r>
  <r>
    <s v="S-ccdc31"/>
    <s v="A-970c97"/>
    <d v="2024-12-16T00:00:00"/>
    <m/>
    <x v="1"/>
    <n v="19"/>
    <n v="931"/>
    <n v="11172"/>
    <x v="0"/>
    <b v="0"/>
    <b v="0"/>
    <b v="0"/>
    <x v="1"/>
    <b v="1"/>
  </r>
  <r>
    <s v="S-d3efa2"/>
    <s v="A-a1bbb6"/>
    <d v="2023-12-21T00:00:00"/>
    <m/>
    <x v="0"/>
    <n v="11"/>
    <n v="2189"/>
    <n v="26268"/>
    <x v="0"/>
    <b v="0"/>
    <b v="0"/>
    <b v="0"/>
    <x v="0"/>
    <b v="1"/>
  </r>
  <r>
    <s v="S-dcc1a5"/>
    <s v="A-029f69"/>
    <d v="2024-05-09T00:00:00"/>
    <m/>
    <x v="1"/>
    <n v="26"/>
    <n v="1274"/>
    <n v="15288"/>
    <x v="0"/>
    <b v="0"/>
    <b v="0"/>
    <b v="0"/>
    <x v="1"/>
    <b v="0"/>
  </r>
  <r>
    <s v="S-0d2fb8"/>
    <s v="A-43a9e3"/>
    <d v="2023-09-20T00:00:00"/>
    <m/>
    <x v="2"/>
    <n v="22"/>
    <n v="418"/>
    <n v="5016"/>
    <x v="0"/>
    <b v="0"/>
    <b v="0"/>
    <b v="0"/>
    <x v="1"/>
    <b v="0"/>
  </r>
  <r>
    <s v="S-0fcf7d"/>
    <s v="A-e08cd3"/>
    <d v="2024-11-23T00:00:00"/>
    <m/>
    <x v="1"/>
    <n v="67"/>
    <n v="3283"/>
    <n v="39396"/>
    <x v="0"/>
    <b v="0"/>
    <b v="0"/>
    <b v="0"/>
    <x v="1"/>
    <b v="0"/>
  </r>
  <r>
    <s v="S-e76552"/>
    <s v="A-474ad4"/>
    <d v="2024-09-13T00:00:00"/>
    <m/>
    <x v="1"/>
    <n v="8"/>
    <n v="392"/>
    <n v="4704"/>
    <x v="0"/>
    <b v="0"/>
    <b v="0"/>
    <b v="0"/>
    <x v="0"/>
    <b v="0"/>
  </r>
  <r>
    <s v="S-c14566"/>
    <s v="A-313be3"/>
    <d v="2023-12-11T00:00:00"/>
    <m/>
    <x v="1"/>
    <n v="47"/>
    <n v="2303"/>
    <n v="27636"/>
    <x v="0"/>
    <b v="0"/>
    <b v="0"/>
    <b v="0"/>
    <x v="1"/>
    <b v="1"/>
  </r>
  <r>
    <s v="S-a2fb62"/>
    <s v="A-443f6f"/>
    <d v="2024-12-10T00:00:00"/>
    <m/>
    <x v="1"/>
    <n v="19"/>
    <n v="931"/>
    <n v="11172"/>
    <x v="0"/>
    <b v="0"/>
    <b v="0"/>
    <b v="0"/>
    <x v="1"/>
    <b v="1"/>
  </r>
  <r>
    <s v="S-bd1912"/>
    <s v="A-0cc442"/>
    <d v="2024-10-06T00:00:00"/>
    <d v="2024-10-23T00:00:00"/>
    <x v="2"/>
    <n v="97"/>
    <n v="1843"/>
    <n v="22116"/>
    <x v="0"/>
    <b v="0"/>
    <b v="0"/>
    <b v="1"/>
    <x v="0"/>
    <b v="1"/>
  </r>
  <r>
    <s v="S-d5605e"/>
    <s v="A-e351e1"/>
    <d v="2024-11-11T00:00:00"/>
    <m/>
    <x v="2"/>
    <n v="33"/>
    <n v="0"/>
    <n v="0"/>
    <x v="1"/>
    <b v="0"/>
    <b v="0"/>
    <b v="0"/>
    <x v="0"/>
    <b v="0"/>
  </r>
  <r>
    <s v="S-b9c635"/>
    <s v="A-87aa7b"/>
    <d v="2024-06-02T00:00:00"/>
    <m/>
    <x v="1"/>
    <n v="24"/>
    <n v="1176"/>
    <n v="14112"/>
    <x v="0"/>
    <b v="0"/>
    <b v="1"/>
    <b v="0"/>
    <x v="0"/>
    <b v="1"/>
  </r>
  <r>
    <s v="S-f2dd76"/>
    <s v="A-443b7c"/>
    <d v="2024-11-13T00:00:00"/>
    <d v="2024-11-21T00:00:00"/>
    <x v="1"/>
    <n v="39"/>
    <n v="0"/>
    <n v="0"/>
    <x v="1"/>
    <b v="0"/>
    <b v="0"/>
    <b v="1"/>
    <x v="0"/>
    <b v="0"/>
  </r>
  <r>
    <s v="S-e7de53"/>
    <s v="A-4a4c2d"/>
    <d v="2024-07-08T00:00:00"/>
    <m/>
    <x v="2"/>
    <n v="54"/>
    <n v="1026"/>
    <n v="12312"/>
    <x v="0"/>
    <b v="0"/>
    <b v="0"/>
    <b v="0"/>
    <x v="0"/>
    <b v="1"/>
  </r>
  <r>
    <s v="S-8ed780"/>
    <s v="A-bc87bc"/>
    <d v="2024-12-09T00:00:00"/>
    <m/>
    <x v="2"/>
    <n v="13"/>
    <n v="247"/>
    <n v="2964"/>
    <x v="0"/>
    <b v="0"/>
    <b v="0"/>
    <b v="0"/>
    <x v="0"/>
    <b v="1"/>
  </r>
  <r>
    <s v="S-6a017c"/>
    <s v="A-6f8ad2"/>
    <d v="2024-10-03T00:00:00"/>
    <m/>
    <x v="0"/>
    <n v="5"/>
    <n v="995"/>
    <n v="11940"/>
    <x v="0"/>
    <b v="0"/>
    <b v="0"/>
    <b v="0"/>
    <x v="1"/>
    <b v="0"/>
  </r>
  <r>
    <s v="S-f2e134"/>
    <s v="A-4f18f0"/>
    <d v="2024-08-09T00:00:00"/>
    <d v="2024-10-07T00:00:00"/>
    <x v="2"/>
    <n v="25"/>
    <n v="475"/>
    <n v="5700"/>
    <x v="0"/>
    <b v="0"/>
    <b v="0"/>
    <b v="1"/>
    <x v="0"/>
    <b v="1"/>
  </r>
  <r>
    <s v="S-9fbdfb"/>
    <s v="A-e4144b"/>
    <d v="2024-11-25T00:00:00"/>
    <m/>
    <x v="0"/>
    <n v="79"/>
    <n v="0"/>
    <n v="0"/>
    <x v="1"/>
    <b v="1"/>
    <b v="0"/>
    <b v="0"/>
    <x v="1"/>
    <b v="1"/>
  </r>
  <r>
    <s v="S-2416eb"/>
    <s v="A-cd458b"/>
    <d v="2024-08-14T00:00:00"/>
    <m/>
    <x v="2"/>
    <n v="10"/>
    <n v="190"/>
    <n v="2280"/>
    <x v="0"/>
    <b v="0"/>
    <b v="0"/>
    <b v="0"/>
    <x v="0"/>
    <b v="1"/>
  </r>
  <r>
    <s v="S-20812a"/>
    <s v="A-5a3eb9"/>
    <d v="2024-06-14T00:00:00"/>
    <m/>
    <x v="1"/>
    <n v="69"/>
    <n v="3381"/>
    <n v="40572"/>
    <x v="0"/>
    <b v="0"/>
    <b v="0"/>
    <b v="0"/>
    <x v="0"/>
    <b v="1"/>
  </r>
  <r>
    <s v="S-e88276"/>
    <s v="A-66224b"/>
    <d v="2024-12-06T00:00:00"/>
    <m/>
    <x v="2"/>
    <n v="92"/>
    <n v="1748"/>
    <n v="20976"/>
    <x v="0"/>
    <b v="0"/>
    <b v="0"/>
    <b v="0"/>
    <x v="0"/>
    <b v="1"/>
  </r>
  <r>
    <s v="S-51cb35"/>
    <s v="A-18793f"/>
    <d v="2024-12-20T00:00:00"/>
    <d v="2024-12-29T00:00:00"/>
    <x v="2"/>
    <n v="148"/>
    <n v="2812"/>
    <n v="33744"/>
    <x v="0"/>
    <b v="0"/>
    <b v="0"/>
    <b v="1"/>
    <x v="1"/>
    <b v="1"/>
  </r>
  <r>
    <s v="S-53e028"/>
    <s v="A-fdfc91"/>
    <d v="2024-09-14T00:00:00"/>
    <m/>
    <x v="2"/>
    <n v="111"/>
    <n v="2109"/>
    <n v="25308"/>
    <x v="0"/>
    <b v="0"/>
    <b v="0"/>
    <b v="0"/>
    <x v="0"/>
    <b v="1"/>
  </r>
  <r>
    <s v="S-f64908"/>
    <s v="A-1ac5e0"/>
    <d v="2024-12-11T00:00:00"/>
    <m/>
    <x v="2"/>
    <n v="33"/>
    <n v="0"/>
    <n v="0"/>
    <x v="1"/>
    <b v="0"/>
    <b v="0"/>
    <b v="0"/>
    <x v="0"/>
    <b v="0"/>
  </r>
  <r>
    <s v="S-a0c741"/>
    <s v="A-40906c"/>
    <d v="2024-06-19T00:00:00"/>
    <m/>
    <x v="2"/>
    <n v="92"/>
    <n v="1748"/>
    <n v="20976"/>
    <x v="0"/>
    <b v="0"/>
    <b v="0"/>
    <b v="0"/>
    <x v="0"/>
    <b v="0"/>
  </r>
  <r>
    <s v="S-65d722"/>
    <s v="A-df10db"/>
    <d v="2023-09-23T00:00:00"/>
    <m/>
    <x v="2"/>
    <n v="2"/>
    <n v="38"/>
    <n v="456"/>
    <x v="0"/>
    <b v="0"/>
    <b v="0"/>
    <b v="0"/>
    <x v="0"/>
    <b v="1"/>
  </r>
  <r>
    <s v="S-5b9bb9"/>
    <s v="A-bc4d48"/>
    <d v="2024-08-29T00:00:00"/>
    <m/>
    <x v="1"/>
    <n v="35"/>
    <n v="1715"/>
    <n v="20580"/>
    <x v="0"/>
    <b v="0"/>
    <b v="0"/>
    <b v="0"/>
    <x v="1"/>
    <b v="0"/>
  </r>
  <r>
    <s v="S-84c44b"/>
    <s v="A-9bfc9f"/>
    <d v="2024-01-01T00:00:00"/>
    <m/>
    <x v="2"/>
    <n v="53"/>
    <n v="1007"/>
    <n v="12084"/>
    <x v="0"/>
    <b v="1"/>
    <b v="0"/>
    <b v="0"/>
    <x v="0"/>
    <b v="1"/>
  </r>
  <r>
    <s v="S-0fb7bb"/>
    <s v="A-87aa7b"/>
    <d v="2024-06-05T00:00:00"/>
    <m/>
    <x v="1"/>
    <n v="24"/>
    <n v="1176"/>
    <n v="14112"/>
    <x v="0"/>
    <b v="0"/>
    <b v="1"/>
    <b v="0"/>
    <x v="1"/>
    <b v="0"/>
  </r>
  <r>
    <s v="S-cdc644"/>
    <s v="A-76fa4d"/>
    <d v="2024-12-03T00:00:00"/>
    <d v="2024-12-31T00:00:00"/>
    <x v="0"/>
    <n v="69"/>
    <n v="13731"/>
    <n v="164772"/>
    <x v="0"/>
    <b v="0"/>
    <b v="0"/>
    <b v="1"/>
    <x v="1"/>
    <b v="1"/>
  </r>
  <r>
    <s v="S-c57c91"/>
    <s v="A-39ddf4"/>
    <d v="2024-12-24T00:00:00"/>
    <m/>
    <x v="1"/>
    <n v="40"/>
    <n v="1960"/>
    <n v="23520"/>
    <x v="0"/>
    <b v="0"/>
    <b v="0"/>
    <b v="0"/>
    <x v="0"/>
    <b v="1"/>
  </r>
  <r>
    <s v="S-2d7947"/>
    <s v="A-4e960a"/>
    <d v="2024-06-04T00:00:00"/>
    <m/>
    <x v="2"/>
    <n v="12"/>
    <n v="228"/>
    <n v="2736"/>
    <x v="0"/>
    <b v="0"/>
    <b v="0"/>
    <b v="0"/>
    <x v="1"/>
    <b v="1"/>
  </r>
  <r>
    <s v="S-b81200"/>
    <s v="A-7c6b6b"/>
    <d v="2024-12-21T00:00:00"/>
    <m/>
    <x v="1"/>
    <n v="6"/>
    <n v="294"/>
    <n v="3528"/>
    <x v="0"/>
    <b v="0"/>
    <b v="0"/>
    <b v="0"/>
    <x v="0"/>
    <b v="1"/>
  </r>
  <r>
    <s v="S-8ea942"/>
    <s v="A-0651a4"/>
    <d v="2024-12-19T00:00:00"/>
    <m/>
    <x v="0"/>
    <n v="36"/>
    <n v="0"/>
    <n v="0"/>
    <x v="1"/>
    <b v="0"/>
    <b v="0"/>
    <b v="0"/>
    <x v="1"/>
    <b v="1"/>
  </r>
  <r>
    <s v="S-0146f6"/>
    <s v="A-7641d3"/>
    <d v="2024-05-13T00:00:00"/>
    <m/>
    <x v="0"/>
    <n v="13"/>
    <n v="2587"/>
    <n v="31044"/>
    <x v="0"/>
    <b v="0"/>
    <b v="0"/>
    <b v="0"/>
    <x v="0"/>
    <b v="1"/>
  </r>
  <r>
    <s v="S-8b0950"/>
    <s v="A-dfbd31"/>
    <d v="2024-02-15T00:00:00"/>
    <m/>
    <x v="0"/>
    <n v="14"/>
    <n v="2786"/>
    <n v="33432"/>
    <x v="0"/>
    <b v="0"/>
    <b v="0"/>
    <b v="0"/>
    <x v="0"/>
    <b v="0"/>
  </r>
  <r>
    <s v="S-5bbb5b"/>
    <s v="A-ffc04f"/>
    <d v="2024-12-01T00:00:00"/>
    <m/>
    <x v="0"/>
    <n v="15"/>
    <n v="2985"/>
    <n v="35820"/>
    <x v="0"/>
    <b v="0"/>
    <b v="1"/>
    <b v="0"/>
    <x v="1"/>
    <b v="1"/>
  </r>
  <r>
    <s v="S-ecefa1"/>
    <s v="A-40a557"/>
    <d v="2024-06-26T00:00:00"/>
    <m/>
    <x v="2"/>
    <n v="25"/>
    <n v="475"/>
    <n v="5700"/>
    <x v="0"/>
    <b v="0"/>
    <b v="0"/>
    <b v="0"/>
    <x v="0"/>
    <b v="1"/>
  </r>
  <r>
    <s v="S-1526b7"/>
    <s v="A-2f6a32"/>
    <d v="2024-11-24T00:00:00"/>
    <m/>
    <x v="1"/>
    <n v="19"/>
    <n v="931"/>
    <n v="11172"/>
    <x v="0"/>
    <b v="1"/>
    <b v="0"/>
    <b v="0"/>
    <x v="1"/>
    <b v="1"/>
  </r>
  <r>
    <s v="S-55d484"/>
    <s v="A-52dd88"/>
    <d v="2023-12-15T00:00:00"/>
    <m/>
    <x v="2"/>
    <n v="23"/>
    <n v="0"/>
    <n v="0"/>
    <x v="1"/>
    <b v="0"/>
    <b v="0"/>
    <b v="0"/>
    <x v="1"/>
    <b v="1"/>
  </r>
  <r>
    <s v="S-94471b"/>
    <s v="A-ffc04f"/>
    <d v="2024-10-04T00:00:00"/>
    <m/>
    <x v="2"/>
    <n v="13"/>
    <n v="247"/>
    <n v="2964"/>
    <x v="0"/>
    <b v="0"/>
    <b v="0"/>
    <b v="0"/>
    <x v="0"/>
    <b v="0"/>
  </r>
  <r>
    <s v="S-eb4b0a"/>
    <s v="A-acb7f7"/>
    <d v="2024-12-28T00:00:00"/>
    <m/>
    <x v="2"/>
    <n v="32"/>
    <n v="608"/>
    <n v="7296"/>
    <x v="0"/>
    <b v="0"/>
    <b v="0"/>
    <b v="0"/>
    <x v="1"/>
    <b v="1"/>
  </r>
  <r>
    <s v="S-f7a5b9"/>
    <s v="A-ffdfd5"/>
    <d v="2024-04-24T00:00:00"/>
    <m/>
    <x v="1"/>
    <n v="11"/>
    <n v="539"/>
    <n v="6468"/>
    <x v="0"/>
    <b v="0"/>
    <b v="0"/>
    <b v="0"/>
    <x v="1"/>
    <b v="1"/>
  </r>
  <r>
    <s v="S-410fd5"/>
    <s v="A-a1b80b"/>
    <d v="2024-06-09T00:00:00"/>
    <m/>
    <x v="2"/>
    <n v="19"/>
    <n v="361"/>
    <n v="4332"/>
    <x v="0"/>
    <b v="0"/>
    <b v="0"/>
    <b v="0"/>
    <x v="1"/>
    <b v="1"/>
  </r>
  <r>
    <s v="S-32ab86"/>
    <s v="A-7c6b6b"/>
    <d v="2024-12-28T00:00:00"/>
    <m/>
    <x v="1"/>
    <n v="23"/>
    <n v="1127"/>
    <n v="13524"/>
    <x v="0"/>
    <b v="0"/>
    <b v="0"/>
    <b v="0"/>
    <x v="0"/>
    <b v="1"/>
  </r>
  <r>
    <s v="S-9e8b22"/>
    <s v="A-7c6b6b"/>
    <d v="2024-12-16T00:00:00"/>
    <d v="2024-12-23T00:00:00"/>
    <x v="1"/>
    <n v="6"/>
    <n v="294"/>
    <n v="3528"/>
    <x v="0"/>
    <b v="0"/>
    <b v="0"/>
    <b v="1"/>
    <x v="1"/>
    <b v="1"/>
  </r>
  <r>
    <s v="S-bf4ec8"/>
    <s v="A-7a0d69"/>
    <d v="2024-08-20T00:00:00"/>
    <m/>
    <x v="1"/>
    <n v="15"/>
    <n v="735"/>
    <n v="8820"/>
    <x v="0"/>
    <b v="0"/>
    <b v="0"/>
    <b v="0"/>
    <x v="0"/>
    <b v="1"/>
  </r>
  <r>
    <s v="S-a25d8b"/>
    <s v="A-40a557"/>
    <d v="2024-03-24T00:00:00"/>
    <m/>
    <x v="0"/>
    <n v="55"/>
    <n v="10945"/>
    <n v="131340"/>
    <x v="0"/>
    <b v="0"/>
    <b v="0"/>
    <b v="0"/>
    <x v="0"/>
    <b v="1"/>
  </r>
  <r>
    <s v="S-37f480"/>
    <s v="A-87aa7b"/>
    <d v="2024-05-25T00:00:00"/>
    <m/>
    <x v="1"/>
    <n v="27"/>
    <n v="1323"/>
    <n v="15876"/>
    <x v="0"/>
    <b v="0"/>
    <b v="0"/>
    <b v="0"/>
    <x v="1"/>
    <b v="0"/>
  </r>
  <r>
    <s v="S-c27e9c"/>
    <s v="A-9f2731"/>
    <d v="2024-11-02T00:00:00"/>
    <m/>
    <x v="2"/>
    <n v="38"/>
    <n v="722"/>
    <n v="8664"/>
    <x v="0"/>
    <b v="0"/>
    <b v="0"/>
    <b v="0"/>
    <x v="0"/>
    <b v="1"/>
  </r>
  <r>
    <s v="S-a76521"/>
    <s v="A-eb7c38"/>
    <d v="2024-12-04T00:00:00"/>
    <m/>
    <x v="2"/>
    <n v="33"/>
    <n v="627"/>
    <n v="7524"/>
    <x v="0"/>
    <b v="0"/>
    <b v="0"/>
    <b v="0"/>
    <x v="1"/>
    <b v="1"/>
  </r>
  <r>
    <s v="S-0ab9fb"/>
    <s v="A-05f0e5"/>
    <d v="2024-10-22T00:00:00"/>
    <m/>
    <x v="1"/>
    <n v="65"/>
    <n v="3185"/>
    <n v="38220"/>
    <x v="0"/>
    <b v="0"/>
    <b v="0"/>
    <b v="0"/>
    <x v="1"/>
    <b v="1"/>
  </r>
  <r>
    <s v="S-afc43d"/>
    <s v="A-02cd81"/>
    <d v="2024-08-25T00:00:00"/>
    <m/>
    <x v="2"/>
    <n v="44"/>
    <n v="836"/>
    <n v="10032"/>
    <x v="0"/>
    <b v="0"/>
    <b v="0"/>
    <b v="0"/>
    <x v="1"/>
    <b v="0"/>
  </r>
  <r>
    <s v="S-b6e44c"/>
    <s v="A-019782"/>
    <d v="2023-10-26T00:00:00"/>
    <m/>
    <x v="2"/>
    <n v="11"/>
    <n v="209"/>
    <n v="2508"/>
    <x v="0"/>
    <b v="0"/>
    <b v="0"/>
    <b v="0"/>
    <x v="1"/>
    <b v="0"/>
  </r>
  <r>
    <s v="S-6a8046"/>
    <s v="A-f97b9a"/>
    <d v="2023-12-26T00:00:00"/>
    <m/>
    <x v="0"/>
    <n v="19"/>
    <n v="3781"/>
    <n v="45372"/>
    <x v="0"/>
    <b v="0"/>
    <b v="0"/>
    <b v="0"/>
    <x v="0"/>
    <b v="1"/>
  </r>
  <r>
    <s v="S-a3cbd4"/>
    <s v="A-42e5e1"/>
    <d v="2024-08-01T00:00:00"/>
    <d v="2024-08-14T00:00:00"/>
    <x v="0"/>
    <n v="20"/>
    <n v="3980"/>
    <n v="47760"/>
    <x v="0"/>
    <b v="0"/>
    <b v="0"/>
    <b v="1"/>
    <x v="0"/>
    <b v="1"/>
  </r>
  <r>
    <s v="S-f74e00"/>
    <s v="A-8ae05d"/>
    <d v="2024-12-02T00:00:00"/>
    <m/>
    <x v="1"/>
    <n v="86"/>
    <n v="4214"/>
    <n v="50568"/>
    <x v="0"/>
    <b v="0"/>
    <b v="0"/>
    <b v="0"/>
    <x v="0"/>
    <b v="1"/>
  </r>
  <r>
    <s v="S-c2eeba"/>
    <s v="A-65aeb5"/>
    <d v="2024-02-02T00:00:00"/>
    <m/>
    <x v="2"/>
    <n v="9"/>
    <n v="171"/>
    <n v="2052"/>
    <x v="0"/>
    <b v="0"/>
    <b v="0"/>
    <b v="0"/>
    <x v="0"/>
    <b v="0"/>
  </r>
  <r>
    <s v="S-371662"/>
    <s v="A-bad8c1"/>
    <d v="2023-06-12T00:00:00"/>
    <m/>
    <x v="1"/>
    <n v="54"/>
    <n v="2646"/>
    <n v="31752"/>
    <x v="0"/>
    <b v="0"/>
    <b v="0"/>
    <b v="0"/>
    <x v="0"/>
    <b v="1"/>
  </r>
  <r>
    <s v="S-8ebe58"/>
    <s v="A-cea1f0"/>
    <d v="2024-06-09T00:00:00"/>
    <m/>
    <x v="1"/>
    <n v="8"/>
    <n v="0"/>
    <n v="0"/>
    <x v="1"/>
    <b v="0"/>
    <b v="0"/>
    <b v="0"/>
    <x v="1"/>
    <b v="1"/>
  </r>
  <r>
    <s v="S-6102fe"/>
    <s v="A-cb5333"/>
    <d v="2024-06-25T00:00:00"/>
    <m/>
    <x v="2"/>
    <n v="33"/>
    <n v="0"/>
    <n v="0"/>
    <x v="1"/>
    <b v="0"/>
    <b v="0"/>
    <b v="0"/>
    <x v="0"/>
    <b v="0"/>
  </r>
  <r>
    <s v="S-6676fa"/>
    <s v="A-7df7a7"/>
    <d v="2023-02-05T00:00:00"/>
    <m/>
    <x v="1"/>
    <n v="7"/>
    <n v="343"/>
    <n v="4116"/>
    <x v="0"/>
    <b v="0"/>
    <b v="1"/>
    <b v="0"/>
    <x v="0"/>
    <b v="1"/>
  </r>
  <r>
    <s v="S-2b550a"/>
    <s v="A-c7ffc2"/>
    <d v="2023-11-01T00:00:00"/>
    <m/>
    <x v="0"/>
    <n v="30"/>
    <n v="5970"/>
    <n v="71640"/>
    <x v="0"/>
    <b v="1"/>
    <b v="0"/>
    <b v="0"/>
    <x v="0"/>
    <b v="1"/>
  </r>
  <r>
    <s v="S-c48d0d"/>
    <s v="A-3ce5b8"/>
    <d v="2024-05-22T00:00:00"/>
    <m/>
    <x v="2"/>
    <n v="37"/>
    <n v="703"/>
    <n v="8436"/>
    <x v="0"/>
    <b v="0"/>
    <b v="0"/>
    <b v="0"/>
    <x v="1"/>
    <b v="1"/>
  </r>
  <r>
    <s v="S-7fca0e"/>
    <s v="A-5b4ebb"/>
    <d v="2024-08-21T00:00:00"/>
    <m/>
    <x v="2"/>
    <n v="52"/>
    <n v="988"/>
    <n v="11856"/>
    <x v="0"/>
    <b v="0"/>
    <b v="0"/>
    <b v="0"/>
    <x v="1"/>
    <b v="1"/>
  </r>
  <r>
    <s v="S-5d343c"/>
    <s v="A-9208f0"/>
    <d v="2023-09-23T00:00:00"/>
    <m/>
    <x v="2"/>
    <n v="25"/>
    <n v="475"/>
    <n v="5700"/>
    <x v="0"/>
    <b v="0"/>
    <b v="0"/>
    <b v="0"/>
    <x v="1"/>
    <b v="1"/>
  </r>
  <r>
    <s v="S-76b176"/>
    <s v="A-6da850"/>
    <d v="2024-11-10T00:00:00"/>
    <d v="2024-12-09T00:00:00"/>
    <x v="1"/>
    <n v="8"/>
    <n v="392"/>
    <n v="4704"/>
    <x v="0"/>
    <b v="0"/>
    <b v="0"/>
    <b v="1"/>
    <x v="0"/>
    <b v="0"/>
  </r>
  <r>
    <s v="S-e746d2"/>
    <s v="A-977ca0"/>
    <d v="2023-08-18T00:00:00"/>
    <m/>
    <x v="0"/>
    <n v="91"/>
    <n v="18109"/>
    <n v="217308"/>
    <x v="0"/>
    <b v="0"/>
    <b v="0"/>
    <b v="0"/>
    <x v="0"/>
    <b v="1"/>
  </r>
  <r>
    <s v="S-7b896c"/>
    <s v="A-ffdfd5"/>
    <d v="2024-08-18T00:00:00"/>
    <m/>
    <x v="2"/>
    <n v="30"/>
    <n v="570"/>
    <n v="6840"/>
    <x v="0"/>
    <b v="0"/>
    <b v="0"/>
    <b v="0"/>
    <x v="0"/>
    <b v="1"/>
  </r>
  <r>
    <s v="S-c9a968"/>
    <s v="A-bad8c1"/>
    <d v="2024-03-21T00:00:00"/>
    <m/>
    <x v="2"/>
    <n v="8"/>
    <n v="152"/>
    <n v="1824"/>
    <x v="0"/>
    <b v="0"/>
    <b v="0"/>
    <b v="0"/>
    <x v="0"/>
    <b v="1"/>
  </r>
  <r>
    <s v="S-f4b648"/>
    <s v="A-8ae05d"/>
    <d v="2024-11-27T00:00:00"/>
    <d v="2024-12-28T00:00:00"/>
    <x v="0"/>
    <n v="86"/>
    <n v="17114"/>
    <n v="205368"/>
    <x v="0"/>
    <b v="0"/>
    <b v="0"/>
    <b v="1"/>
    <x v="1"/>
    <b v="1"/>
  </r>
  <r>
    <s v="S-f4a3ac"/>
    <s v="A-1f7acb"/>
    <d v="2024-09-22T00:00:00"/>
    <m/>
    <x v="0"/>
    <n v="64"/>
    <n v="12736"/>
    <n v="152832"/>
    <x v="0"/>
    <b v="0"/>
    <b v="0"/>
    <b v="0"/>
    <x v="1"/>
    <b v="1"/>
  </r>
  <r>
    <s v="S-42671b"/>
    <s v="A-118f1c"/>
    <d v="2024-12-11T00:00:00"/>
    <m/>
    <x v="0"/>
    <n v="32"/>
    <n v="6368"/>
    <n v="76416"/>
    <x v="0"/>
    <b v="0"/>
    <b v="0"/>
    <b v="0"/>
    <x v="1"/>
    <b v="1"/>
  </r>
  <r>
    <s v="S-88cc86"/>
    <s v="A-80eeb6"/>
    <d v="2024-12-20T00:00:00"/>
    <d v="2024-12-31T00:00:00"/>
    <x v="0"/>
    <n v="22"/>
    <n v="4378"/>
    <n v="52536"/>
    <x v="0"/>
    <b v="0"/>
    <b v="0"/>
    <b v="1"/>
    <x v="1"/>
    <b v="1"/>
  </r>
  <r>
    <s v="S-02b754"/>
    <s v="A-3b37d9"/>
    <d v="2023-10-11T00:00:00"/>
    <m/>
    <x v="0"/>
    <n v="23"/>
    <n v="4577"/>
    <n v="54924"/>
    <x v="0"/>
    <b v="0"/>
    <b v="0"/>
    <b v="0"/>
    <x v="1"/>
    <b v="0"/>
  </r>
  <r>
    <s v="S-7826c1"/>
    <s v="A-157070"/>
    <d v="2024-07-23T00:00:00"/>
    <m/>
    <x v="1"/>
    <n v="18"/>
    <n v="882"/>
    <n v="10584"/>
    <x v="0"/>
    <b v="0"/>
    <b v="0"/>
    <b v="0"/>
    <x v="0"/>
    <b v="1"/>
  </r>
  <r>
    <s v="S-45c2cf"/>
    <s v="A-7920cc"/>
    <d v="2023-12-11T00:00:00"/>
    <m/>
    <x v="2"/>
    <n v="39"/>
    <n v="741"/>
    <n v="8892"/>
    <x v="0"/>
    <b v="0"/>
    <b v="0"/>
    <b v="0"/>
    <x v="0"/>
    <b v="1"/>
  </r>
  <r>
    <s v="S-df819a"/>
    <s v="A-ffc04f"/>
    <d v="2024-09-08T00:00:00"/>
    <m/>
    <x v="1"/>
    <n v="20"/>
    <n v="980"/>
    <n v="11760"/>
    <x v="0"/>
    <b v="0"/>
    <b v="0"/>
    <b v="0"/>
    <x v="0"/>
    <b v="0"/>
  </r>
  <r>
    <s v="S-983266"/>
    <s v="A-dcc2f0"/>
    <d v="2024-09-16T00:00:00"/>
    <d v="2024-11-03T00:00:00"/>
    <x v="1"/>
    <n v="15"/>
    <n v="735"/>
    <n v="8820"/>
    <x v="0"/>
    <b v="0"/>
    <b v="0"/>
    <b v="1"/>
    <x v="1"/>
    <b v="1"/>
  </r>
  <r>
    <s v="S-16dfaf"/>
    <s v="A-8e47ca"/>
    <d v="2024-02-27T00:00:00"/>
    <m/>
    <x v="1"/>
    <n v="19"/>
    <n v="931"/>
    <n v="11172"/>
    <x v="0"/>
    <b v="0"/>
    <b v="0"/>
    <b v="0"/>
    <x v="1"/>
    <b v="1"/>
  </r>
  <r>
    <s v="S-f77847"/>
    <s v="A-186a44"/>
    <d v="2023-08-23T00:00:00"/>
    <m/>
    <x v="2"/>
    <n v="20"/>
    <n v="380"/>
    <n v="4560"/>
    <x v="0"/>
    <b v="0"/>
    <b v="1"/>
    <b v="0"/>
    <x v="1"/>
    <b v="1"/>
  </r>
  <r>
    <s v="S-1053c9"/>
    <s v="A-69b156"/>
    <d v="2024-10-12T00:00:00"/>
    <m/>
    <x v="2"/>
    <n v="14"/>
    <n v="266"/>
    <n v="3192"/>
    <x v="0"/>
    <b v="0"/>
    <b v="0"/>
    <b v="0"/>
    <x v="1"/>
    <b v="1"/>
  </r>
  <r>
    <s v="S-8eae4e"/>
    <s v="A-db5e9e"/>
    <d v="2024-12-16T00:00:00"/>
    <m/>
    <x v="0"/>
    <n v="16"/>
    <n v="3184"/>
    <n v="38208"/>
    <x v="0"/>
    <b v="0"/>
    <b v="0"/>
    <b v="0"/>
    <x v="0"/>
    <b v="1"/>
  </r>
  <r>
    <s v="S-bf39f7"/>
    <s v="A-3793ee"/>
    <d v="2024-01-24T00:00:00"/>
    <m/>
    <x v="1"/>
    <n v="49"/>
    <n v="2401"/>
    <n v="28812"/>
    <x v="0"/>
    <b v="0"/>
    <b v="0"/>
    <b v="0"/>
    <x v="0"/>
    <b v="1"/>
  </r>
  <r>
    <s v="S-a4142f"/>
    <s v="A-a8b49c"/>
    <d v="2023-10-14T00:00:00"/>
    <m/>
    <x v="2"/>
    <n v="7"/>
    <n v="133"/>
    <n v="1596"/>
    <x v="0"/>
    <b v="0"/>
    <b v="0"/>
    <b v="0"/>
    <x v="1"/>
    <b v="1"/>
  </r>
  <r>
    <s v="S-e6dee4"/>
    <s v="A-029f69"/>
    <d v="2024-11-11T00:00:00"/>
    <m/>
    <x v="1"/>
    <n v="3"/>
    <n v="147"/>
    <n v="1764"/>
    <x v="0"/>
    <b v="0"/>
    <b v="0"/>
    <b v="0"/>
    <x v="1"/>
    <b v="1"/>
  </r>
  <r>
    <s v="S-b76ba6"/>
    <s v="A-d4ac0e"/>
    <d v="2024-12-14T00:00:00"/>
    <m/>
    <x v="1"/>
    <n v="18"/>
    <n v="882"/>
    <n v="10584"/>
    <x v="0"/>
    <b v="0"/>
    <b v="0"/>
    <b v="0"/>
    <x v="0"/>
    <b v="1"/>
  </r>
  <r>
    <s v="S-5a94f7"/>
    <s v="A-328bd0"/>
    <d v="2023-09-26T00:00:00"/>
    <m/>
    <x v="1"/>
    <n v="33"/>
    <n v="1617"/>
    <n v="19404"/>
    <x v="0"/>
    <b v="0"/>
    <b v="0"/>
    <b v="0"/>
    <x v="0"/>
    <b v="1"/>
  </r>
  <r>
    <s v="S-61afee"/>
    <s v="A-7df7a7"/>
    <d v="2023-06-26T00:00:00"/>
    <m/>
    <x v="0"/>
    <n v="45"/>
    <n v="8955"/>
    <n v="107460"/>
    <x v="0"/>
    <b v="0"/>
    <b v="0"/>
    <b v="0"/>
    <x v="0"/>
    <b v="0"/>
  </r>
  <r>
    <s v="S-2a73e2"/>
    <s v="A-10b8f2"/>
    <d v="2024-01-29T00:00:00"/>
    <m/>
    <x v="2"/>
    <n v="47"/>
    <n v="893"/>
    <n v="10716"/>
    <x v="0"/>
    <b v="0"/>
    <b v="0"/>
    <b v="0"/>
    <x v="1"/>
    <b v="0"/>
  </r>
  <r>
    <s v="S-e0075b"/>
    <s v="A-b3fe05"/>
    <d v="2024-09-03T00:00:00"/>
    <m/>
    <x v="0"/>
    <n v="17"/>
    <n v="3383"/>
    <n v="40596"/>
    <x v="0"/>
    <b v="0"/>
    <b v="0"/>
    <b v="0"/>
    <x v="1"/>
    <b v="1"/>
  </r>
  <r>
    <s v="S-5bbb53"/>
    <s v="A-1b7577"/>
    <d v="2024-12-03T00:00:00"/>
    <m/>
    <x v="1"/>
    <n v="4"/>
    <n v="196"/>
    <n v="2352"/>
    <x v="0"/>
    <b v="0"/>
    <b v="0"/>
    <b v="0"/>
    <x v="1"/>
    <b v="1"/>
  </r>
  <r>
    <s v="S-65731a"/>
    <s v="A-684255"/>
    <d v="2024-12-15T00:00:00"/>
    <d v="2024-12-26T00:00:00"/>
    <x v="2"/>
    <n v="9"/>
    <n v="0"/>
    <n v="0"/>
    <x v="1"/>
    <b v="0"/>
    <b v="1"/>
    <b v="1"/>
    <x v="1"/>
    <b v="1"/>
  </r>
  <r>
    <s v="S-2d5c04"/>
    <s v="A-503d5a"/>
    <d v="2024-03-27T00:00:00"/>
    <m/>
    <x v="0"/>
    <n v="5"/>
    <n v="995"/>
    <n v="11940"/>
    <x v="0"/>
    <b v="0"/>
    <b v="0"/>
    <b v="0"/>
    <x v="0"/>
    <b v="1"/>
  </r>
  <r>
    <s v="S-34253c"/>
    <s v="A-1b9609"/>
    <d v="2023-12-02T00:00:00"/>
    <m/>
    <x v="2"/>
    <n v="18"/>
    <n v="342"/>
    <n v="4104"/>
    <x v="0"/>
    <b v="0"/>
    <b v="0"/>
    <b v="0"/>
    <x v="1"/>
    <b v="0"/>
  </r>
  <r>
    <s v="S-d18856"/>
    <s v="A-396e5f"/>
    <d v="2024-10-05T00:00:00"/>
    <m/>
    <x v="0"/>
    <n v="6"/>
    <n v="1194"/>
    <n v="14328"/>
    <x v="0"/>
    <b v="0"/>
    <b v="0"/>
    <b v="0"/>
    <x v="0"/>
    <b v="1"/>
  </r>
  <r>
    <s v="S-e6b450"/>
    <s v="A-eb1312"/>
    <d v="2024-11-21T00:00:00"/>
    <m/>
    <x v="1"/>
    <n v="25"/>
    <n v="1225"/>
    <n v="14700"/>
    <x v="0"/>
    <b v="0"/>
    <b v="0"/>
    <b v="0"/>
    <x v="0"/>
    <b v="1"/>
  </r>
  <r>
    <s v="S-0d8cfd"/>
    <s v="A-4ae22a"/>
    <d v="2024-08-20T00:00:00"/>
    <m/>
    <x v="1"/>
    <n v="6"/>
    <n v="294"/>
    <n v="3528"/>
    <x v="0"/>
    <b v="0"/>
    <b v="0"/>
    <b v="0"/>
    <x v="1"/>
    <b v="1"/>
  </r>
  <r>
    <s v="S-86e45a"/>
    <s v="A-56962b"/>
    <d v="2024-09-23T00:00:00"/>
    <m/>
    <x v="1"/>
    <n v="163"/>
    <n v="7987"/>
    <n v="95844"/>
    <x v="0"/>
    <b v="0"/>
    <b v="0"/>
    <b v="0"/>
    <x v="1"/>
    <b v="1"/>
  </r>
  <r>
    <s v="S-dcae52"/>
    <s v="A-00cac8"/>
    <d v="2024-10-29T00:00:00"/>
    <m/>
    <x v="0"/>
    <n v="20"/>
    <n v="3980"/>
    <n v="47760"/>
    <x v="0"/>
    <b v="0"/>
    <b v="0"/>
    <b v="0"/>
    <x v="0"/>
    <b v="1"/>
  </r>
  <r>
    <s v="S-17bbdd"/>
    <s v="A-bcbe98"/>
    <d v="2024-11-18T00:00:00"/>
    <m/>
    <x v="1"/>
    <n v="46"/>
    <n v="2254"/>
    <n v="27048"/>
    <x v="0"/>
    <b v="0"/>
    <b v="0"/>
    <b v="0"/>
    <x v="1"/>
    <b v="1"/>
  </r>
  <r>
    <s v="S-f24690"/>
    <s v="A-756192"/>
    <d v="2024-11-18T00:00:00"/>
    <m/>
    <x v="2"/>
    <n v="19"/>
    <n v="361"/>
    <n v="4332"/>
    <x v="0"/>
    <b v="0"/>
    <b v="0"/>
    <b v="0"/>
    <x v="0"/>
    <b v="1"/>
  </r>
  <r>
    <s v="S-9a3e85"/>
    <s v="A-8ae3fc"/>
    <d v="2024-08-06T00:00:00"/>
    <m/>
    <x v="1"/>
    <n v="21"/>
    <n v="1029"/>
    <n v="12348"/>
    <x v="0"/>
    <b v="0"/>
    <b v="0"/>
    <b v="0"/>
    <x v="1"/>
    <b v="1"/>
  </r>
  <r>
    <s v="S-1c2a4a"/>
    <s v="A-b7b7b7"/>
    <d v="2024-12-29T00:00:00"/>
    <m/>
    <x v="1"/>
    <n v="24"/>
    <n v="1176"/>
    <n v="14112"/>
    <x v="0"/>
    <b v="0"/>
    <b v="0"/>
    <b v="0"/>
    <x v="1"/>
    <b v="1"/>
  </r>
  <r>
    <s v="S-c37ee1"/>
    <s v="A-9174e0"/>
    <d v="2024-12-08T00:00:00"/>
    <m/>
    <x v="2"/>
    <n v="60"/>
    <n v="1140"/>
    <n v="13680"/>
    <x v="0"/>
    <b v="0"/>
    <b v="0"/>
    <b v="0"/>
    <x v="0"/>
    <b v="1"/>
  </r>
  <r>
    <s v="S-4ebd94"/>
    <s v="A-c62e55"/>
    <d v="2024-03-07T00:00:00"/>
    <m/>
    <x v="1"/>
    <n v="24"/>
    <n v="1176"/>
    <n v="14112"/>
    <x v="0"/>
    <b v="0"/>
    <b v="0"/>
    <b v="0"/>
    <x v="1"/>
    <b v="1"/>
  </r>
  <r>
    <s v="S-61797c"/>
    <s v="A-ad296b"/>
    <d v="2024-07-25T00:00:00"/>
    <m/>
    <x v="2"/>
    <n v="38"/>
    <n v="722"/>
    <n v="8664"/>
    <x v="0"/>
    <b v="0"/>
    <b v="0"/>
    <b v="0"/>
    <x v="1"/>
    <b v="1"/>
  </r>
  <r>
    <s v="S-f8d0a2"/>
    <s v="A-a0ca4e"/>
    <d v="2024-05-15T00:00:00"/>
    <m/>
    <x v="2"/>
    <n v="11"/>
    <n v="209"/>
    <n v="2508"/>
    <x v="0"/>
    <b v="0"/>
    <b v="0"/>
    <b v="0"/>
    <x v="1"/>
    <b v="0"/>
  </r>
  <r>
    <s v="S-d0eeb2"/>
    <s v="A-fce879"/>
    <d v="2024-10-18T00:00:00"/>
    <m/>
    <x v="1"/>
    <n v="45"/>
    <n v="0"/>
    <n v="0"/>
    <x v="1"/>
    <b v="0"/>
    <b v="1"/>
    <b v="0"/>
    <x v="0"/>
    <b v="1"/>
  </r>
  <r>
    <s v="S-10fc7d"/>
    <s v="A-cab532"/>
    <d v="2024-10-14T00:00:00"/>
    <m/>
    <x v="0"/>
    <n v="11"/>
    <n v="2189"/>
    <n v="26268"/>
    <x v="0"/>
    <b v="1"/>
    <b v="0"/>
    <b v="0"/>
    <x v="1"/>
    <b v="1"/>
  </r>
  <r>
    <s v="S-c249fb"/>
    <s v="A-cc98bc"/>
    <d v="2023-12-25T00:00:00"/>
    <m/>
    <x v="2"/>
    <n v="32"/>
    <n v="608"/>
    <n v="7296"/>
    <x v="0"/>
    <b v="0"/>
    <b v="0"/>
    <b v="0"/>
    <x v="0"/>
    <b v="1"/>
  </r>
  <r>
    <s v="S-c86492"/>
    <s v="A-c43359"/>
    <d v="2024-11-18T00:00:00"/>
    <m/>
    <x v="1"/>
    <n v="38"/>
    <n v="1862"/>
    <n v="22344"/>
    <x v="0"/>
    <b v="0"/>
    <b v="0"/>
    <b v="0"/>
    <x v="1"/>
    <b v="1"/>
  </r>
  <r>
    <s v="S-1be7c5"/>
    <s v="A-80eeb6"/>
    <d v="2023-07-15T00:00:00"/>
    <d v="2024-11-05T00:00:00"/>
    <x v="2"/>
    <n v="34"/>
    <n v="646"/>
    <n v="7752"/>
    <x v="0"/>
    <b v="0"/>
    <b v="0"/>
    <b v="1"/>
    <x v="0"/>
    <b v="1"/>
  </r>
  <r>
    <s v="S-86bcda"/>
    <s v="A-4a4c2d"/>
    <d v="2024-09-18T00:00:00"/>
    <m/>
    <x v="2"/>
    <n v="54"/>
    <n v="1026"/>
    <n v="12312"/>
    <x v="0"/>
    <b v="1"/>
    <b v="0"/>
    <b v="0"/>
    <x v="0"/>
    <b v="0"/>
  </r>
  <r>
    <s v="S-ee956d"/>
    <s v="A-96bbc6"/>
    <d v="2024-09-01T00:00:00"/>
    <m/>
    <x v="1"/>
    <n v="39"/>
    <n v="1911"/>
    <n v="22932"/>
    <x v="0"/>
    <b v="0"/>
    <b v="0"/>
    <b v="0"/>
    <x v="1"/>
    <b v="1"/>
  </r>
  <r>
    <s v="S-404132"/>
    <s v="A-39ddf4"/>
    <d v="2024-12-20T00:00:00"/>
    <d v="2024-12-29T00:00:00"/>
    <x v="1"/>
    <n v="40"/>
    <n v="1960"/>
    <n v="23520"/>
    <x v="0"/>
    <b v="0"/>
    <b v="0"/>
    <b v="1"/>
    <x v="1"/>
    <b v="1"/>
  </r>
  <r>
    <s v="S-4d5ab5"/>
    <s v="A-df1e44"/>
    <d v="2024-08-08T00:00:00"/>
    <m/>
    <x v="0"/>
    <n v="12"/>
    <n v="2388"/>
    <n v="28656"/>
    <x v="0"/>
    <b v="0"/>
    <b v="0"/>
    <b v="0"/>
    <x v="0"/>
    <b v="0"/>
  </r>
  <r>
    <s v="S-e5d9a4"/>
    <s v="A-09316c"/>
    <d v="2024-12-07T00:00:00"/>
    <m/>
    <x v="0"/>
    <n v="70"/>
    <n v="13930"/>
    <n v="167160"/>
    <x v="0"/>
    <b v="1"/>
    <b v="0"/>
    <b v="0"/>
    <x v="1"/>
    <b v="1"/>
  </r>
  <r>
    <s v="S-3684d3"/>
    <s v="A-7920cc"/>
    <d v="2024-09-22T00:00:00"/>
    <m/>
    <x v="2"/>
    <n v="39"/>
    <n v="741"/>
    <n v="8892"/>
    <x v="0"/>
    <b v="0"/>
    <b v="0"/>
    <b v="0"/>
    <x v="0"/>
    <b v="1"/>
  </r>
  <r>
    <s v="S-cce4fc"/>
    <s v="A-659280"/>
    <d v="2023-11-28T00:00:00"/>
    <m/>
    <x v="1"/>
    <n v="13"/>
    <n v="637"/>
    <n v="7644"/>
    <x v="0"/>
    <b v="0"/>
    <b v="0"/>
    <b v="0"/>
    <x v="1"/>
    <b v="1"/>
  </r>
  <r>
    <s v="S-3cae45"/>
    <s v="A-c16101"/>
    <d v="2024-10-18T00:00:00"/>
    <m/>
    <x v="0"/>
    <n v="7"/>
    <n v="1393"/>
    <n v="16716"/>
    <x v="0"/>
    <b v="0"/>
    <b v="0"/>
    <b v="0"/>
    <x v="1"/>
    <b v="1"/>
  </r>
  <r>
    <s v="S-82b11e"/>
    <s v="A-0651a4"/>
    <d v="2024-12-06T00:00:00"/>
    <m/>
    <x v="2"/>
    <n v="21"/>
    <n v="399"/>
    <n v="4788"/>
    <x v="0"/>
    <b v="0"/>
    <b v="0"/>
    <b v="0"/>
    <x v="1"/>
    <b v="1"/>
  </r>
  <r>
    <s v="S-23d18f"/>
    <s v="A-ad3abd"/>
    <d v="2023-11-21T00:00:00"/>
    <d v="2024-02-04T00:00:00"/>
    <x v="2"/>
    <n v="44"/>
    <n v="0"/>
    <n v="0"/>
    <x v="1"/>
    <b v="0"/>
    <b v="0"/>
    <b v="1"/>
    <x v="0"/>
    <b v="1"/>
  </r>
  <r>
    <s v="S-652885"/>
    <s v="A-59f724"/>
    <d v="2024-12-08T00:00:00"/>
    <m/>
    <x v="2"/>
    <n v="18"/>
    <n v="342"/>
    <n v="4104"/>
    <x v="0"/>
    <b v="0"/>
    <b v="0"/>
    <b v="0"/>
    <x v="0"/>
    <b v="1"/>
  </r>
  <r>
    <s v="S-2e7b85"/>
    <s v="A-328bd0"/>
    <d v="2023-10-19T00:00:00"/>
    <m/>
    <x v="2"/>
    <n v="18"/>
    <n v="342"/>
    <n v="4104"/>
    <x v="0"/>
    <b v="0"/>
    <b v="0"/>
    <b v="0"/>
    <x v="1"/>
    <b v="1"/>
  </r>
  <r>
    <s v="S-48c5be"/>
    <s v="A-fa2041"/>
    <d v="2024-12-05T00:00:00"/>
    <m/>
    <x v="1"/>
    <n v="39"/>
    <n v="0"/>
    <n v="0"/>
    <x v="1"/>
    <b v="0"/>
    <b v="0"/>
    <b v="0"/>
    <x v="1"/>
    <b v="1"/>
  </r>
  <r>
    <s v="S-277111"/>
    <s v="A-625d0b"/>
    <d v="2024-10-14T00:00:00"/>
    <m/>
    <x v="1"/>
    <n v="9"/>
    <n v="441"/>
    <n v="5292"/>
    <x v="0"/>
    <b v="0"/>
    <b v="0"/>
    <b v="0"/>
    <x v="0"/>
    <b v="1"/>
  </r>
  <r>
    <s v="S-505f35"/>
    <s v="A-5a184f"/>
    <d v="2023-12-02T00:00:00"/>
    <m/>
    <x v="0"/>
    <n v="22"/>
    <n v="4378"/>
    <n v="52536"/>
    <x v="0"/>
    <b v="0"/>
    <b v="0"/>
    <b v="0"/>
    <x v="1"/>
    <b v="1"/>
  </r>
  <r>
    <s v="S-70b655"/>
    <s v="A-ac85cd"/>
    <d v="2024-08-16T00:00:00"/>
    <m/>
    <x v="1"/>
    <n v="53"/>
    <n v="2597"/>
    <n v="31164"/>
    <x v="0"/>
    <b v="0"/>
    <b v="0"/>
    <b v="0"/>
    <x v="0"/>
    <b v="0"/>
  </r>
  <r>
    <s v="S-4ac0bb"/>
    <s v="A-7c6b6b"/>
    <d v="2024-12-25T00:00:00"/>
    <m/>
    <x v="1"/>
    <n v="28"/>
    <n v="1372"/>
    <n v="16464"/>
    <x v="0"/>
    <b v="0"/>
    <b v="0"/>
    <b v="0"/>
    <x v="0"/>
    <b v="0"/>
  </r>
  <r>
    <s v="S-4ea564"/>
    <s v="A-de58ca"/>
    <d v="2024-08-09T00:00:00"/>
    <m/>
    <x v="2"/>
    <n v="15"/>
    <n v="285"/>
    <n v="3420"/>
    <x v="0"/>
    <b v="0"/>
    <b v="0"/>
    <b v="0"/>
    <x v="1"/>
    <b v="1"/>
  </r>
  <r>
    <s v="S-1a9c5c"/>
    <s v="A-c58f49"/>
    <d v="2024-11-02T00:00:00"/>
    <m/>
    <x v="2"/>
    <n v="70"/>
    <n v="0"/>
    <n v="0"/>
    <x v="1"/>
    <b v="0"/>
    <b v="0"/>
    <b v="0"/>
    <x v="1"/>
    <b v="1"/>
  </r>
  <r>
    <s v="S-23dab0"/>
    <s v="A-65aeb5"/>
    <d v="2024-09-30T00:00:00"/>
    <m/>
    <x v="1"/>
    <n v="9"/>
    <n v="441"/>
    <n v="5292"/>
    <x v="0"/>
    <b v="0"/>
    <b v="0"/>
    <b v="0"/>
    <x v="1"/>
    <b v="1"/>
  </r>
  <r>
    <s v="S-d396d1"/>
    <s v="A-2edab2"/>
    <d v="2024-03-05T00:00:00"/>
    <d v="2024-10-11T00:00:00"/>
    <x v="1"/>
    <n v="17"/>
    <n v="833"/>
    <n v="9996"/>
    <x v="0"/>
    <b v="0"/>
    <b v="0"/>
    <b v="1"/>
    <x v="0"/>
    <b v="1"/>
  </r>
  <r>
    <s v="S-f1826f"/>
    <s v="A-4c6f11"/>
    <d v="2024-03-30T00:00:00"/>
    <m/>
    <x v="0"/>
    <n v="24"/>
    <n v="4776"/>
    <n v="57312"/>
    <x v="0"/>
    <b v="0"/>
    <b v="0"/>
    <b v="0"/>
    <x v="0"/>
    <b v="1"/>
  </r>
  <r>
    <s v="S-1c3a42"/>
    <s v="A-f45426"/>
    <d v="2024-09-14T00:00:00"/>
    <m/>
    <x v="0"/>
    <n v="20"/>
    <n v="3980"/>
    <n v="47760"/>
    <x v="0"/>
    <b v="0"/>
    <b v="0"/>
    <b v="0"/>
    <x v="1"/>
    <b v="1"/>
  </r>
  <r>
    <s v="S-27c00d"/>
    <s v="A-a6d261"/>
    <d v="2024-06-08T00:00:00"/>
    <m/>
    <x v="2"/>
    <n v="48"/>
    <n v="912"/>
    <n v="10944"/>
    <x v="0"/>
    <b v="0"/>
    <b v="0"/>
    <b v="0"/>
    <x v="0"/>
    <b v="1"/>
  </r>
  <r>
    <s v="S-2e4018"/>
    <s v="A-7f8241"/>
    <d v="2023-06-06T00:00:00"/>
    <m/>
    <x v="0"/>
    <n v="34"/>
    <n v="6766"/>
    <n v="81192"/>
    <x v="0"/>
    <b v="1"/>
    <b v="0"/>
    <b v="0"/>
    <x v="0"/>
    <b v="1"/>
  </r>
  <r>
    <s v="S-4da459"/>
    <s v="A-02cd81"/>
    <d v="2024-12-29T00:00:00"/>
    <m/>
    <x v="1"/>
    <n v="44"/>
    <n v="2156"/>
    <n v="25872"/>
    <x v="0"/>
    <b v="0"/>
    <b v="0"/>
    <b v="0"/>
    <x v="1"/>
    <b v="1"/>
  </r>
  <r>
    <s v="S-5879cf"/>
    <s v="A-a09355"/>
    <d v="2024-09-02T00:00:00"/>
    <m/>
    <x v="0"/>
    <n v="30"/>
    <n v="5970"/>
    <n v="71640"/>
    <x v="0"/>
    <b v="0"/>
    <b v="0"/>
    <b v="0"/>
    <x v="0"/>
    <b v="1"/>
  </r>
  <r>
    <s v="S-2e965d"/>
    <s v="A-00cac8"/>
    <d v="2023-09-16T00:00:00"/>
    <m/>
    <x v="1"/>
    <n v="8"/>
    <n v="392"/>
    <n v="4704"/>
    <x v="0"/>
    <b v="0"/>
    <b v="0"/>
    <b v="0"/>
    <x v="0"/>
    <b v="1"/>
  </r>
  <r>
    <s v="S-e0f238"/>
    <s v="A-463db0"/>
    <d v="2024-12-09T00:00:00"/>
    <m/>
    <x v="1"/>
    <n v="35"/>
    <n v="1715"/>
    <n v="20580"/>
    <x v="0"/>
    <b v="0"/>
    <b v="0"/>
    <b v="0"/>
    <x v="1"/>
    <b v="1"/>
  </r>
  <r>
    <s v="S-752e61"/>
    <s v="A-e3bd71"/>
    <d v="2024-03-24T00:00:00"/>
    <m/>
    <x v="0"/>
    <n v="31"/>
    <n v="6169"/>
    <n v="74028"/>
    <x v="0"/>
    <b v="0"/>
    <b v="0"/>
    <b v="0"/>
    <x v="0"/>
    <b v="1"/>
  </r>
  <r>
    <s v="S-1a3d9c"/>
    <s v="A-684255"/>
    <d v="2024-07-07T00:00:00"/>
    <m/>
    <x v="1"/>
    <n v="11"/>
    <n v="539"/>
    <n v="6468"/>
    <x v="0"/>
    <b v="0"/>
    <b v="0"/>
    <b v="0"/>
    <x v="1"/>
    <b v="0"/>
  </r>
  <r>
    <s v="S-525d6b"/>
    <s v="A-94f8c9"/>
    <d v="2024-04-17T00:00:00"/>
    <d v="2024-05-29T00:00:00"/>
    <x v="0"/>
    <n v="13"/>
    <n v="0"/>
    <n v="0"/>
    <x v="1"/>
    <b v="0"/>
    <b v="0"/>
    <b v="1"/>
    <x v="0"/>
    <b v="1"/>
  </r>
  <r>
    <s v="S-a45a12"/>
    <s v="A-dcc3f1"/>
    <d v="2023-12-27T00:00:00"/>
    <m/>
    <x v="2"/>
    <n v="21"/>
    <n v="399"/>
    <n v="4788"/>
    <x v="0"/>
    <b v="0"/>
    <b v="0"/>
    <b v="0"/>
    <x v="0"/>
    <b v="1"/>
  </r>
  <r>
    <s v="S-975ee4"/>
    <s v="A-a09355"/>
    <d v="2024-11-18T00:00:00"/>
    <d v="2024-11-24T00:00:00"/>
    <x v="1"/>
    <n v="14"/>
    <n v="686"/>
    <n v="8232"/>
    <x v="0"/>
    <b v="0"/>
    <b v="0"/>
    <b v="1"/>
    <x v="1"/>
    <b v="0"/>
  </r>
  <r>
    <s v="S-50c6f5"/>
    <s v="A-a6d261"/>
    <d v="2024-04-26T00:00:00"/>
    <d v="2024-11-26T00:00:00"/>
    <x v="0"/>
    <n v="103"/>
    <n v="20497"/>
    <n v="245964"/>
    <x v="0"/>
    <b v="0"/>
    <b v="0"/>
    <b v="1"/>
    <x v="0"/>
    <b v="1"/>
  </r>
  <r>
    <s v="S-150c8e"/>
    <s v="A-58b9ff"/>
    <d v="2024-11-03T00:00:00"/>
    <m/>
    <x v="1"/>
    <n v="33"/>
    <n v="1617"/>
    <n v="19404"/>
    <x v="0"/>
    <b v="0"/>
    <b v="0"/>
    <b v="0"/>
    <x v="0"/>
    <b v="1"/>
  </r>
  <r>
    <s v="S-da2f0b"/>
    <s v="A-8145a0"/>
    <d v="2024-08-10T00:00:00"/>
    <m/>
    <x v="0"/>
    <n v="12"/>
    <n v="2388"/>
    <n v="28656"/>
    <x v="0"/>
    <b v="1"/>
    <b v="0"/>
    <b v="0"/>
    <x v="1"/>
    <b v="1"/>
  </r>
  <r>
    <s v="S-2bc860"/>
    <s v="A-98a59a"/>
    <d v="2023-11-10T00:00:00"/>
    <m/>
    <x v="1"/>
    <n v="56"/>
    <n v="2744"/>
    <n v="32928"/>
    <x v="0"/>
    <b v="1"/>
    <b v="0"/>
    <b v="0"/>
    <x v="0"/>
    <b v="0"/>
  </r>
  <r>
    <s v="S-da9d5f"/>
    <s v="A-a33200"/>
    <d v="2024-10-21T00:00:00"/>
    <m/>
    <x v="2"/>
    <n v="29"/>
    <n v="551"/>
    <n v="6612"/>
    <x v="0"/>
    <b v="0"/>
    <b v="0"/>
    <b v="0"/>
    <x v="1"/>
    <b v="1"/>
  </r>
  <r>
    <s v="S-c7f2e5"/>
    <s v="A-34ea2f"/>
    <d v="2024-11-09T00:00:00"/>
    <d v="2024-11-19T00:00:00"/>
    <x v="0"/>
    <n v="21"/>
    <n v="4179"/>
    <n v="50148"/>
    <x v="0"/>
    <b v="0"/>
    <b v="0"/>
    <b v="1"/>
    <x v="1"/>
    <b v="1"/>
  </r>
  <r>
    <s v="S-eef92e"/>
    <s v="A-fdfc91"/>
    <d v="2024-08-11T00:00:00"/>
    <m/>
    <x v="1"/>
    <n v="66"/>
    <n v="3234"/>
    <n v="38808"/>
    <x v="0"/>
    <b v="0"/>
    <b v="0"/>
    <b v="0"/>
    <x v="1"/>
    <b v="1"/>
  </r>
  <r>
    <s v="S-3947da"/>
    <s v="A-37f969"/>
    <d v="2024-09-12T00:00:00"/>
    <m/>
    <x v="0"/>
    <n v="30"/>
    <n v="5970"/>
    <n v="71640"/>
    <x v="0"/>
    <b v="1"/>
    <b v="0"/>
    <b v="0"/>
    <x v="1"/>
    <b v="1"/>
  </r>
  <r>
    <s v="S-51590f"/>
    <s v="A-249769"/>
    <d v="2024-11-17T00:00:00"/>
    <m/>
    <x v="2"/>
    <n v="9"/>
    <n v="171"/>
    <n v="2052"/>
    <x v="0"/>
    <b v="0"/>
    <b v="0"/>
    <b v="0"/>
    <x v="1"/>
    <b v="1"/>
  </r>
  <r>
    <s v="S-383ac2"/>
    <s v="A-09316c"/>
    <d v="2024-10-22T00:00:00"/>
    <m/>
    <x v="2"/>
    <n v="70"/>
    <n v="0"/>
    <n v="0"/>
    <x v="1"/>
    <b v="0"/>
    <b v="0"/>
    <b v="0"/>
    <x v="0"/>
    <b v="0"/>
  </r>
  <r>
    <s v="S-44e3ac"/>
    <s v="A-81edc3"/>
    <d v="2024-01-14T00:00:00"/>
    <m/>
    <x v="0"/>
    <n v="5"/>
    <n v="995"/>
    <n v="11940"/>
    <x v="0"/>
    <b v="0"/>
    <b v="0"/>
    <b v="0"/>
    <x v="0"/>
    <b v="1"/>
  </r>
  <r>
    <s v="S-ebe172"/>
    <s v="A-c4ea60"/>
    <d v="2023-05-29T00:00:00"/>
    <m/>
    <x v="2"/>
    <n v="18"/>
    <n v="342"/>
    <n v="4104"/>
    <x v="0"/>
    <b v="0"/>
    <b v="0"/>
    <b v="0"/>
    <x v="0"/>
    <b v="1"/>
  </r>
  <r>
    <s v="S-a4139f"/>
    <s v="A-c45b23"/>
    <d v="2024-02-01T00:00:00"/>
    <m/>
    <x v="1"/>
    <n v="5"/>
    <n v="245"/>
    <n v="2940"/>
    <x v="0"/>
    <b v="0"/>
    <b v="0"/>
    <b v="0"/>
    <x v="0"/>
    <b v="1"/>
  </r>
  <r>
    <s v="S-32d874"/>
    <s v="A-02cd81"/>
    <d v="2024-05-04T00:00:00"/>
    <m/>
    <x v="1"/>
    <n v="44"/>
    <n v="2156"/>
    <n v="25872"/>
    <x v="0"/>
    <b v="0"/>
    <b v="0"/>
    <b v="0"/>
    <x v="1"/>
    <b v="0"/>
  </r>
  <r>
    <s v="S-4e63e7"/>
    <s v="A-a33200"/>
    <d v="2024-10-25T00:00:00"/>
    <d v="2024-11-24T00:00:00"/>
    <x v="0"/>
    <n v="29"/>
    <n v="5771"/>
    <n v="69252"/>
    <x v="0"/>
    <b v="0"/>
    <b v="0"/>
    <b v="1"/>
    <x v="1"/>
    <b v="1"/>
  </r>
  <r>
    <s v="S-810c27"/>
    <s v="A-8ed5dd"/>
    <d v="2024-08-21T00:00:00"/>
    <m/>
    <x v="2"/>
    <n v="5"/>
    <n v="95"/>
    <n v="1140"/>
    <x v="0"/>
    <b v="0"/>
    <b v="0"/>
    <b v="0"/>
    <x v="1"/>
    <b v="1"/>
  </r>
  <r>
    <s v="S-74d86d"/>
    <s v="A-5ed98d"/>
    <d v="2024-12-20T00:00:00"/>
    <m/>
    <x v="2"/>
    <n v="54"/>
    <n v="1026"/>
    <n v="12312"/>
    <x v="0"/>
    <b v="1"/>
    <b v="0"/>
    <b v="0"/>
    <x v="1"/>
    <b v="1"/>
  </r>
  <r>
    <s v="S-ad32a8"/>
    <s v="A-6843f2"/>
    <d v="2024-12-11T00:00:00"/>
    <m/>
    <x v="1"/>
    <n v="21"/>
    <n v="1029"/>
    <n v="12348"/>
    <x v="0"/>
    <b v="0"/>
    <b v="0"/>
    <b v="0"/>
    <x v="0"/>
    <b v="1"/>
  </r>
  <r>
    <s v="S-2f729b"/>
    <s v="A-3be56b"/>
    <d v="2024-02-01T00:00:00"/>
    <d v="2024-03-05T00:00:00"/>
    <x v="1"/>
    <n v="35"/>
    <n v="1715"/>
    <n v="20580"/>
    <x v="0"/>
    <b v="0"/>
    <b v="0"/>
    <b v="1"/>
    <x v="0"/>
    <b v="1"/>
  </r>
  <r>
    <s v="S-3eb56d"/>
    <s v="A-463db0"/>
    <d v="2024-12-31T00:00:00"/>
    <m/>
    <x v="1"/>
    <n v="15"/>
    <n v="735"/>
    <n v="8820"/>
    <x v="0"/>
    <b v="0"/>
    <b v="0"/>
    <b v="0"/>
    <x v="1"/>
    <b v="1"/>
  </r>
  <r>
    <s v="S-21bd9b"/>
    <s v="A-65a46c"/>
    <d v="2024-12-24T00:00:00"/>
    <m/>
    <x v="1"/>
    <n v="35"/>
    <n v="1715"/>
    <n v="20580"/>
    <x v="0"/>
    <b v="0"/>
    <b v="0"/>
    <b v="0"/>
    <x v="1"/>
    <b v="1"/>
  </r>
  <r>
    <s v="S-2e0575"/>
    <s v="A-4814a3"/>
    <d v="2024-11-06T00:00:00"/>
    <d v="2024-12-31T00:00:00"/>
    <x v="0"/>
    <n v="87"/>
    <n v="17313"/>
    <n v="207756"/>
    <x v="0"/>
    <b v="0"/>
    <b v="0"/>
    <b v="1"/>
    <x v="1"/>
    <b v="1"/>
  </r>
  <r>
    <s v="S-1630dd"/>
    <s v="A-fda07f"/>
    <d v="2024-09-14T00:00:00"/>
    <m/>
    <x v="1"/>
    <n v="34"/>
    <n v="1666"/>
    <n v="19992"/>
    <x v="0"/>
    <b v="0"/>
    <b v="0"/>
    <b v="0"/>
    <x v="1"/>
    <b v="1"/>
  </r>
  <r>
    <s v="S-9842bb"/>
    <s v="A-4814a3"/>
    <d v="2024-10-27T00:00:00"/>
    <m/>
    <x v="0"/>
    <n v="87"/>
    <n v="17313"/>
    <n v="207756"/>
    <x v="0"/>
    <b v="0"/>
    <b v="0"/>
    <b v="0"/>
    <x v="0"/>
    <b v="0"/>
  </r>
  <r>
    <s v="S-12ed58"/>
    <s v="A-1f0ac7"/>
    <d v="2024-11-14T00:00:00"/>
    <m/>
    <x v="2"/>
    <n v="32"/>
    <n v="608"/>
    <n v="7296"/>
    <x v="0"/>
    <b v="0"/>
    <b v="0"/>
    <b v="0"/>
    <x v="1"/>
    <b v="1"/>
  </r>
  <r>
    <s v="S-be3ff6"/>
    <s v="A-de58ca"/>
    <d v="2023-07-17T00:00:00"/>
    <m/>
    <x v="1"/>
    <n v="105"/>
    <n v="0"/>
    <n v="0"/>
    <x v="1"/>
    <b v="0"/>
    <b v="0"/>
    <b v="0"/>
    <x v="1"/>
    <b v="0"/>
  </r>
  <r>
    <s v="S-a36281"/>
    <s v="A-c45b23"/>
    <d v="2023-12-29T00:00:00"/>
    <m/>
    <x v="2"/>
    <n v="8"/>
    <n v="152"/>
    <n v="1824"/>
    <x v="0"/>
    <b v="0"/>
    <b v="0"/>
    <b v="0"/>
    <x v="0"/>
    <b v="1"/>
  </r>
  <r>
    <s v="S-7d651b"/>
    <s v="A-4ef964"/>
    <d v="2024-11-15T00:00:00"/>
    <m/>
    <x v="1"/>
    <n v="28"/>
    <n v="1372"/>
    <n v="16464"/>
    <x v="0"/>
    <b v="0"/>
    <b v="0"/>
    <b v="0"/>
    <x v="0"/>
    <b v="1"/>
  </r>
  <r>
    <s v="S-668cdc"/>
    <s v="A-40de06"/>
    <d v="2023-11-08T00:00:00"/>
    <m/>
    <x v="1"/>
    <n v="28"/>
    <n v="1372"/>
    <n v="16464"/>
    <x v="0"/>
    <b v="0"/>
    <b v="0"/>
    <b v="0"/>
    <x v="0"/>
    <b v="1"/>
  </r>
  <r>
    <s v="S-3ef584"/>
    <s v="A-72799b"/>
    <d v="2023-11-17T00:00:00"/>
    <m/>
    <x v="0"/>
    <n v="20"/>
    <n v="3980"/>
    <n v="47760"/>
    <x v="0"/>
    <b v="0"/>
    <b v="0"/>
    <b v="0"/>
    <x v="1"/>
    <b v="1"/>
  </r>
  <r>
    <s v="S-9211e5"/>
    <s v="A-d4ac0e"/>
    <d v="2024-10-12T00:00:00"/>
    <m/>
    <x v="0"/>
    <n v="28"/>
    <n v="5572"/>
    <n v="66864"/>
    <x v="0"/>
    <b v="0"/>
    <b v="0"/>
    <b v="0"/>
    <x v="1"/>
    <b v="1"/>
  </r>
  <r>
    <s v="S-3ae2dd"/>
    <s v="A-f45426"/>
    <d v="2024-08-05T00:00:00"/>
    <m/>
    <x v="2"/>
    <n v="57"/>
    <n v="0"/>
    <n v="0"/>
    <x v="1"/>
    <b v="0"/>
    <b v="0"/>
    <b v="0"/>
    <x v="1"/>
    <b v="1"/>
  </r>
  <r>
    <s v="S-942caf"/>
    <s v="A-812c5b"/>
    <d v="2024-11-07T00:00:00"/>
    <m/>
    <x v="2"/>
    <n v="71"/>
    <n v="1349"/>
    <n v="16188"/>
    <x v="0"/>
    <b v="0"/>
    <b v="0"/>
    <b v="0"/>
    <x v="0"/>
    <b v="1"/>
  </r>
  <r>
    <s v="S-d71bdd"/>
    <s v="A-c45b23"/>
    <d v="2024-05-26T00:00:00"/>
    <m/>
    <x v="0"/>
    <n v="9"/>
    <n v="1791"/>
    <n v="21492"/>
    <x v="0"/>
    <b v="0"/>
    <b v="0"/>
    <b v="0"/>
    <x v="1"/>
    <b v="0"/>
  </r>
  <r>
    <s v="S-f32731"/>
    <s v="A-20736a"/>
    <d v="2024-10-02T00:00:00"/>
    <m/>
    <x v="0"/>
    <n v="50"/>
    <n v="0"/>
    <n v="0"/>
    <x v="1"/>
    <b v="0"/>
    <b v="0"/>
    <b v="0"/>
    <x v="0"/>
    <b v="1"/>
  </r>
  <r>
    <s v="S-911b0a"/>
    <s v="A-8ed5dd"/>
    <d v="2023-08-08T00:00:00"/>
    <m/>
    <x v="1"/>
    <n v="5"/>
    <n v="245"/>
    <n v="2940"/>
    <x v="0"/>
    <b v="0"/>
    <b v="0"/>
    <b v="0"/>
    <x v="1"/>
    <b v="1"/>
  </r>
  <r>
    <s v="S-d09309"/>
    <s v="A-d49cc5"/>
    <d v="2024-10-09T00:00:00"/>
    <m/>
    <x v="1"/>
    <n v="75"/>
    <n v="3675"/>
    <n v="44100"/>
    <x v="0"/>
    <b v="0"/>
    <b v="0"/>
    <b v="0"/>
    <x v="0"/>
    <b v="1"/>
  </r>
  <r>
    <s v="S-4260ed"/>
    <s v="A-4f18f0"/>
    <d v="2024-07-15T00:00:00"/>
    <m/>
    <x v="2"/>
    <n v="24"/>
    <n v="456"/>
    <n v="5472"/>
    <x v="0"/>
    <b v="0"/>
    <b v="0"/>
    <b v="0"/>
    <x v="1"/>
    <b v="1"/>
  </r>
  <r>
    <s v="S-c7e38a"/>
    <s v="A-2edab2"/>
    <d v="2024-10-03T00:00:00"/>
    <m/>
    <x v="2"/>
    <n v="17"/>
    <n v="323"/>
    <n v="3876"/>
    <x v="0"/>
    <b v="0"/>
    <b v="0"/>
    <b v="0"/>
    <x v="1"/>
    <b v="1"/>
  </r>
  <r>
    <s v="S-d22c1d"/>
    <s v="A-337bc1"/>
    <d v="2024-09-18T00:00:00"/>
    <m/>
    <x v="1"/>
    <n v="86"/>
    <n v="4214"/>
    <n v="50568"/>
    <x v="0"/>
    <b v="0"/>
    <b v="1"/>
    <b v="0"/>
    <x v="0"/>
    <b v="0"/>
  </r>
  <r>
    <s v="S-aadf83"/>
    <s v="A-700ade"/>
    <d v="2024-11-20T00:00:00"/>
    <d v="2024-12-04T00:00:00"/>
    <x v="0"/>
    <n v="9"/>
    <n v="1791"/>
    <n v="21492"/>
    <x v="0"/>
    <b v="0"/>
    <b v="0"/>
    <b v="1"/>
    <x v="1"/>
    <b v="1"/>
  </r>
  <r>
    <s v="S-096835"/>
    <s v="A-117171"/>
    <d v="2024-10-20T00:00:00"/>
    <m/>
    <x v="0"/>
    <n v="45"/>
    <n v="0"/>
    <n v="0"/>
    <x v="1"/>
    <b v="0"/>
    <b v="0"/>
    <b v="0"/>
    <x v="0"/>
    <b v="1"/>
  </r>
  <r>
    <s v="S-8ba96c"/>
    <s v="A-f6b2fb"/>
    <d v="2024-06-20T00:00:00"/>
    <m/>
    <x v="0"/>
    <n v="23"/>
    <n v="4577"/>
    <n v="54924"/>
    <x v="0"/>
    <b v="0"/>
    <b v="0"/>
    <b v="0"/>
    <x v="1"/>
    <b v="1"/>
  </r>
  <r>
    <s v="S-3112d0"/>
    <s v="A-68f37c"/>
    <d v="2024-04-11T00:00:00"/>
    <m/>
    <x v="2"/>
    <n v="94"/>
    <n v="1786"/>
    <n v="21432"/>
    <x v="0"/>
    <b v="0"/>
    <b v="0"/>
    <b v="0"/>
    <x v="0"/>
    <b v="1"/>
  </r>
  <r>
    <s v="S-7ea5d9"/>
    <s v="A-684255"/>
    <d v="2024-08-05T00:00:00"/>
    <m/>
    <x v="1"/>
    <n v="10"/>
    <n v="490"/>
    <n v="5880"/>
    <x v="0"/>
    <b v="1"/>
    <b v="0"/>
    <b v="0"/>
    <x v="0"/>
    <b v="1"/>
  </r>
  <r>
    <s v="S-c796c1"/>
    <s v="A-aa9511"/>
    <d v="2023-10-11T00:00:00"/>
    <m/>
    <x v="1"/>
    <n v="23"/>
    <n v="1127"/>
    <n v="13524"/>
    <x v="0"/>
    <b v="0"/>
    <b v="0"/>
    <b v="0"/>
    <x v="0"/>
    <b v="1"/>
  </r>
  <r>
    <s v="S-0ea795"/>
    <s v="A-d3c88e"/>
    <d v="2024-10-27T00:00:00"/>
    <m/>
    <x v="1"/>
    <n v="16"/>
    <n v="784"/>
    <n v="9408"/>
    <x v="0"/>
    <b v="0"/>
    <b v="0"/>
    <b v="0"/>
    <x v="1"/>
    <b v="1"/>
  </r>
  <r>
    <s v="S-32545c"/>
    <s v="A-7dacce"/>
    <d v="2024-11-13T00:00:00"/>
    <m/>
    <x v="0"/>
    <n v="15"/>
    <n v="2985"/>
    <n v="35820"/>
    <x v="0"/>
    <b v="0"/>
    <b v="0"/>
    <b v="0"/>
    <x v="1"/>
    <b v="0"/>
  </r>
  <r>
    <s v="S-2aaca3"/>
    <s v="A-751c58"/>
    <d v="2024-12-18T00:00:00"/>
    <m/>
    <x v="0"/>
    <n v="26"/>
    <n v="5174"/>
    <n v="62088"/>
    <x v="0"/>
    <b v="0"/>
    <b v="0"/>
    <b v="0"/>
    <x v="0"/>
    <b v="1"/>
  </r>
  <r>
    <s v="S-6fde5e"/>
    <s v="A-7c4956"/>
    <d v="2024-12-20T00:00:00"/>
    <m/>
    <x v="2"/>
    <n v="27"/>
    <n v="513"/>
    <n v="6156"/>
    <x v="0"/>
    <b v="0"/>
    <b v="0"/>
    <b v="0"/>
    <x v="1"/>
    <b v="1"/>
  </r>
  <r>
    <s v="S-7ccc38"/>
    <s v="A-2d1036"/>
    <d v="2024-07-13T00:00:00"/>
    <m/>
    <x v="2"/>
    <n v="69"/>
    <n v="1311"/>
    <n v="15732"/>
    <x v="0"/>
    <b v="0"/>
    <b v="0"/>
    <b v="0"/>
    <x v="1"/>
    <b v="0"/>
  </r>
  <r>
    <s v="S-ff9bde"/>
    <s v="A-8bde0c"/>
    <d v="2024-12-20T00:00:00"/>
    <d v="2024-12-22T00:00:00"/>
    <x v="1"/>
    <n v="12"/>
    <n v="588"/>
    <n v="7056"/>
    <x v="0"/>
    <b v="0"/>
    <b v="0"/>
    <b v="1"/>
    <x v="0"/>
    <b v="1"/>
  </r>
  <r>
    <s v="S-a01d87"/>
    <s v="A-e5d6ab"/>
    <d v="2024-06-27T00:00:00"/>
    <m/>
    <x v="2"/>
    <n v="9"/>
    <n v="171"/>
    <n v="2052"/>
    <x v="0"/>
    <b v="0"/>
    <b v="0"/>
    <b v="0"/>
    <x v="1"/>
    <b v="1"/>
  </r>
  <r>
    <s v="S-9ac7cb"/>
    <s v="A-712f1c"/>
    <d v="2024-04-19T00:00:00"/>
    <m/>
    <x v="1"/>
    <n v="18"/>
    <n v="882"/>
    <n v="10584"/>
    <x v="0"/>
    <b v="0"/>
    <b v="0"/>
    <b v="0"/>
    <x v="0"/>
    <b v="1"/>
  </r>
  <r>
    <s v="S-b47d75"/>
    <s v="A-b2225d"/>
    <d v="2024-05-13T00:00:00"/>
    <m/>
    <x v="0"/>
    <n v="47"/>
    <n v="9353"/>
    <n v="112236"/>
    <x v="0"/>
    <b v="0"/>
    <b v="0"/>
    <b v="0"/>
    <x v="1"/>
    <b v="1"/>
  </r>
  <r>
    <s v="S-d71a1f"/>
    <s v="A-40a557"/>
    <d v="2024-11-03T00:00:00"/>
    <m/>
    <x v="1"/>
    <n v="16"/>
    <n v="784"/>
    <n v="9408"/>
    <x v="0"/>
    <b v="1"/>
    <b v="0"/>
    <b v="0"/>
    <x v="1"/>
    <b v="1"/>
  </r>
  <r>
    <s v="S-08e560"/>
    <s v="A-de58ca"/>
    <d v="2023-09-25T00:00:00"/>
    <d v="2024-01-07T00:00:00"/>
    <x v="1"/>
    <n v="15"/>
    <n v="735"/>
    <n v="8820"/>
    <x v="0"/>
    <b v="0"/>
    <b v="0"/>
    <b v="1"/>
    <x v="0"/>
    <b v="1"/>
  </r>
  <r>
    <s v="S-46ff9c"/>
    <s v="A-139c3b"/>
    <d v="2024-11-27T00:00:00"/>
    <d v="2024-12-16T00:00:00"/>
    <x v="1"/>
    <n v="28"/>
    <n v="1372"/>
    <n v="16464"/>
    <x v="0"/>
    <b v="0"/>
    <b v="0"/>
    <b v="1"/>
    <x v="0"/>
    <b v="1"/>
  </r>
  <r>
    <s v="S-d91f4c"/>
    <s v="A-1b7577"/>
    <d v="2024-11-15T00:00:00"/>
    <d v="2024-11-15T00:00:00"/>
    <x v="2"/>
    <n v="10"/>
    <n v="190"/>
    <n v="2280"/>
    <x v="0"/>
    <b v="0"/>
    <b v="1"/>
    <b v="1"/>
    <x v="0"/>
    <b v="1"/>
  </r>
  <r>
    <s v="S-40adae"/>
    <s v="A-8145a0"/>
    <d v="2024-01-26T00:00:00"/>
    <m/>
    <x v="2"/>
    <n v="10"/>
    <n v="190"/>
    <n v="2280"/>
    <x v="0"/>
    <b v="0"/>
    <b v="0"/>
    <b v="0"/>
    <x v="0"/>
    <b v="1"/>
  </r>
  <r>
    <s v="S-db4e11"/>
    <s v="A-49b828"/>
    <d v="2024-08-09T00:00:00"/>
    <m/>
    <x v="1"/>
    <n v="14"/>
    <n v="686"/>
    <n v="8232"/>
    <x v="0"/>
    <b v="0"/>
    <b v="0"/>
    <b v="0"/>
    <x v="0"/>
    <b v="1"/>
  </r>
  <r>
    <s v="S-e4a862"/>
    <s v="A-3ce5b8"/>
    <d v="2024-10-03T00:00:00"/>
    <m/>
    <x v="0"/>
    <n v="8"/>
    <n v="0"/>
    <n v="0"/>
    <x v="1"/>
    <b v="0"/>
    <b v="0"/>
    <b v="0"/>
    <x v="1"/>
    <b v="1"/>
  </r>
  <r>
    <s v="S-e7cb68"/>
    <s v="A-474ad4"/>
    <d v="2024-01-29T00:00:00"/>
    <m/>
    <x v="1"/>
    <n v="9"/>
    <n v="441"/>
    <n v="5292"/>
    <x v="0"/>
    <b v="0"/>
    <b v="0"/>
    <b v="0"/>
    <x v="1"/>
    <b v="1"/>
  </r>
  <r>
    <s v="S-e093a9"/>
    <s v="A-80eeb6"/>
    <d v="2023-08-02T00:00:00"/>
    <m/>
    <x v="1"/>
    <n v="22"/>
    <n v="1078"/>
    <n v="12936"/>
    <x v="0"/>
    <b v="1"/>
    <b v="0"/>
    <b v="0"/>
    <x v="0"/>
    <b v="1"/>
  </r>
  <r>
    <s v="S-56834c"/>
    <s v="A-158f4e"/>
    <d v="2023-08-30T00:00:00"/>
    <m/>
    <x v="1"/>
    <n v="61"/>
    <n v="0"/>
    <n v="0"/>
    <x v="1"/>
    <b v="0"/>
    <b v="0"/>
    <b v="0"/>
    <x v="0"/>
    <b v="1"/>
  </r>
  <r>
    <s v="S-11d922"/>
    <s v="A-533452"/>
    <d v="2024-11-28T00:00:00"/>
    <m/>
    <x v="0"/>
    <n v="15"/>
    <n v="2985"/>
    <n v="35820"/>
    <x v="0"/>
    <b v="0"/>
    <b v="1"/>
    <b v="0"/>
    <x v="0"/>
    <b v="1"/>
  </r>
  <r>
    <s v="S-58b22d"/>
    <s v="A-6f50ae"/>
    <d v="2024-12-31T00:00:00"/>
    <m/>
    <x v="0"/>
    <n v="19"/>
    <n v="3781"/>
    <n v="45372"/>
    <x v="0"/>
    <b v="0"/>
    <b v="0"/>
    <b v="0"/>
    <x v="0"/>
    <b v="1"/>
  </r>
  <r>
    <s v="S-42daaa"/>
    <s v="A-08e34e"/>
    <d v="2024-08-07T00:00:00"/>
    <m/>
    <x v="2"/>
    <n v="77"/>
    <n v="1463"/>
    <n v="17556"/>
    <x v="0"/>
    <b v="0"/>
    <b v="0"/>
    <b v="0"/>
    <x v="1"/>
    <b v="0"/>
  </r>
  <r>
    <s v="S-fa0d9e"/>
    <s v="A-726cfa"/>
    <d v="2024-12-16T00:00:00"/>
    <m/>
    <x v="0"/>
    <n v="38"/>
    <n v="7562"/>
    <n v="90744"/>
    <x v="0"/>
    <b v="0"/>
    <b v="0"/>
    <b v="0"/>
    <x v="0"/>
    <b v="0"/>
  </r>
  <r>
    <s v="S-55c61c"/>
    <s v="A-8b0451"/>
    <d v="2024-12-21T00:00:00"/>
    <m/>
    <x v="0"/>
    <n v="41"/>
    <n v="8159"/>
    <n v="97908"/>
    <x v="0"/>
    <b v="0"/>
    <b v="0"/>
    <b v="0"/>
    <x v="1"/>
    <b v="1"/>
  </r>
  <r>
    <s v="S-9917a2"/>
    <s v="A-ac14bb"/>
    <d v="2024-02-29T00:00:00"/>
    <m/>
    <x v="1"/>
    <n v="26"/>
    <n v="0"/>
    <n v="0"/>
    <x v="1"/>
    <b v="0"/>
    <b v="0"/>
    <b v="0"/>
    <x v="1"/>
    <b v="1"/>
  </r>
  <r>
    <s v="S-154918"/>
    <s v="A-c1dfe1"/>
    <d v="2024-09-22T00:00:00"/>
    <m/>
    <x v="2"/>
    <n v="26"/>
    <n v="494"/>
    <n v="5928"/>
    <x v="0"/>
    <b v="0"/>
    <b v="0"/>
    <b v="0"/>
    <x v="0"/>
    <b v="0"/>
  </r>
  <r>
    <s v="S-20152a"/>
    <s v="A-fabe19"/>
    <d v="2024-12-20T00:00:00"/>
    <m/>
    <x v="0"/>
    <n v="33"/>
    <n v="0"/>
    <n v="0"/>
    <x v="1"/>
    <b v="0"/>
    <b v="0"/>
    <b v="0"/>
    <x v="1"/>
    <b v="0"/>
  </r>
  <r>
    <s v="S-f0e08e"/>
    <s v="A-69b156"/>
    <d v="2024-09-16T00:00:00"/>
    <m/>
    <x v="0"/>
    <n v="13"/>
    <n v="2587"/>
    <n v="31044"/>
    <x v="0"/>
    <b v="0"/>
    <b v="0"/>
    <b v="0"/>
    <x v="0"/>
    <b v="1"/>
  </r>
  <r>
    <s v="S-0896f4"/>
    <s v="A-781cc0"/>
    <d v="2024-12-08T00:00:00"/>
    <m/>
    <x v="2"/>
    <n v="12"/>
    <n v="228"/>
    <n v="2736"/>
    <x v="0"/>
    <b v="0"/>
    <b v="0"/>
    <b v="0"/>
    <x v="1"/>
    <b v="1"/>
  </r>
  <r>
    <s v="S-328ac2"/>
    <s v="A-417d2f"/>
    <d v="2024-10-14T00:00:00"/>
    <m/>
    <x v="1"/>
    <n v="4"/>
    <n v="196"/>
    <n v="2352"/>
    <x v="0"/>
    <b v="0"/>
    <b v="0"/>
    <b v="0"/>
    <x v="1"/>
    <b v="0"/>
  </r>
  <r>
    <s v="S-4df118"/>
    <s v="A-86fc1d"/>
    <d v="2024-10-28T00:00:00"/>
    <d v="2024-11-02T00:00:00"/>
    <x v="2"/>
    <n v="26"/>
    <n v="494"/>
    <n v="5928"/>
    <x v="0"/>
    <b v="1"/>
    <b v="0"/>
    <b v="1"/>
    <x v="0"/>
    <b v="1"/>
  </r>
  <r>
    <s v="S-01bbff"/>
    <s v="A-de24d5"/>
    <d v="2024-11-17T00:00:00"/>
    <m/>
    <x v="2"/>
    <n v="5"/>
    <n v="95"/>
    <n v="1140"/>
    <x v="0"/>
    <b v="0"/>
    <b v="0"/>
    <b v="0"/>
    <x v="1"/>
    <b v="1"/>
  </r>
  <r>
    <s v="S-31d765"/>
    <s v="A-7dacce"/>
    <d v="2024-12-04T00:00:00"/>
    <m/>
    <x v="1"/>
    <n v="12"/>
    <n v="0"/>
    <n v="0"/>
    <x v="1"/>
    <b v="1"/>
    <b v="0"/>
    <b v="0"/>
    <x v="1"/>
    <b v="1"/>
  </r>
  <r>
    <s v="S-c64b73"/>
    <s v="A-de58ca"/>
    <d v="2023-04-20T00:00:00"/>
    <m/>
    <x v="1"/>
    <n v="15"/>
    <n v="735"/>
    <n v="8820"/>
    <x v="0"/>
    <b v="0"/>
    <b v="0"/>
    <b v="0"/>
    <x v="1"/>
    <b v="1"/>
  </r>
  <r>
    <s v="S-720940"/>
    <s v="A-2bc93d"/>
    <d v="2023-07-29T00:00:00"/>
    <m/>
    <x v="2"/>
    <n v="20"/>
    <n v="380"/>
    <n v="4560"/>
    <x v="0"/>
    <b v="1"/>
    <b v="0"/>
    <b v="0"/>
    <x v="0"/>
    <b v="1"/>
  </r>
  <r>
    <s v="S-e753fa"/>
    <s v="A-a6d261"/>
    <d v="2024-02-06T00:00:00"/>
    <m/>
    <x v="1"/>
    <n v="28"/>
    <n v="1372"/>
    <n v="16464"/>
    <x v="0"/>
    <b v="1"/>
    <b v="0"/>
    <b v="0"/>
    <x v="1"/>
    <b v="1"/>
  </r>
  <r>
    <s v="S-755502"/>
    <s v="A-5a3eb9"/>
    <d v="2024-05-28T00:00:00"/>
    <m/>
    <x v="0"/>
    <n v="18"/>
    <n v="3582"/>
    <n v="42984"/>
    <x v="0"/>
    <b v="0"/>
    <b v="0"/>
    <b v="0"/>
    <x v="1"/>
    <b v="1"/>
  </r>
  <r>
    <s v="S-5480a7"/>
    <s v="A-94d3da"/>
    <d v="2023-06-05T00:00:00"/>
    <m/>
    <x v="0"/>
    <n v="41"/>
    <n v="8159"/>
    <n v="97908"/>
    <x v="0"/>
    <b v="1"/>
    <b v="0"/>
    <b v="0"/>
    <x v="1"/>
    <b v="1"/>
  </r>
  <r>
    <s v="S-db7a77"/>
    <s v="A-7df7a7"/>
    <d v="2023-12-13T00:00:00"/>
    <m/>
    <x v="0"/>
    <n v="15"/>
    <n v="2985"/>
    <n v="35820"/>
    <x v="0"/>
    <b v="0"/>
    <b v="0"/>
    <b v="0"/>
    <x v="1"/>
    <b v="1"/>
  </r>
  <r>
    <s v="S-6403db"/>
    <s v="A-37f969"/>
    <d v="2023-11-02T00:00:00"/>
    <m/>
    <x v="2"/>
    <n v="51"/>
    <n v="969"/>
    <n v="11628"/>
    <x v="0"/>
    <b v="0"/>
    <b v="0"/>
    <b v="0"/>
    <x v="0"/>
    <b v="1"/>
  </r>
  <r>
    <s v="S-22f096"/>
    <s v="A-c58f49"/>
    <d v="2024-10-15T00:00:00"/>
    <m/>
    <x v="0"/>
    <n v="70"/>
    <n v="13930"/>
    <n v="167160"/>
    <x v="0"/>
    <b v="0"/>
    <b v="0"/>
    <b v="0"/>
    <x v="0"/>
    <b v="1"/>
  </r>
  <r>
    <s v="S-20f1bd"/>
    <s v="A-bb2f49"/>
    <d v="2024-02-16T00:00:00"/>
    <m/>
    <x v="1"/>
    <n v="16"/>
    <n v="784"/>
    <n v="9408"/>
    <x v="0"/>
    <b v="0"/>
    <b v="0"/>
    <b v="0"/>
    <x v="0"/>
    <b v="1"/>
  </r>
  <r>
    <s v="S-bbff6f"/>
    <s v="A-df10db"/>
    <d v="2024-05-19T00:00:00"/>
    <m/>
    <x v="1"/>
    <n v="26"/>
    <n v="1274"/>
    <n v="15288"/>
    <x v="0"/>
    <b v="0"/>
    <b v="0"/>
    <b v="0"/>
    <x v="0"/>
    <b v="1"/>
  </r>
  <r>
    <s v="S-3a694d"/>
    <s v="A-781cc0"/>
    <d v="2024-11-10T00:00:00"/>
    <m/>
    <x v="1"/>
    <n v="20"/>
    <n v="980"/>
    <n v="11760"/>
    <x v="0"/>
    <b v="0"/>
    <b v="0"/>
    <b v="0"/>
    <x v="0"/>
    <b v="0"/>
  </r>
  <r>
    <s v="S-e1820e"/>
    <s v="A-0651a4"/>
    <d v="2024-11-24T00:00:00"/>
    <m/>
    <x v="0"/>
    <n v="19"/>
    <n v="3781"/>
    <n v="45372"/>
    <x v="0"/>
    <b v="0"/>
    <b v="0"/>
    <b v="0"/>
    <x v="1"/>
    <b v="1"/>
  </r>
  <r>
    <s v="S-67595c"/>
    <s v="A-508199"/>
    <d v="2024-02-08T00:00:00"/>
    <m/>
    <x v="2"/>
    <n v="27"/>
    <n v="513"/>
    <n v="6156"/>
    <x v="0"/>
    <b v="0"/>
    <b v="0"/>
    <b v="0"/>
    <x v="1"/>
    <b v="0"/>
  </r>
  <r>
    <s v="S-17fb4d"/>
    <s v="A-71615e"/>
    <d v="2024-07-04T00:00:00"/>
    <m/>
    <x v="0"/>
    <n v="15"/>
    <n v="2985"/>
    <n v="35820"/>
    <x v="0"/>
    <b v="0"/>
    <b v="0"/>
    <b v="0"/>
    <x v="0"/>
    <b v="1"/>
  </r>
  <r>
    <s v="S-f8a794"/>
    <s v="A-dec005"/>
    <d v="2023-12-22T00:00:00"/>
    <m/>
    <x v="0"/>
    <n v="31"/>
    <n v="6169"/>
    <n v="74028"/>
    <x v="0"/>
    <b v="0"/>
    <b v="0"/>
    <b v="0"/>
    <x v="0"/>
    <b v="1"/>
  </r>
  <r>
    <s v="S-dc1c10"/>
    <s v="A-139c3b"/>
    <d v="2024-11-28T00:00:00"/>
    <m/>
    <x v="2"/>
    <n v="29"/>
    <n v="551"/>
    <n v="6612"/>
    <x v="0"/>
    <b v="0"/>
    <b v="0"/>
    <b v="0"/>
    <x v="1"/>
    <b v="1"/>
  </r>
  <r>
    <s v="S-59d050"/>
    <s v="A-751c58"/>
    <d v="2024-10-11T00:00:00"/>
    <m/>
    <x v="1"/>
    <n v="45"/>
    <n v="2205"/>
    <n v="26460"/>
    <x v="0"/>
    <b v="1"/>
    <b v="0"/>
    <b v="0"/>
    <x v="0"/>
    <b v="1"/>
  </r>
  <r>
    <s v="S-a3b329"/>
    <s v="A-3a7284"/>
    <d v="2024-12-23T00:00:00"/>
    <m/>
    <x v="2"/>
    <n v="37"/>
    <n v="703"/>
    <n v="8436"/>
    <x v="0"/>
    <b v="0"/>
    <b v="1"/>
    <b v="0"/>
    <x v="0"/>
    <b v="0"/>
  </r>
  <r>
    <s v="S-2881e0"/>
    <s v="A-42e5e1"/>
    <d v="2024-07-21T00:00:00"/>
    <m/>
    <x v="1"/>
    <n v="1"/>
    <n v="49"/>
    <n v="588"/>
    <x v="0"/>
    <b v="0"/>
    <b v="1"/>
    <b v="0"/>
    <x v="1"/>
    <b v="1"/>
  </r>
  <r>
    <s v="S-5d532c"/>
    <s v="A-cd458b"/>
    <d v="2024-12-26T00:00:00"/>
    <m/>
    <x v="0"/>
    <n v="10"/>
    <n v="1990"/>
    <n v="23880"/>
    <x v="0"/>
    <b v="0"/>
    <b v="1"/>
    <b v="0"/>
    <x v="0"/>
    <b v="1"/>
  </r>
  <r>
    <s v="S-f9c661"/>
    <s v="A-1e50e0"/>
    <d v="2024-09-05T00:00:00"/>
    <m/>
    <x v="0"/>
    <n v="19"/>
    <n v="3781"/>
    <n v="45372"/>
    <x v="0"/>
    <b v="0"/>
    <b v="0"/>
    <b v="0"/>
    <x v="1"/>
    <b v="1"/>
  </r>
  <r>
    <s v="S-817e4b"/>
    <s v="A-42b791"/>
    <d v="2024-10-08T00:00:00"/>
    <m/>
    <x v="0"/>
    <n v="75"/>
    <n v="14925"/>
    <n v="179100"/>
    <x v="0"/>
    <b v="0"/>
    <b v="0"/>
    <b v="0"/>
    <x v="1"/>
    <b v="0"/>
  </r>
  <r>
    <s v="S-59be40"/>
    <s v="A-94f8c9"/>
    <d v="2024-10-21T00:00:00"/>
    <m/>
    <x v="2"/>
    <n v="13"/>
    <n v="247"/>
    <n v="2964"/>
    <x v="0"/>
    <b v="0"/>
    <b v="0"/>
    <b v="0"/>
    <x v="1"/>
    <b v="1"/>
  </r>
  <r>
    <s v="S-d82234"/>
    <s v="A-d77f4c"/>
    <d v="2024-12-17T00:00:00"/>
    <d v="2024-12-18T00:00:00"/>
    <x v="1"/>
    <n v="4"/>
    <n v="196"/>
    <n v="2352"/>
    <x v="0"/>
    <b v="1"/>
    <b v="0"/>
    <b v="1"/>
    <x v="1"/>
    <b v="1"/>
  </r>
  <r>
    <s v="S-68f388"/>
    <s v="A-671f31"/>
    <d v="2024-11-27T00:00:00"/>
    <m/>
    <x v="2"/>
    <n v="59"/>
    <n v="1121"/>
    <n v="13452"/>
    <x v="0"/>
    <b v="0"/>
    <b v="0"/>
    <b v="0"/>
    <x v="0"/>
    <b v="1"/>
  </r>
  <r>
    <s v="S-eae806"/>
    <s v="A-c37601"/>
    <d v="2024-12-30T00:00:00"/>
    <m/>
    <x v="0"/>
    <n v="54"/>
    <n v="10746"/>
    <n v="128952"/>
    <x v="0"/>
    <b v="0"/>
    <b v="0"/>
    <b v="0"/>
    <x v="0"/>
    <b v="0"/>
  </r>
  <r>
    <s v="S-1f0d7f"/>
    <s v="A-32728c"/>
    <d v="2024-05-05T00:00:00"/>
    <m/>
    <x v="2"/>
    <n v="20"/>
    <n v="380"/>
    <n v="4560"/>
    <x v="0"/>
    <b v="0"/>
    <b v="0"/>
    <b v="0"/>
    <x v="1"/>
    <b v="1"/>
  </r>
  <r>
    <s v="S-544f34"/>
    <s v="A-fdfc91"/>
    <d v="2024-05-09T00:00:00"/>
    <m/>
    <x v="1"/>
    <n v="29"/>
    <n v="1421"/>
    <n v="17052"/>
    <x v="0"/>
    <b v="0"/>
    <b v="0"/>
    <b v="0"/>
    <x v="0"/>
    <b v="1"/>
  </r>
  <r>
    <s v="S-e71203"/>
    <s v="A-117171"/>
    <d v="2024-10-02T00:00:00"/>
    <m/>
    <x v="0"/>
    <n v="45"/>
    <n v="8955"/>
    <n v="107460"/>
    <x v="0"/>
    <b v="0"/>
    <b v="1"/>
    <b v="0"/>
    <x v="0"/>
    <b v="1"/>
  </r>
  <r>
    <s v="S-a53eac"/>
    <s v="A-9077b0"/>
    <d v="2024-11-18T00:00:00"/>
    <m/>
    <x v="2"/>
    <n v="2"/>
    <n v="0"/>
    <n v="0"/>
    <x v="1"/>
    <b v="0"/>
    <b v="0"/>
    <b v="0"/>
    <x v="0"/>
    <b v="1"/>
  </r>
  <r>
    <s v="S-efdeae"/>
    <s v="A-3793ee"/>
    <d v="2024-10-23T00:00:00"/>
    <m/>
    <x v="0"/>
    <n v="49"/>
    <n v="9751"/>
    <n v="117012"/>
    <x v="0"/>
    <b v="0"/>
    <b v="0"/>
    <b v="0"/>
    <x v="0"/>
    <b v="0"/>
  </r>
  <r>
    <s v="S-29ccb8"/>
    <s v="A-eb1312"/>
    <d v="2024-12-28T00:00:00"/>
    <m/>
    <x v="2"/>
    <n v="25"/>
    <n v="475"/>
    <n v="5700"/>
    <x v="0"/>
    <b v="0"/>
    <b v="0"/>
    <b v="0"/>
    <x v="1"/>
    <b v="1"/>
  </r>
  <r>
    <s v="S-467016"/>
    <s v="A-e83938"/>
    <d v="2024-11-28T00:00:00"/>
    <m/>
    <x v="0"/>
    <n v="7"/>
    <n v="1393"/>
    <n v="16716"/>
    <x v="0"/>
    <b v="0"/>
    <b v="0"/>
    <b v="0"/>
    <x v="0"/>
    <b v="1"/>
  </r>
  <r>
    <s v="S-12a13c"/>
    <s v="A-40a557"/>
    <d v="2024-12-14T00:00:00"/>
    <m/>
    <x v="0"/>
    <n v="16"/>
    <n v="3184"/>
    <n v="38208"/>
    <x v="0"/>
    <b v="0"/>
    <b v="0"/>
    <b v="0"/>
    <x v="0"/>
    <b v="1"/>
  </r>
  <r>
    <s v="S-82ffca"/>
    <s v="A-508199"/>
    <d v="2024-01-30T00:00:00"/>
    <m/>
    <x v="0"/>
    <n v="19"/>
    <n v="3781"/>
    <n v="45372"/>
    <x v="0"/>
    <b v="0"/>
    <b v="0"/>
    <b v="0"/>
    <x v="1"/>
    <b v="0"/>
  </r>
  <r>
    <s v="S-85b5ce"/>
    <s v="A-e7a1e2"/>
    <d v="2024-12-26T00:00:00"/>
    <m/>
    <x v="2"/>
    <n v="10"/>
    <n v="190"/>
    <n v="2280"/>
    <x v="0"/>
    <b v="0"/>
    <b v="0"/>
    <b v="0"/>
    <x v="1"/>
    <b v="1"/>
  </r>
  <r>
    <s v="S-c1c645"/>
    <s v="A-443b7c"/>
    <d v="2024-10-06T00:00:00"/>
    <m/>
    <x v="2"/>
    <n v="4"/>
    <n v="76"/>
    <n v="912"/>
    <x v="0"/>
    <b v="1"/>
    <b v="0"/>
    <b v="0"/>
    <x v="1"/>
    <b v="1"/>
  </r>
  <r>
    <s v="S-02984e"/>
    <s v="A-2e3bad"/>
    <d v="2024-06-21T00:00:00"/>
    <m/>
    <x v="0"/>
    <n v="61"/>
    <n v="12139"/>
    <n v="145668"/>
    <x v="0"/>
    <b v="0"/>
    <b v="0"/>
    <b v="0"/>
    <x v="1"/>
    <b v="1"/>
  </r>
  <r>
    <s v="S-15e705"/>
    <s v="A-adc1f3"/>
    <d v="2024-12-18T00:00:00"/>
    <m/>
    <x v="1"/>
    <n v="9"/>
    <n v="441"/>
    <n v="5292"/>
    <x v="0"/>
    <b v="0"/>
    <b v="0"/>
    <b v="0"/>
    <x v="1"/>
    <b v="1"/>
  </r>
  <r>
    <s v="S-0a19d1"/>
    <s v="A-5b4ebb"/>
    <d v="2024-10-21T00:00:00"/>
    <m/>
    <x v="0"/>
    <n v="21"/>
    <n v="4179"/>
    <n v="50148"/>
    <x v="0"/>
    <b v="0"/>
    <b v="0"/>
    <b v="0"/>
    <x v="1"/>
    <b v="0"/>
  </r>
  <r>
    <s v="S-d50d25"/>
    <s v="A-6f50ae"/>
    <d v="2024-07-13T00:00:00"/>
    <m/>
    <x v="1"/>
    <n v="19"/>
    <n v="931"/>
    <n v="11172"/>
    <x v="0"/>
    <b v="0"/>
    <b v="0"/>
    <b v="0"/>
    <x v="1"/>
    <b v="1"/>
  </r>
  <r>
    <s v="S-cb2ad3"/>
    <s v="A-52dd88"/>
    <d v="2024-11-13T00:00:00"/>
    <m/>
    <x v="2"/>
    <n v="28"/>
    <n v="532"/>
    <n v="6384"/>
    <x v="0"/>
    <b v="1"/>
    <b v="0"/>
    <b v="0"/>
    <x v="1"/>
    <b v="1"/>
  </r>
  <r>
    <s v="S-15afd8"/>
    <s v="A-5c046d"/>
    <d v="2024-12-18T00:00:00"/>
    <m/>
    <x v="0"/>
    <n v="93"/>
    <n v="18507"/>
    <n v="222084"/>
    <x v="0"/>
    <b v="0"/>
    <b v="0"/>
    <b v="0"/>
    <x v="1"/>
    <b v="1"/>
  </r>
  <r>
    <s v="S-e79dbc"/>
    <s v="A-2e4581"/>
    <d v="2024-10-30T00:00:00"/>
    <m/>
    <x v="1"/>
    <n v="66"/>
    <n v="0"/>
    <n v="0"/>
    <x v="1"/>
    <b v="0"/>
    <b v="0"/>
    <b v="0"/>
    <x v="0"/>
    <b v="1"/>
  </r>
  <r>
    <s v="S-33200e"/>
    <s v="A-f5641b"/>
    <d v="2024-08-06T00:00:00"/>
    <m/>
    <x v="0"/>
    <n v="31"/>
    <n v="6169"/>
    <n v="74028"/>
    <x v="0"/>
    <b v="0"/>
    <b v="0"/>
    <b v="0"/>
    <x v="0"/>
    <b v="1"/>
  </r>
  <r>
    <s v="S-d5eae3"/>
    <s v="A-e7a1e2"/>
    <d v="2024-08-09T00:00:00"/>
    <m/>
    <x v="0"/>
    <n v="12"/>
    <n v="2388"/>
    <n v="28656"/>
    <x v="0"/>
    <b v="0"/>
    <b v="0"/>
    <b v="0"/>
    <x v="0"/>
    <b v="0"/>
  </r>
  <r>
    <s v="S-f20079"/>
    <s v="A-8ae3fc"/>
    <d v="2024-12-16T00:00:00"/>
    <m/>
    <x v="2"/>
    <n v="20"/>
    <n v="380"/>
    <n v="4560"/>
    <x v="0"/>
    <b v="0"/>
    <b v="0"/>
    <b v="0"/>
    <x v="0"/>
    <b v="1"/>
  </r>
  <r>
    <s v="S-93622a"/>
    <s v="A-d4ac0e"/>
    <d v="2024-05-10T00:00:00"/>
    <m/>
    <x v="2"/>
    <n v="156"/>
    <n v="0"/>
    <n v="0"/>
    <x v="1"/>
    <b v="0"/>
    <b v="0"/>
    <b v="0"/>
    <x v="0"/>
    <b v="1"/>
  </r>
  <r>
    <s v="S-c62bb7"/>
    <s v="A-0a62f5"/>
    <d v="2024-09-16T00:00:00"/>
    <m/>
    <x v="0"/>
    <n v="16"/>
    <n v="3184"/>
    <n v="38208"/>
    <x v="0"/>
    <b v="0"/>
    <b v="0"/>
    <b v="0"/>
    <x v="0"/>
    <b v="1"/>
  </r>
  <r>
    <s v="S-6696a0"/>
    <s v="A-82861f"/>
    <d v="2024-08-04T00:00:00"/>
    <m/>
    <x v="2"/>
    <n v="41"/>
    <n v="779"/>
    <n v="9348"/>
    <x v="0"/>
    <b v="0"/>
    <b v="0"/>
    <b v="0"/>
    <x v="0"/>
    <b v="1"/>
  </r>
  <r>
    <s v="S-510999"/>
    <s v="A-7da956"/>
    <d v="2024-06-30T00:00:00"/>
    <m/>
    <x v="0"/>
    <n v="13"/>
    <n v="0"/>
    <n v="0"/>
    <x v="1"/>
    <b v="1"/>
    <b v="0"/>
    <b v="0"/>
    <x v="0"/>
    <b v="1"/>
  </r>
  <r>
    <s v="S-255846"/>
    <s v="A-9a532a"/>
    <d v="2024-08-28T00:00:00"/>
    <m/>
    <x v="0"/>
    <n v="33"/>
    <n v="6567"/>
    <n v="78804"/>
    <x v="0"/>
    <b v="0"/>
    <b v="0"/>
    <b v="0"/>
    <x v="0"/>
    <b v="1"/>
  </r>
  <r>
    <s v="S-fd8bb6"/>
    <s v="A-337bc1"/>
    <d v="2023-08-02T00:00:00"/>
    <m/>
    <x v="1"/>
    <n v="30"/>
    <n v="1470"/>
    <n v="17640"/>
    <x v="0"/>
    <b v="0"/>
    <b v="0"/>
    <b v="0"/>
    <x v="0"/>
    <b v="1"/>
  </r>
  <r>
    <s v="S-d7461b"/>
    <s v="A-fa3095"/>
    <d v="2023-12-17T00:00:00"/>
    <m/>
    <x v="1"/>
    <n v="70"/>
    <n v="3430"/>
    <n v="41160"/>
    <x v="0"/>
    <b v="0"/>
    <b v="0"/>
    <b v="0"/>
    <x v="0"/>
    <b v="1"/>
  </r>
  <r>
    <s v="S-2361ec"/>
    <s v="A-c45b23"/>
    <d v="2024-12-12T00:00:00"/>
    <d v="2024-12-15T00:00:00"/>
    <x v="0"/>
    <n v="26"/>
    <n v="5174"/>
    <n v="62088"/>
    <x v="0"/>
    <b v="0"/>
    <b v="0"/>
    <b v="1"/>
    <x v="1"/>
    <b v="1"/>
  </r>
  <r>
    <s v="S-9c47f6"/>
    <s v="A-5b1bcd"/>
    <d v="2024-04-13T00:00:00"/>
    <m/>
    <x v="1"/>
    <n v="73"/>
    <n v="0"/>
    <n v="0"/>
    <x v="1"/>
    <b v="0"/>
    <b v="0"/>
    <b v="0"/>
    <x v="1"/>
    <b v="1"/>
  </r>
  <r>
    <s v="S-c20518"/>
    <s v="A-b2af2e"/>
    <d v="2024-10-14T00:00:00"/>
    <m/>
    <x v="0"/>
    <n v="5"/>
    <n v="995"/>
    <n v="11940"/>
    <x v="0"/>
    <b v="0"/>
    <b v="0"/>
    <b v="0"/>
    <x v="0"/>
    <b v="1"/>
  </r>
  <r>
    <s v="S-cdf835"/>
    <s v="A-f19409"/>
    <d v="2024-04-17T00:00:00"/>
    <m/>
    <x v="1"/>
    <n v="23"/>
    <n v="1127"/>
    <n v="13524"/>
    <x v="0"/>
    <b v="0"/>
    <b v="0"/>
    <b v="0"/>
    <x v="0"/>
    <b v="0"/>
  </r>
  <r>
    <s v="S-cde2c6"/>
    <s v="A-dec005"/>
    <d v="2024-09-17T00:00:00"/>
    <m/>
    <x v="0"/>
    <n v="21"/>
    <n v="4179"/>
    <n v="50148"/>
    <x v="0"/>
    <b v="0"/>
    <b v="0"/>
    <b v="0"/>
    <x v="0"/>
    <b v="1"/>
  </r>
  <r>
    <s v="S-af6974"/>
    <s v="A-86cdb4"/>
    <d v="2024-11-23T00:00:00"/>
    <m/>
    <x v="1"/>
    <n v="18"/>
    <n v="882"/>
    <n v="10584"/>
    <x v="0"/>
    <b v="0"/>
    <b v="0"/>
    <b v="0"/>
    <x v="1"/>
    <b v="1"/>
  </r>
  <r>
    <s v="S-38c5fd"/>
    <s v="A-32fb14"/>
    <d v="2023-11-20T00:00:00"/>
    <d v="2024-06-28T00:00:00"/>
    <x v="2"/>
    <n v="26"/>
    <n v="494"/>
    <n v="5928"/>
    <x v="0"/>
    <b v="0"/>
    <b v="0"/>
    <b v="1"/>
    <x v="1"/>
    <b v="1"/>
  </r>
  <r>
    <s v="S-7bf6d8"/>
    <s v="A-fe79a5"/>
    <d v="2024-03-23T00:00:00"/>
    <m/>
    <x v="2"/>
    <n v="9"/>
    <n v="0"/>
    <n v="0"/>
    <x v="1"/>
    <b v="0"/>
    <b v="0"/>
    <b v="0"/>
    <x v="1"/>
    <b v="1"/>
  </r>
  <r>
    <s v="S-ada98e"/>
    <s v="A-2789e3"/>
    <d v="2024-10-21T00:00:00"/>
    <m/>
    <x v="2"/>
    <n v="11"/>
    <n v="209"/>
    <n v="2508"/>
    <x v="0"/>
    <b v="1"/>
    <b v="0"/>
    <b v="0"/>
    <x v="1"/>
    <b v="1"/>
  </r>
  <r>
    <s v="S-3a3be9"/>
    <s v="A-1b707d"/>
    <d v="2024-05-03T00:00:00"/>
    <d v="2024-07-14T00:00:00"/>
    <x v="2"/>
    <n v="8"/>
    <n v="152"/>
    <n v="1824"/>
    <x v="0"/>
    <b v="0"/>
    <b v="0"/>
    <b v="1"/>
    <x v="1"/>
    <b v="1"/>
  </r>
  <r>
    <s v="S-d4e525"/>
    <s v="A-7988d1"/>
    <d v="2024-07-25T00:00:00"/>
    <m/>
    <x v="2"/>
    <n v="33"/>
    <n v="627"/>
    <n v="7524"/>
    <x v="0"/>
    <b v="0"/>
    <b v="0"/>
    <b v="0"/>
    <x v="1"/>
    <b v="1"/>
  </r>
  <r>
    <s v="S-8a6579"/>
    <s v="A-80eeb6"/>
    <d v="2024-11-01T00:00:00"/>
    <m/>
    <x v="2"/>
    <n v="22"/>
    <n v="418"/>
    <n v="5016"/>
    <x v="0"/>
    <b v="1"/>
    <b v="0"/>
    <b v="0"/>
    <x v="1"/>
    <b v="1"/>
  </r>
  <r>
    <s v="S-db7a97"/>
    <s v="A-e60f9d"/>
    <d v="2024-11-11T00:00:00"/>
    <m/>
    <x v="0"/>
    <n v="48"/>
    <n v="9552"/>
    <n v="114624"/>
    <x v="0"/>
    <b v="0"/>
    <b v="1"/>
    <b v="0"/>
    <x v="0"/>
    <b v="1"/>
  </r>
  <r>
    <s v="S-699110"/>
    <s v="A-fda07f"/>
    <d v="2024-10-01T00:00:00"/>
    <m/>
    <x v="0"/>
    <n v="27"/>
    <n v="5373"/>
    <n v="64476"/>
    <x v="0"/>
    <b v="1"/>
    <b v="0"/>
    <b v="0"/>
    <x v="1"/>
    <b v="0"/>
  </r>
  <r>
    <s v="S-f5f52a"/>
    <s v="A-7641d3"/>
    <d v="2024-06-18T00:00:00"/>
    <m/>
    <x v="1"/>
    <n v="8"/>
    <n v="392"/>
    <n v="4704"/>
    <x v="0"/>
    <b v="0"/>
    <b v="0"/>
    <b v="0"/>
    <x v="1"/>
    <b v="1"/>
  </r>
  <r>
    <s v="S-748318"/>
    <s v="A-726cfa"/>
    <d v="2024-11-03T00:00:00"/>
    <m/>
    <x v="2"/>
    <n v="14"/>
    <n v="266"/>
    <n v="3192"/>
    <x v="0"/>
    <b v="0"/>
    <b v="0"/>
    <b v="0"/>
    <x v="1"/>
    <b v="1"/>
  </r>
  <r>
    <s v="S-bb7eef"/>
    <s v="A-798a3f"/>
    <d v="2023-12-26T00:00:00"/>
    <d v="2024-04-24T00:00:00"/>
    <x v="2"/>
    <n v="31"/>
    <n v="589"/>
    <n v="7068"/>
    <x v="0"/>
    <b v="1"/>
    <b v="0"/>
    <b v="1"/>
    <x v="1"/>
    <b v="1"/>
  </r>
  <r>
    <s v="S-af6536"/>
    <s v="A-13466a"/>
    <d v="2024-02-11T00:00:00"/>
    <d v="2024-10-28T00:00:00"/>
    <x v="0"/>
    <n v="40"/>
    <n v="7960"/>
    <n v="95520"/>
    <x v="0"/>
    <b v="0"/>
    <b v="0"/>
    <b v="1"/>
    <x v="0"/>
    <b v="1"/>
  </r>
  <r>
    <s v="S-5f75b5"/>
    <s v="A-1b707d"/>
    <d v="2024-04-13T00:00:00"/>
    <m/>
    <x v="0"/>
    <n v="19"/>
    <n v="3781"/>
    <n v="45372"/>
    <x v="0"/>
    <b v="0"/>
    <b v="0"/>
    <b v="0"/>
    <x v="1"/>
    <b v="1"/>
  </r>
  <r>
    <s v="S-6f47c5"/>
    <s v="A-0b0d6d"/>
    <d v="2024-12-31T00:00:00"/>
    <d v="2024-12-31T00:00:00"/>
    <x v="0"/>
    <n v="13"/>
    <n v="2587"/>
    <n v="31044"/>
    <x v="0"/>
    <b v="0"/>
    <b v="0"/>
    <b v="1"/>
    <x v="1"/>
    <b v="1"/>
  </r>
  <r>
    <s v="S-552434"/>
    <s v="A-7f4db3"/>
    <d v="2024-08-14T00:00:00"/>
    <m/>
    <x v="1"/>
    <n v="79"/>
    <n v="3871"/>
    <n v="46452"/>
    <x v="0"/>
    <b v="0"/>
    <b v="0"/>
    <b v="0"/>
    <x v="1"/>
    <b v="1"/>
  </r>
  <r>
    <s v="S-86615c"/>
    <s v="A-592832"/>
    <d v="2024-10-03T00:00:00"/>
    <m/>
    <x v="0"/>
    <n v="26"/>
    <n v="5174"/>
    <n v="62088"/>
    <x v="0"/>
    <b v="1"/>
    <b v="0"/>
    <b v="0"/>
    <x v="0"/>
    <b v="1"/>
  </r>
  <r>
    <s v="S-778307"/>
    <s v="A-f17767"/>
    <d v="2023-11-15T00:00:00"/>
    <m/>
    <x v="1"/>
    <n v="23"/>
    <n v="1127"/>
    <n v="13524"/>
    <x v="0"/>
    <b v="0"/>
    <b v="0"/>
    <b v="0"/>
    <x v="0"/>
    <b v="1"/>
  </r>
  <r>
    <s v="S-1e1853"/>
    <s v="A-089363"/>
    <d v="2024-11-25T00:00:00"/>
    <d v="2024-12-31T00:00:00"/>
    <x v="0"/>
    <n v="26"/>
    <n v="5174"/>
    <n v="62088"/>
    <x v="0"/>
    <b v="0"/>
    <b v="0"/>
    <b v="1"/>
    <x v="0"/>
    <b v="1"/>
  </r>
  <r>
    <s v="S-e371b7"/>
    <s v="A-310452"/>
    <d v="2024-12-28T00:00:00"/>
    <m/>
    <x v="0"/>
    <n v="50"/>
    <n v="9950"/>
    <n v="119400"/>
    <x v="0"/>
    <b v="0"/>
    <b v="0"/>
    <b v="0"/>
    <x v="0"/>
    <b v="1"/>
  </r>
  <r>
    <s v="S-36885c"/>
    <s v="A-02cd81"/>
    <d v="2024-04-07T00:00:00"/>
    <m/>
    <x v="1"/>
    <n v="44"/>
    <n v="0"/>
    <n v="0"/>
    <x v="1"/>
    <b v="0"/>
    <b v="0"/>
    <b v="0"/>
    <x v="1"/>
    <b v="1"/>
  </r>
  <r>
    <s v="S-304f59"/>
    <s v="A-625d0b"/>
    <d v="2024-10-15T00:00:00"/>
    <m/>
    <x v="2"/>
    <n v="25"/>
    <n v="0"/>
    <n v="0"/>
    <x v="1"/>
    <b v="0"/>
    <b v="0"/>
    <b v="0"/>
    <x v="1"/>
    <b v="1"/>
  </r>
  <r>
    <s v="S-3e5d57"/>
    <s v="A-503d5a"/>
    <d v="2024-01-24T00:00:00"/>
    <m/>
    <x v="2"/>
    <n v="25"/>
    <n v="0"/>
    <n v="0"/>
    <x v="1"/>
    <b v="0"/>
    <b v="0"/>
    <b v="0"/>
    <x v="1"/>
    <b v="1"/>
  </r>
  <r>
    <s v="S-013f5c"/>
    <s v="A-40de06"/>
    <d v="2024-07-16T00:00:00"/>
    <m/>
    <x v="1"/>
    <n v="35"/>
    <n v="0"/>
    <n v="0"/>
    <x v="1"/>
    <b v="0"/>
    <b v="0"/>
    <b v="0"/>
    <x v="1"/>
    <b v="1"/>
  </r>
  <r>
    <s v="S-acb7af"/>
    <s v="A-8adedc"/>
    <d v="2024-05-23T00:00:00"/>
    <m/>
    <x v="0"/>
    <n v="4"/>
    <n v="0"/>
    <n v="0"/>
    <x v="1"/>
    <b v="0"/>
    <b v="0"/>
    <b v="0"/>
    <x v="1"/>
    <b v="1"/>
  </r>
  <r>
    <s v="S-9fae95"/>
    <s v="A-96bbc6"/>
    <d v="2024-12-08T00:00:00"/>
    <m/>
    <x v="0"/>
    <n v="56"/>
    <n v="11144"/>
    <n v="133728"/>
    <x v="0"/>
    <b v="1"/>
    <b v="0"/>
    <b v="0"/>
    <x v="1"/>
    <b v="1"/>
  </r>
  <r>
    <s v="S-70cf3c"/>
    <s v="A-3b5cd1"/>
    <d v="2024-03-24T00:00:00"/>
    <m/>
    <x v="1"/>
    <n v="13"/>
    <n v="637"/>
    <n v="7644"/>
    <x v="0"/>
    <b v="0"/>
    <b v="0"/>
    <b v="0"/>
    <x v="0"/>
    <b v="1"/>
  </r>
  <r>
    <s v="S-d26bbf"/>
    <s v="A-054577"/>
    <d v="2024-06-29T00:00:00"/>
    <m/>
    <x v="1"/>
    <n v="35"/>
    <n v="1715"/>
    <n v="20580"/>
    <x v="0"/>
    <b v="0"/>
    <b v="0"/>
    <b v="0"/>
    <x v="0"/>
    <b v="1"/>
  </r>
  <r>
    <s v="S-f7ef84"/>
    <s v="A-b11cd0"/>
    <d v="2023-12-30T00:00:00"/>
    <m/>
    <x v="1"/>
    <n v="26"/>
    <n v="1274"/>
    <n v="15288"/>
    <x v="0"/>
    <b v="0"/>
    <b v="0"/>
    <b v="0"/>
    <x v="1"/>
    <b v="1"/>
  </r>
  <r>
    <s v="S-7480e6"/>
    <s v="A-524364"/>
    <d v="2024-12-31T00:00:00"/>
    <m/>
    <x v="0"/>
    <n v="43"/>
    <n v="8557"/>
    <n v="102684"/>
    <x v="0"/>
    <b v="0"/>
    <b v="0"/>
    <b v="0"/>
    <x v="1"/>
    <b v="1"/>
  </r>
  <r>
    <s v="S-b95b76"/>
    <s v="A-dbc825"/>
    <d v="2024-05-02T00:00:00"/>
    <m/>
    <x v="1"/>
    <n v="19"/>
    <n v="931"/>
    <n v="11172"/>
    <x v="0"/>
    <b v="0"/>
    <b v="0"/>
    <b v="0"/>
    <x v="0"/>
    <b v="1"/>
  </r>
  <r>
    <s v="S-639754"/>
    <s v="A-034368"/>
    <d v="2023-12-14T00:00:00"/>
    <m/>
    <x v="2"/>
    <n v="19"/>
    <n v="0"/>
    <n v="0"/>
    <x v="1"/>
    <b v="0"/>
    <b v="0"/>
    <b v="0"/>
    <x v="0"/>
    <b v="1"/>
  </r>
  <r>
    <s v="S-06e3cd"/>
    <s v="A-42e5e1"/>
    <d v="2024-10-22T00:00:00"/>
    <m/>
    <x v="2"/>
    <n v="22"/>
    <n v="0"/>
    <n v="0"/>
    <x v="1"/>
    <b v="0"/>
    <b v="0"/>
    <b v="0"/>
    <x v="0"/>
    <b v="1"/>
  </r>
  <r>
    <s v="S-0e43ee"/>
    <s v="A-09540c"/>
    <d v="2024-05-28T00:00:00"/>
    <m/>
    <x v="0"/>
    <n v="67"/>
    <n v="13333"/>
    <n v="159996"/>
    <x v="0"/>
    <b v="0"/>
    <b v="0"/>
    <b v="0"/>
    <x v="0"/>
    <b v="1"/>
  </r>
  <r>
    <s v="S-a408fe"/>
    <s v="A-02fac6"/>
    <d v="2024-10-18T00:00:00"/>
    <m/>
    <x v="1"/>
    <n v="22"/>
    <n v="1078"/>
    <n v="12936"/>
    <x v="0"/>
    <b v="1"/>
    <b v="0"/>
    <b v="0"/>
    <x v="0"/>
    <b v="1"/>
  </r>
  <r>
    <s v="S-916cca"/>
    <s v="A-e51ec7"/>
    <d v="2024-10-04T00:00:00"/>
    <d v="2024-10-31T00:00:00"/>
    <x v="2"/>
    <n v="3"/>
    <n v="0"/>
    <n v="0"/>
    <x v="1"/>
    <b v="1"/>
    <b v="0"/>
    <b v="1"/>
    <x v="1"/>
    <b v="1"/>
  </r>
  <r>
    <s v="S-332e0d"/>
    <s v="A-3b5cd1"/>
    <d v="2023-09-30T00:00:00"/>
    <m/>
    <x v="1"/>
    <n v="13"/>
    <n v="0"/>
    <n v="0"/>
    <x v="1"/>
    <b v="0"/>
    <b v="1"/>
    <b v="0"/>
    <x v="0"/>
    <b v="1"/>
  </r>
  <r>
    <s v="S-5798f3"/>
    <s v="A-d77f4c"/>
    <d v="2024-07-21T00:00:00"/>
    <m/>
    <x v="1"/>
    <n v="7"/>
    <n v="343"/>
    <n v="4116"/>
    <x v="0"/>
    <b v="0"/>
    <b v="0"/>
    <b v="0"/>
    <x v="0"/>
    <b v="0"/>
  </r>
  <r>
    <s v="S-ea389c"/>
    <s v="A-df10db"/>
    <d v="2024-09-08T00:00:00"/>
    <m/>
    <x v="2"/>
    <n v="14"/>
    <n v="266"/>
    <n v="3192"/>
    <x v="0"/>
    <b v="0"/>
    <b v="0"/>
    <b v="0"/>
    <x v="0"/>
    <b v="1"/>
  </r>
  <r>
    <s v="S-8932ce"/>
    <s v="A-fa3095"/>
    <d v="2024-12-18T00:00:00"/>
    <m/>
    <x v="2"/>
    <n v="70"/>
    <n v="1330"/>
    <n v="15960"/>
    <x v="0"/>
    <b v="0"/>
    <b v="0"/>
    <b v="0"/>
    <x v="0"/>
    <b v="1"/>
  </r>
  <r>
    <s v="S-14d515"/>
    <s v="A-eb7c38"/>
    <d v="2024-07-02T00:00:00"/>
    <m/>
    <x v="0"/>
    <n v="33"/>
    <n v="6567"/>
    <n v="78804"/>
    <x v="0"/>
    <b v="0"/>
    <b v="0"/>
    <b v="0"/>
    <x v="0"/>
    <b v="0"/>
  </r>
  <r>
    <s v="S-99efdc"/>
    <s v="A-4e44e8"/>
    <d v="2024-12-19T00:00:00"/>
    <m/>
    <x v="0"/>
    <n v="17"/>
    <n v="3383"/>
    <n v="40596"/>
    <x v="0"/>
    <b v="0"/>
    <b v="0"/>
    <b v="0"/>
    <x v="1"/>
    <b v="1"/>
  </r>
  <r>
    <s v="S-183502"/>
    <s v="A-4e960a"/>
    <d v="2024-04-11T00:00:00"/>
    <m/>
    <x v="0"/>
    <n v="71"/>
    <n v="14129"/>
    <n v="169548"/>
    <x v="0"/>
    <b v="0"/>
    <b v="0"/>
    <b v="0"/>
    <x v="0"/>
    <b v="1"/>
  </r>
  <r>
    <s v="S-7ff88c"/>
    <s v="A-b7ef83"/>
    <d v="2024-12-30T00:00:00"/>
    <m/>
    <x v="1"/>
    <n v="12"/>
    <n v="588"/>
    <n v="7056"/>
    <x v="0"/>
    <b v="0"/>
    <b v="0"/>
    <b v="0"/>
    <x v="0"/>
    <b v="0"/>
  </r>
  <r>
    <s v="S-583674"/>
    <s v="A-7c5768"/>
    <d v="2024-09-28T00:00:00"/>
    <m/>
    <x v="1"/>
    <n v="6"/>
    <n v="0"/>
    <n v="0"/>
    <x v="1"/>
    <b v="0"/>
    <b v="0"/>
    <b v="0"/>
    <x v="0"/>
    <b v="1"/>
  </r>
  <r>
    <s v="S-6e0386"/>
    <s v="A-2d4502"/>
    <d v="2024-09-04T00:00:00"/>
    <m/>
    <x v="0"/>
    <n v="22"/>
    <n v="4378"/>
    <n v="52536"/>
    <x v="0"/>
    <b v="0"/>
    <b v="0"/>
    <b v="0"/>
    <x v="0"/>
    <b v="1"/>
  </r>
  <r>
    <s v="S-79535e"/>
    <s v="A-4a4c2d"/>
    <d v="2024-12-11T00:00:00"/>
    <m/>
    <x v="1"/>
    <n v="54"/>
    <n v="2646"/>
    <n v="31752"/>
    <x v="0"/>
    <b v="0"/>
    <b v="0"/>
    <b v="0"/>
    <x v="0"/>
    <b v="1"/>
  </r>
  <r>
    <s v="S-180ae3"/>
    <s v="A-cab532"/>
    <d v="2024-03-25T00:00:00"/>
    <m/>
    <x v="1"/>
    <n v="11"/>
    <n v="539"/>
    <n v="6468"/>
    <x v="0"/>
    <b v="0"/>
    <b v="0"/>
    <b v="0"/>
    <x v="1"/>
    <b v="1"/>
  </r>
  <r>
    <s v="S-31be9c"/>
    <s v="A-5f2961"/>
    <d v="2024-12-02T00:00:00"/>
    <m/>
    <x v="2"/>
    <n v="55"/>
    <n v="1045"/>
    <n v="12540"/>
    <x v="0"/>
    <b v="0"/>
    <b v="0"/>
    <b v="0"/>
    <x v="0"/>
    <b v="0"/>
  </r>
  <r>
    <s v="S-183460"/>
    <s v="A-310452"/>
    <d v="2024-12-29T00:00:00"/>
    <m/>
    <x v="2"/>
    <n v="9"/>
    <n v="171"/>
    <n v="2052"/>
    <x v="0"/>
    <b v="0"/>
    <b v="0"/>
    <b v="0"/>
    <x v="1"/>
    <b v="1"/>
  </r>
  <r>
    <s v="S-2b608a"/>
    <s v="A-adc1f3"/>
    <d v="2024-09-18T00:00:00"/>
    <m/>
    <x v="2"/>
    <n v="16"/>
    <n v="0"/>
    <n v="0"/>
    <x v="1"/>
    <b v="0"/>
    <b v="0"/>
    <b v="0"/>
    <x v="0"/>
    <b v="1"/>
  </r>
  <r>
    <s v="S-499ea3"/>
    <s v="A-c16cf7"/>
    <d v="2024-10-21T00:00:00"/>
    <d v="2024-11-12T00:00:00"/>
    <x v="0"/>
    <n v="24"/>
    <n v="4776"/>
    <n v="57312"/>
    <x v="0"/>
    <b v="0"/>
    <b v="0"/>
    <b v="1"/>
    <x v="0"/>
    <b v="1"/>
  </r>
  <r>
    <s v="S-a916c8"/>
    <s v="A-3cc791"/>
    <d v="2024-04-26T00:00:00"/>
    <m/>
    <x v="2"/>
    <n v="12"/>
    <n v="0"/>
    <n v="0"/>
    <x v="1"/>
    <b v="0"/>
    <b v="0"/>
    <b v="0"/>
    <x v="0"/>
    <b v="0"/>
  </r>
  <r>
    <s v="S-4e563b"/>
    <s v="A-10b8f2"/>
    <d v="2024-04-26T00:00:00"/>
    <m/>
    <x v="2"/>
    <n v="103"/>
    <n v="1957"/>
    <n v="23484"/>
    <x v="0"/>
    <b v="0"/>
    <b v="0"/>
    <b v="0"/>
    <x v="1"/>
    <b v="1"/>
  </r>
  <r>
    <s v="S-f4e0a6"/>
    <s v="A-e61e98"/>
    <d v="2024-08-31T00:00:00"/>
    <m/>
    <x v="2"/>
    <n v="19"/>
    <n v="361"/>
    <n v="4332"/>
    <x v="0"/>
    <b v="0"/>
    <b v="0"/>
    <b v="0"/>
    <x v="0"/>
    <b v="1"/>
  </r>
  <r>
    <s v="S-7717d6"/>
    <s v="A-378b99"/>
    <d v="2024-12-02T00:00:00"/>
    <m/>
    <x v="0"/>
    <n v="32"/>
    <n v="0"/>
    <n v="0"/>
    <x v="1"/>
    <b v="1"/>
    <b v="0"/>
    <b v="0"/>
    <x v="0"/>
    <b v="1"/>
  </r>
  <r>
    <s v="S-ff4e21"/>
    <s v="A-7a0d69"/>
    <d v="2024-11-22T00:00:00"/>
    <m/>
    <x v="1"/>
    <n v="6"/>
    <n v="294"/>
    <n v="3528"/>
    <x v="0"/>
    <b v="1"/>
    <b v="0"/>
    <b v="0"/>
    <x v="1"/>
    <b v="1"/>
  </r>
  <r>
    <s v="S-40b133"/>
    <s v="A-432483"/>
    <d v="2023-04-11T00:00:00"/>
    <m/>
    <x v="2"/>
    <n v="4"/>
    <n v="0"/>
    <n v="0"/>
    <x v="1"/>
    <b v="0"/>
    <b v="0"/>
    <b v="0"/>
    <x v="1"/>
    <b v="0"/>
  </r>
  <r>
    <s v="S-92f228"/>
    <s v="A-779e4e"/>
    <d v="2023-01-09T00:00:00"/>
    <m/>
    <x v="2"/>
    <n v="9"/>
    <n v="171"/>
    <n v="2052"/>
    <x v="0"/>
    <b v="0"/>
    <b v="0"/>
    <b v="0"/>
    <x v="1"/>
    <b v="1"/>
  </r>
  <r>
    <s v="S-2aec7e"/>
    <s v="A-ce66f8"/>
    <d v="2024-05-21T00:00:00"/>
    <m/>
    <x v="2"/>
    <n v="29"/>
    <n v="551"/>
    <n v="6612"/>
    <x v="0"/>
    <b v="0"/>
    <b v="0"/>
    <b v="0"/>
    <x v="1"/>
    <b v="1"/>
  </r>
  <r>
    <s v="S-78f326"/>
    <s v="A-4c38bc"/>
    <d v="2024-04-21T00:00:00"/>
    <m/>
    <x v="2"/>
    <n v="36"/>
    <n v="0"/>
    <n v="0"/>
    <x v="1"/>
    <b v="0"/>
    <b v="0"/>
    <b v="0"/>
    <x v="0"/>
    <b v="1"/>
  </r>
  <r>
    <s v="S-0e12d4"/>
    <s v="A-a45270"/>
    <d v="2024-08-02T00:00:00"/>
    <m/>
    <x v="1"/>
    <n v="13"/>
    <n v="637"/>
    <n v="7644"/>
    <x v="0"/>
    <b v="0"/>
    <b v="0"/>
    <b v="0"/>
    <x v="0"/>
    <b v="1"/>
  </r>
  <r>
    <s v="S-9093cf"/>
    <s v="A-8ed5dd"/>
    <d v="2024-02-18T00:00:00"/>
    <m/>
    <x v="0"/>
    <n v="30"/>
    <n v="5970"/>
    <n v="71640"/>
    <x v="0"/>
    <b v="0"/>
    <b v="0"/>
    <b v="0"/>
    <x v="0"/>
    <b v="1"/>
  </r>
  <r>
    <s v="S-db94ad"/>
    <s v="A-313be3"/>
    <d v="2024-11-14T00:00:00"/>
    <m/>
    <x v="0"/>
    <n v="47"/>
    <n v="0"/>
    <n v="0"/>
    <x v="1"/>
    <b v="0"/>
    <b v="0"/>
    <b v="0"/>
    <x v="1"/>
    <b v="1"/>
  </r>
  <r>
    <s v="S-59edf9"/>
    <s v="A-427b69"/>
    <d v="2024-12-16T00:00:00"/>
    <m/>
    <x v="2"/>
    <n v="17"/>
    <n v="323"/>
    <n v="3876"/>
    <x v="0"/>
    <b v="0"/>
    <b v="0"/>
    <b v="0"/>
    <x v="0"/>
    <b v="0"/>
  </r>
  <r>
    <s v="S-e854de"/>
    <s v="A-18793f"/>
    <d v="2024-12-25T00:00:00"/>
    <m/>
    <x v="1"/>
    <n v="148"/>
    <n v="7252"/>
    <n v="87024"/>
    <x v="0"/>
    <b v="0"/>
    <b v="0"/>
    <b v="0"/>
    <x v="0"/>
    <b v="1"/>
  </r>
  <r>
    <s v="S-28eeec"/>
    <s v="A-89ee83"/>
    <d v="2024-11-29T00:00:00"/>
    <m/>
    <x v="1"/>
    <n v="2"/>
    <n v="98"/>
    <n v="1176"/>
    <x v="0"/>
    <b v="1"/>
    <b v="0"/>
    <b v="0"/>
    <x v="1"/>
    <b v="1"/>
  </r>
  <r>
    <s v="S-b93c11"/>
    <s v="A-9f9299"/>
    <d v="2024-07-08T00:00:00"/>
    <m/>
    <x v="2"/>
    <n v="28"/>
    <n v="532"/>
    <n v="6384"/>
    <x v="0"/>
    <b v="0"/>
    <b v="0"/>
    <b v="0"/>
    <x v="0"/>
    <b v="0"/>
  </r>
  <r>
    <s v="S-6cb3d7"/>
    <s v="A-fd7ad3"/>
    <d v="2024-11-26T00:00:00"/>
    <d v="2024-12-20T00:00:00"/>
    <x v="1"/>
    <n v="11"/>
    <n v="539"/>
    <n v="6468"/>
    <x v="0"/>
    <b v="1"/>
    <b v="0"/>
    <b v="1"/>
    <x v="1"/>
    <b v="1"/>
  </r>
  <r>
    <s v="S-bbdf5c"/>
    <s v="A-b7ef83"/>
    <d v="2024-06-21T00:00:00"/>
    <m/>
    <x v="0"/>
    <n v="8"/>
    <n v="1592"/>
    <n v="19104"/>
    <x v="0"/>
    <b v="0"/>
    <b v="0"/>
    <b v="0"/>
    <x v="0"/>
    <b v="1"/>
  </r>
  <r>
    <s v="S-5b8c4f"/>
    <s v="A-7c5768"/>
    <d v="2024-05-05T00:00:00"/>
    <m/>
    <x v="2"/>
    <n v="8"/>
    <n v="152"/>
    <n v="1824"/>
    <x v="0"/>
    <b v="0"/>
    <b v="0"/>
    <b v="0"/>
    <x v="0"/>
    <b v="0"/>
  </r>
  <r>
    <s v="S-6b9696"/>
    <s v="A-c16cf7"/>
    <d v="2024-12-23T00:00:00"/>
    <m/>
    <x v="2"/>
    <n v="35"/>
    <n v="665"/>
    <n v="7980"/>
    <x v="0"/>
    <b v="0"/>
    <b v="0"/>
    <b v="0"/>
    <x v="1"/>
    <b v="1"/>
  </r>
  <r>
    <s v="S-9f009b"/>
    <s v="A-68f37c"/>
    <d v="2023-11-30T00:00:00"/>
    <m/>
    <x v="2"/>
    <n v="16"/>
    <n v="0"/>
    <n v="0"/>
    <x v="1"/>
    <b v="0"/>
    <b v="0"/>
    <b v="0"/>
    <x v="0"/>
    <b v="1"/>
  </r>
  <r>
    <s v="S-8317da"/>
    <s v="A-d49cc5"/>
    <d v="2024-12-10T00:00:00"/>
    <m/>
    <x v="2"/>
    <n v="50"/>
    <n v="950"/>
    <n v="11400"/>
    <x v="0"/>
    <b v="0"/>
    <b v="0"/>
    <b v="0"/>
    <x v="0"/>
    <b v="1"/>
  </r>
  <r>
    <s v="S-d61866"/>
    <s v="A-f17767"/>
    <d v="2023-03-22T00:00:00"/>
    <m/>
    <x v="0"/>
    <n v="6"/>
    <n v="1194"/>
    <n v="14328"/>
    <x v="0"/>
    <b v="1"/>
    <b v="0"/>
    <b v="0"/>
    <x v="0"/>
    <b v="1"/>
  </r>
  <r>
    <s v="S-0b8b0c"/>
    <s v="A-f17767"/>
    <d v="2024-08-03T00:00:00"/>
    <m/>
    <x v="0"/>
    <n v="1"/>
    <n v="199"/>
    <n v="2388"/>
    <x v="0"/>
    <b v="0"/>
    <b v="0"/>
    <b v="0"/>
    <x v="0"/>
    <b v="0"/>
  </r>
  <r>
    <s v="S-084930"/>
    <s v="A-c1e51e"/>
    <d v="2024-12-08T00:00:00"/>
    <m/>
    <x v="0"/>
    <n v="3"/>
    <n v="597"/>
    <n v="7164"/>
    <x v="0"/>
    <b v="0"/>
    <b v="0"/>
    <b v="0"/>
    <x v="0"/>
    <b v="1"/>
  </r>
  <r>
    <s v="S-2abab6"/>
    <s v="A-ae052e"/>
    <d v="2024-01-22T00:00:00"/>
    <d v="2024-10-29T00:00:00"/>
    <x v="1"/>
    <n v="39"/>
    <n v="0"/>
    <n v="0"/>
    <x v="1"/>
    <b v="0"/>
    <b v="1"/>
    <b v="1"/>
    <x v="0"/>
    <b v="1"/>
  </r>
  <r>
    <s v="S-6b144c"/>
    <s v="A-3cc791"/>
    <d v="2024-04-10T00:00:00"/>
    <m/>
    <x v="2"/>
    <n v="16"/>
    <n v="304"/>
    <n v="3648"/>
    <x v="0"/>
    <b v="0"/>
    <b v="0"/>
    <b v="0"/>
    <x v="1"/>
    <b v="1"/>
  </r>
  <r>
    <s v="S-0efc9b"/>
    <s v="A-4bfa33"/>
    <d v="2024-12-13T00:00:00"/>
    <m/>
    <x v="2"/>
    <n v="12"/>
    <n v="228"/>
    <n v="2736"/>
    <x v="0"/>
    <b v="0"/>
    <b v="0"/>
    <b v="0"/>
    <x v="0"/>
    <b v="1"/>
  </r>
  <r>
    <s v="S-f690e0"/>
    <s v="A-1f559b"/>
    <d v="2024-07-25T00:00:00"/>
    <m/>
    <x v="2"/>
    <n v="7"/>
    <n v="133"/>
    <n v="1596"/>
    <x v="0"/>
    <b v="0"/>
    <b v="0"/>
    <b v="0"/>
    <x v="0"/>
    <b v="1"/>
  </r>
  <r>
    <s v="S-6ac338"/>
    <s v="A-2b9d3e"/>
    <d v="2024-08-29T00:00:00"/>
    <m/>
    <x v="2"/>
    <n v="28"/>
    <n v="532"/>
    <n v="6384"/>
    <x v="0"/>
    <b v="0"/>
    <b v="0"/>
    <b v="0"/>
    <x v="1"/>
    <b v="1"/>
  </r>
  <r>
    <s v="S-f52c97"/>
    <s v="A-40de06"/>
    <d v="2024-11-17T00:00:00"/>
    <m/>
    <x v="2"/>
    <n v="28"/>
    <n v="532"/>
    <n v="6384"/>
    <x v="0"/>
    <b v="0"/>
    <b v="1"/>
    <b v="0"/>
    <x v="1"/>
    <b v="1"/>
  </r>
  <r>
    <s v="S-8b00ff"/>
    <s v="A-40906c"/>
    <d v="2024-06-19T00:00:00"/>
    <m/>
    <x v="0"/>
    <n v="92"/>
    <n v="18308"/>
    <n v="219696"/>
    <x v="0"/>
    <b v="0"/>
    <b v="0"/>
    <b v="0"/>
    <x v="1"/>
    <b v="1"/>
  </r>
  <r>
    <s v="S-c7f25a"/>
    <s v="A-87aa7b"/>
    <d v="2024-08-10T00:00:00"/>
    <m/>
    <x v="2"/>
    <n v="25"/>
    <n v="475"/>
    <n v="5700"/>
    <x v="0"/>
    <b v="1"/>
    <b v="0"/>
    <b v="0"/>
    <x v="0"/>
    <b v="1"/>
  </r>
  <r>
    <s v="S-dbee03"/>
    <s v="A-49b828"/>
    <d v="2023-05-16T00:00:00"/>
    <m/>
    <x v="2"/>
    <n v="9"/>
    <n v="171"/>
    <n v="2052"/>
    <x v="0"/>
    <b v="0"/>
    <b v="0"/>
    <b v="0"/>
    <x v="0"/>
    <b v="1"/>
  </r>
  <r>
    <s v="S-1f15a2"/>
    <s v="A-7f4db3"/>
    <d v="2023-04-05T00:00:00"/>
    <m/>
    <x v="2"/>
    <n v="39"/>
    <n v="0"/>
    <n v="0"/>
    <x v="1"/>
    <b v="0"/>
    <b v="0"/>
    <b v="0"/>
    <x v="1"/>
    <b v="1"/>
  </r>
  <r>
    <s v="S-3da8ee"/>
    <s v="A-271f46"/>
    <d v="2024-11-22T00:00:00"/>
    <m/>
    <x v="0"/>
    <n v="46"/>
    <n v="9154"/>
    <n v="109848"/>
    <x v="0"/>
    <b v="0"/>
    <b v="0"/>
    <b v="0"/>
    <x v="0"/>
    <b v="1"/>
  </r>
  <r>
    <s v="S-51dfbc"/>
    <s v="A-7f8241"/>
    <d v="2023-09-24T00:00:00"/>
    <m/>
    <x v="1"/>
    <n v="34"/>
    <n v="1666"/>
    <n v="19992"/>
    <x v="0"/>
    <b v="0"/>
    <b v="0"/>
    <b v="0"/>
    <x v="0"/>
    <b v="0"/>
  </r>
  <r>
    <s v="S-027102"/>
    <s v="A-3c1a3f"/>
    <d v="2024-09-30T00:00:00"/>
    <m/>
    <x v="0"/>
    <n v="3"/>
    <n v="597"/>
    <n v="7164"/>
    <x v="0"/>
    <b v="0"/>
    <b v="0"/>
    <b v="0"/>
    <x v="1"/>
    <b v="1"/>
  </r>
  <r>
    <s v="S-d6f31b"/>
    <s v="A-b20d99"/>
    <d v="2024-11-03T00:00:00"/>
    <m/>
    <x v="0"/>
    <n v="20"/>
    <n v="3980"/>
    <n v="47760"/>
    <x v="0"/>
    <b v="1"/>
    <b v="0"/>
    <b v="0"/>
    <x v="0"/>
    <b v="1"/>
  </r>
  <r>
    <s v="S-b5b39a"/>
    <s v="A-1f0636"/>
    <d v="2024-03-17T00:00:00"/>
    <m/>
    <x v="1"/>
    <n v="105"/>
    <n v="0"/>
    <n v="0"/>
    <x v="1"/>
    <b v="0"/>
    <b v="0"/>
    <b v="0"/>
    <x v="1"/>
    <b v="1"/>
  </r>
  <r>
    <s v="S-7ab956"/>
    <s v="A-53f4e3"/>
    <d v="2024-12-03T00:00:00"/>
    <m/>
    <x v="2"/>
    <n v="13"/>
    <n v="247"/>
    <n v="2964"/>
    <x v="0"/>
    <b v="0"/>
    <b v="0"/>
    <b v="0"/>
    <x v="1"/>
    <b v="1"/>
  </r>
  <r>
    <s v="S-0a7396"/>
    <s v="A-54d94a"/>
    <d v="2024-02-24T00:00:00"/>
    <m/>
    <x v="1"/>
    <n v="27"/>
    <n v="1323"/>
    <n v="15876"/>
    <x v="0"/>
    <b v="0"/>
    <b v="1"/>
    <b v="0"/>
    <x v="0"/>
    <b v="1"/>
  </r>
  <r>
    <s v="S-337c84"/>
    <s v="A-2bc93d"/>
    <d v="2024-09-22T00:00:00"/>
    <m/>
    <x v="2"/>
    <n v="29"/>
    <n v="551"/>
    <n v="6612"/>
    <x v="0"/>
    <b v="1"/>
    <b v="0"/>
    <b v="0"/>
    <x v="1"/>
    <b v="1"/>
  </r>
  <r>
    <s v="S-b8c3e6"/>
    <s v="A-8ae05d"/>
    <d v="2024-12-13T00:00:00"/>
    <m/>
    <x v="0"/>
    <n v="86"/>
    <n v="0"/>
    <n v="0"/>
    <x v="1"/>
    <b v="0"/>
    <b v="0"/>
    <b v="0"/>
    <x v="0"/>
    <b v="1"/>
  </r>
  <r>
    <s v="S-cd5968"/>
    <s v="A-ee42db"/>
    <d v="2023-10-21T00:00:00"/>
    <m/>
    <x v="1"/>
    <n v="13"/>
    <n v="637"/>
    <n v="7644"/>
    <x v="0"/>
    <b v="0"/>
    <b v="0"/>
    <b v="0"/>
    <x v="0"/>
    <b v="1"/>
  </r>
  <r>
    <s v="S-dc3e11"/>
    <s v="A-2f6a32"/>
    <d v="2024-12-01T00:00:00"/>
    <m/>
    <x v="1"/>
    <n v="19"/>
    <n v="931"/>
    <n v="11172"/>
    <x v="0"/>
    <b v="0"/>
    <b v="0"/>
    <b v="0"/>
    <x v="0"/>
    <b v="1"/>
  </r>
  <r>
    <s v="S-b18409"/>
    <s v="A-92a3af"/>
    <d v="2024-10-26T00:00:00"/>
    <m/>
    <x v="1"/>
    <n v="25"/>
    <n v="1225"/>
    <n v="14700"/>
    <x v="0"/>
    <b v="0"/>
    <b v="0"/>
    <b v="0"/>
    <x v="0"/>
    <b v="1"/>
  </r>
  <r>
    <s v="S-d365af"/>
    <s v="A-4e44e8"/>
    <d v="2024-09-01T00:00:00"/>
    <m/>
    <x v="2"/>
    <n v="11"/>
    <n v="209"/>
    <n v="2508"/>
    <x v="0"/>
    <b v="0"/>
    <b v="0"/>
    <b v="0"/>
    <x v="1"/>
    <b v="1"/>
  </r>
  <r>
    <s v="S-eaf2e2"/>
    <s v="A-427b69"/>
    <d v="2024-10-24T00:00:00"/>
    <m/>
    <x v="1"/>
    <n v="17"/>
    <n v="833"/>
    <n v="9996"/>
    <x v="0"/>
    <b v="0"/>
    <b v="0"/>
    <b v="0"/>
    <x v="1"/>
    <b v="0"/>
  </r>
  <r>
    <s v="S-b7482e"/>
    <s v="A-cbd1a3"/>
    <d v="2024-12-16T00:00:00"/>
    <m/>
    <x v="2"/>
    <n v="34"/>
    <n v="646"/>
    <n v="7752"/>
    <x v="0"/>
    <b v="0"/>
    <b v="0"/>
    <b v="0"/>
    <x v="1"/>
    <b v="1"/>
  </r>
  <r>
    <s v="S-74704b"/>
    <s v="A-cb5333"/>
    <d v="2024-12-15T00:00:00"/>
    <m/>
    <x v="1"/>
    <n v="33"/>
    <n v="1617"/>
    <n v="19404"/>
    <x v="0"/>
    <b v="0"/>
    <b v="0"/>
    <b v="0"/>
    <x v="0"/>
    <b v="1"/>
  </r>
  <r>
    <s v="S-f8e091"/>
    <s v="A-34d880"/>
    <d v="2024-10-21T00:00:00"/>
    <m/>
    <x v="0"/>
    <n v="5"/>
    <n v="995"/>
    <n v="11940"/>
    <x v="0"/>
    <b v="0"/>
    <b v="0"/>
    <b v="0"/>
    <x v="0"/>
    <b v="1"/>
  </r>
  <r>
    <s v="S-41d741"/>
    <s v="A-65aeb5"/>
    <d v="2024-08-23T00:00:00"/>
    <m/>
    <x v="2"/>
    <n v="28"/>
    <n v="532"/>
    <n v="6384"/>
    <x v="0"/>
    <b v="0"/>
    <b v="0"/>
    <b v="0"/>
    <x v="1"/>
    <b v="1"/>
  </r>
  <r>
    <s v="S-79e254"/>
    <s v="A-474ad4"/>
    <d v="2024-03-23T00:00:00"/>
    <m/>
    <x v="1"/>
    <n v="53"/>
    <n v="2597"/>
    <n v="31164"/>
    <x v="0"/>
    <b v="0"/>
    <b v="0"/>
    <b v="0"/>
    <x v="1"/>
    <b v="0"/>
  </r>
  <r>
    <s v="S-2d21b9"/>
    <s v="A-b7b7b7"/>
    <d v="2024-07-12T00:00:00"/>
    <m/>
    <x v="1"/>
    <n v="24"/>
    <n v="1176"/>
    <n v="14112"/>
    <x v="0"/>
    <b v="0"/>
    <b v="0"/>
    <b v="0"/>
    <x v="1"/>
    <b v="1"/>
  </r>
  <r>
    <s v="S-d56460"/>
    <s v="A-d62e02"/>
    <d v="2024-10-02T00:00:00"/>
    <m/>
    <x v="0"/>
    <n v="16"/>
    <n v="3184"/>
    <n v="38208"/>
    <x v="0"/>
    <b v="0"/>
    <b v="0"/>
    <b v="0"/>
    <x v="1"/>
    <b v="1"/>
  </r>
  <r>
    <s v="S-8921cb"/>
    <s v="A-50bb9f"/>
    <d v="2024-07-22T00:00:00"/>
    <m/>
    <x v="0"/>
    <n v="35"/>
    <n v="6965"/>
    <n v="83580"/>
    <x v="0"/>
    <b v="0"/>
    <b v="0"/>
    <b v="0"/>
    <x v="0"/>
    <b v="1"/>
  </r>
  <r>
    <s v="S-920d64"/>
    <s v="A-b7724f"/>
    <d v="2024-07-21T00:00:00"/>
    <m/>
    <x v="2"/>
    <n v="12"/>
    <n v="228"/>
    <n v="2736"/>
    <x v="0"/>
    <b v="0"/>
    <b v="0"/>
    <b v="0"/>
    <x v="1"/>
    <b v="1"/>
  </r>
  <r>
    <s v="S-ae7a5d"/>
    <s v="A-22f2df"/>
    <d v="2024-12-21T00:00:00"/>
    <m/>
    <x v="1"/>
    <n v="15"/>
    <n v="735"/>
    <n v="8820"/>
    <x v="0"/>
    <b v="0"/>
    <b v="0"/>
    <b v="0"/>
    <x v="1"/>
    <b v="1"/>
  </r>
  <r>
    <s v="S-d518e8"/>
    <s v="A-e4144b"/>
    <d v="2024-12-06T00:00:00"/>
    <m/>
    <x v="2"/>
    <n v="41"/>
    <n v="0"/>
    <n v="0"/>
    <x v="1"/>
    <b v="0"/>
    <b v="0"/>
    <b v="0"/>
    <x v="0"/>
    <b v="1"/>
  </r>
  <r>
    <s v="S-3f1bb5"/>
    <s v="A-7e0a10"/>
    <d v="2023-12-21T00:00:00"/>
    <m/>
    <x v="2"/>
    <n v="46"/>
    <n v="874"/>
    <n v="10488"/>
    <x v="0"/>
    <b v="0"/>
    <b v="0"/>
    <b v="0"/>
    <x v="1"/>
    <b v="1"/>
  </r>
  <r>
    <s v="S-83ee41"/>
    <s v="A-ad3abd"/>
    <d v="2023-04-20T00:00:00"/>
    <m/>
    <x v="2"/>
    <n v="44"/>
    <n v="836"/>
    <n v="10032"/>
    <x v="0"/>
    <b v="0"/>
    <b v="0"/>
    <b v="0"/>
    <x v="1"/>
    <b v="1"/>
  </r>
  <r>
    <s v="S-9eeb7e"/>
    <s v="A-029f69"/>
    <d v="2024-12-02T00:00:00"/>
    <m/>
    <x v="2"/>
    <n v="11"/>
    <n v="209"/>
    <n v="2508"/>
    <x v="0"/>
    <b v="0"/>
    <b v="0"/>
    <b v="0"/>
    <x v="0"/>
    <b v="0"/>
  </r>
  <r>
    <s v="S-649bb6"/>
    <s v="A-9f9299"/>
    <d v="2024-07-18T00:00:00"/>
    <m/>
    <x v="0"/>
    <n v="28"/>
    <n v="5572"/>
    <n v="66864"/>
    <x v="0"/>
    <b v="0"/>
    <b v="0"/>
    <b v="0"/>
    <x v="1"/>
    <b v="0"/>
  </r>
  <r>
    <s v="S-9f8b23"/>
    <s v="A-118f1c"/>
    <d v="2024-12-24T00:00:00"/>
    <d v="2024-12-26T00:00:00"/>
    <x v="0"/>
    <n v="128"/>
    <n v="25472"/>
    <n v="305664"/>
    <x v="0"/>
    <b v="0"/>
    <b v="0"/>
    <b v="1"/>
    <x v="1"/>
    <b v="1"/>
  </r>
  <r>
    <s v="S-510009"/>
    <s v="A-0651a4"/>
    <d v="2024-11-16T00:00:00"/>
    <m/>
    <x v="0"/>
    <n v="16"/>
    <n v="3184"/>
    <n v="38208"/>
    <x v="0"/>
    <b v="0"/>
    <b v="0"/>
    <b v="0"/>
    <x v="0"/>
    <b v="1"/>
  </r>
  <r>
    <s v="S-295bac"/>
    <s v="A-779e4e"/>
    <d v="2023-07-13T00:00:00"/>
    <m/>
    <x v="0"/>
    <n v="58"/>
    <n v="11542"/>
    <n v="138504"/>
    <x v="0"/>
    <b v="0"/>
    <b v="0"/>
    <b v="0"/>
    <x v="0"/>
    <b v="1"/>
  </r>
  <r>
    <s v="S-b555de"/>
    <s v="A-af0cd2"/>
    <d v="2023-10-04T00:00:00"/>
    <m/>
    <x v="2"/>
    <n v="19"/>
    <n v="361"/>
    <n v="4332"/>
    <x v="0"/>
    <b v="1"/>
    <b v="0"/>
    <b v="0"/>
    <x v="0"/>
    <b v="1"/>
  </r>
  <r>
    <s v="S-1f5841"/>
    <s v="A-b30291"/>
    <d v="2024-05-08T00:00:00"/>
    <m/>
    <x v="2"/>
    <n v="5"/>
    <n v="95"/>
    <n v="1140"/>
    <x v="0"/>
    <b v="0"/>
    <b v="0"/>
    <b v="0"/>
    <x v="1"/>
    <b v="1"/>
  </r>
  <r>
    <s v="S-0d6da2"/>
    <s v="A-e4144b"/>
    <d v="2024-11-28T00:00:00"/>
    <m/>
    <x v="0"/>
    <n v="41"/>
    <n v="0"/>
    <n v="0"/>
    <x v="1"/>
    <b v="0"/>
    <b v="0"/>
    <b v="0"/>
    <x v="0"/>
    <b v="0"/>
  </r>
  <r>
    <s v="S-5c4dd7"/>
    <s v="A-0b0d6d"/>
    <d v="2024-12-31T00:00:00"/>
    <m/>
    <x v="1"/>
    <n v="21"/>
    <n v="1029"/>
    <n v="12348"/>
    <x v="0"/>
    <b v="0"/>
    <b v="0"/>
    <b v="0"/>
    <x v="1"/>
    <b v="1"/>
  </r>
  <r>
    <s v="S-904529"/>
    <s v="A-fe79a5"/>
    <d v="2024-03-02T00:00:00"/>
    <d v="2024-10-02T00:00:00"/>
    <x v="2"/>
    <n v="19"/>
    <n v="0"/>
    <n v="0"/>
    <x v="1"/>
    <b v="1"/>
    <b v="0"/>
    <b v="1"/>
    <x v="0"/>
    <b v="1"/>
  </r>
  <r>
    <s v="S-eed91a"/>
    <s v="A-22d9d2"/>
    <d v="2024-12-17T00:00:00"/>
    <d v="2024-12-20T00:00:00"/>
    <x v="1"/>
    <n v="32"/>
    <n v="1568"/>
    <n v="18816"/>
    <x v="0"/>
    <b v="0"/>
    <b v="1"/>
    <b v="1"/>
    <x v="0"/>
    <b v="1"/>
  </r>
  <r>
    <s v="S-71466f"/>
    <s v="A-d5a319"/>
    <d v="2024-01-16T00:00:00"/>
    <m/>
    <x v="2"/>
    <n v="15"/>
    <n v="285"/>
    <n v="3420"/>
    <x v="0"/>
    <b v="0"/>
    <b v="0"/>
    <b v="0"/>
    <x v="1"/>
    <b v="1"/>
  </r>
  <r>
    <s v="S-24d48b"/>
    <s v="A-7c83a1"/>
    <d v="2024-05-16T00:00:00"/>
    <d v="2024-07-29T00:00:00"/>
    <x v="1"/>
    <n v="12"/>
    <n v="588"/>
    <n v="7056"/>
    <x v="0"/>
    <b v="0"/>
    <b v="0"/>
    <b v="1"/>
    <x v="1"/>
    <b v="1"/>
  </r>
  <r>
    <s v="S-518ce3"/>
    <s v="A-98a59a"/>
    <d v="2024-08-01T00:00:00"/>
    <m/>
    <x v="1"/>
    <n v="148"/>
    <n v="0"/>
    <n v="0"/>
    <x v="1"/>
    <b v="0"/>
    <b v="1"/>
    <b v="0"/>
    <x v="1"/>
    <b v="1"/>
  </r>
  <r>
    <s v="S-0e0ec8"/>
    <s v="A-cc102e"/>
    <d v="2024-05-06T00:00:00"/>
    <m/>
    <x v="2"/>
    <n v="13"/>
    <n v="247"/>
    <n v="2964"/>
    <x v="0"/>
    <b v="0"/>
    <b v="0"/>
    <b v="0"/>
    <x v="1"/>
    <b v="1"/>
  </r>
  <r>
    <s v="S-fe0869"/>
    <s v="A-d4e0d4"/>
    <d v="2024-11-16T00:00:00"/>
    <m/>
    <x v="0"/>
    <n v="117"/>
    <n v="23283"/>
    <n v="279396"/>
    <x v="0"/>
    <b v="0"/>
    <b v="0"/>
    <b v="0"/>
    <x v="1"/>
    <b v="1"/>
  </r>
  <r>
    <s v="S-457294"/>
    <s v="A-fa3095"/>
    <d v="2024-06-07T00:00:00"/>
    <m/>
    <x v="0"/>
    <n v="70"/>
    <n v="13930"/>
    <n v="167160"/>
    <x v="0"/>
    <b v="0"/>
    <b v="0"/>
    <b v="0"/>
    <x v="0"/>
    <b v="1"/>
  </r>
  <r>
    <s v="S-3bb28f"/>
    <s v="A-37f969"/>
    <d v="2024-01-20T00:00:00"/>
    <m/>
    <x v="0"/>
    <n v="30"/>
    <n v="5970"/>
    <n v="71640"/>
    <x v="0"/>
    <b v="1"/>
    <b v="0"/>
    <b v="0"/>
    <x v="0"/>
    <b v="1"/>
  </r>
  <r>
    <s v="S-31d8aa"/>
    <s v="A-96bbc6"/>
    <d v="2024-05-28T00:00:00"/>
    <m/>
    <x v="1"/>
    <n v="39"/>
    <n v="1911"/>
    <n v="22932"/>
    <x v="0"/>
    <b v="1"/>
    <b v="0"/>
    <b v="0"/>
    <x v="1"/>
    <b v="1"/>
  </r>
  <r>
    <s v="S-29c16b"/>
    <s v="A-afa505"/>
    <d v="2024-07-24T00:00:00"/>
    <d v="2024-10-06T00:00:00"/>
    <x v="1"/>
    <n v="70"/>
    <n v="3430"/>
    <n v="41160"/>
    <x v="0"/>
    <b v="0"/>
    <b v="0"/>
    <b v="1"/>
    <x v="0"/>
    <b v="1"/>
  </r>
  <r>
    <s v="S-b3f2cb"/>
    <s v="A-812c5b"/>
    <d v="2024-06-19T00:00:00"/>
    <m/>
    <x v="0"/>
    <n v="55"/>
    <n v="0"/>
    <n v="0"/>
    <x v="1"/>
    <b v="0"/>
    <b v="0"/>
    <b v="0"/>
    <x v="0"/>
    <b v="1"/>
  </r>
  <r>
    <s v="S-5d6528"/>
    <s v="A-22d9d2"/>
    <d v="2024-07-23T00:00:00"/>
    <m/>
    <x v="0"/>
    <n v="8"/>
    <n v="1592"/>
    <n v="19104"/>
    <x v="0"/>
    <b v="0"/>
    <b v="0"/>
    <b v="0"/>
    <x v="0"/>
    <b v="1"/>
  </r>
  <r>
    <s v="S-dbb8b9"/>
    <s v="A-58b9ff"/>
    <d v="2024-08-09T00:00:00"/>
    <m/>
    <x v="1"/>
    <n v="2"/>
    <n v="98"/>
    <n v="1176"/>
    <x v="0"/>
    <b v="0"/>
    <b v="0"/>
    <b v="0"/>
    <x v="0"/>
    <b v="0"/>
  </r>
  <r>
    <s v="S-9f7ef0"/>
    <s v="A-b3fe05"/>
    <d v="2024-10-31T00:00:00"/>
    <m/>
    <x v="0"/>
    <n v="46"/>
    <n v="9154"/>
    <n v="109848"/>
    <x v="0"/>
    <b v="0"/>
    <b v="0"/>
    <b v="0"/>
    <x v="0"/>
    <b v="1"/>
  </r>
  <r>
    <s v="S-2178f0"/>
    <s v="A-b30291"/>
    <d v="2024-09-26T00:00:00"/>
    <d v="2024-11-02T00:00:00"/>
    <x v="2"/>
    <n v="5"/>
    <n v="0"/>
    <n v="0"/>
    <x v="1"/>
    <b v="0"/>
    <b v="0"/>
    <b v="1"/>
    <x v="0"/>
    <b v="1"/>
  </r>
  <r>
    <s v="S-31cec4"/>
    <s v="A-34ea2f"/>
    <d v="2024-10-28T00:00:00"/>
    <m/>
    <x v="2"/>
    <n v="8"/>
    <n v="152"/>
    <n v="1824"/>
    <x v="0"/>
    <b v="0"/>
    <b v="0"/>
    <b v="0"/>
    <x v="0"/>
    <b v="1"/>
  </r>
  <r>
    <s v="S-a1426b"/>
    <s v="A-cc98bc"/>
    <d v="2023-12-31T00:00:00"/>
    <m/>
    <x v="2"/>
    <n v="32"/>
    <n v="608"/>
    <n v="7296"/>
    <x v="0"/>
    <b v="0"/>
    <b v="0"/>
    <b v="0"/>
    <x v="1"/>
    <b v="0"/>
  </r>
  <r>
    <s v="S-5ea66d"/>
    <s v="A-503d5a"/>
    <d v="2024-12-18T00:00:00"/>
    <m/>
    <x v="0"/>
    <n v="4"/>
    <n v="796"/>
    <n v="9552"/>
    <x v="0"/>
    <b v="0"/>
    <b v="0"/>
    <b v="0"/>
    <x v="1"/>
    <b v="1"/>
  </r>
  <r>
    <s v="S-4f9730"/>
    <s v="A-8adedc"/>
    <d v="2024-07-21T00:00:00"/>
    <m/>
    <x v="0"/>
    <n v="25"/>
    <n v="0"/>
    <n v="0"/>
    <x v="1"/>
    <b v="0"/>
    <b v="0"/>
    <b v="0"/>
    <x v="0"/>
    <b v="1"/>
  </r>
  <r>
    <s v="S-befdf1"/>
    <s v="A-68f37c"/>
    <d v="2024-02-27T00:00:00"/>
    <m/>
    <x v="2"/>
    <n v="13"/>
    <n v="247"/>
    <n v="2964"/>
    <x v="0"/>
    <b v="0"/>
    <b v="0"/>
    <b v="0"/>
    <x v="0"/>
    <b v="1"/>
  </r>
  <r>
    <s v="S-2b504d"/>
    <s v="A-6a4e2d"/>
    <d v="2023-07-12T00:00:00"/>
    <m/>
    <x v="0"/>
    <n v="9"/>
    <n v="1791"/>
    <n v="21492"/>
    <x v="0"/>
    <b v="0"/>
    <b v="0"/>
    <b v="0"/>
    <x v="1"/>
    <b v="1"/>
  </r>
  <r>
    <s v="S-4484ae"/>
    <s v="A-b07346"/>
    <d v="2024-12-08T00:00:00"/>
    <m/>
    <x v="0"/>
    <n v="51"/>
    <n v="10149"/>
    <n v="121788"/>
    <x v="0"/>
    <b v="1"/>
    <b v="0"/>
    <b v="0"/>
    <x v="0"/>
    <b v="1"/>
  </r>
  <r>
    <s v="S-a2e1dd"/>
    <s v="A-c37cab"/>
    <d v="2024-08-10T00:00:00"/>
    <d v="2024-09-29T00:00:00"/>
    <x v="0"/>
    <n v="13"/>
    <n v="0"/>
    <n v="0"/>
    <x v="1"/>
    <b v="0"/>
    <b v="0"/>
    <b v="1"/>
    <x v="0"/>
    <b v="1"/>
  </r>
  <r>
    <s v="S-00dea4"/>
    <s v="A-a6d261"/>
    <d v="2024-01-14T00:00:00"/>
    <m/>
    <x v="0"/>
    <n v="15"/>
    <n v="2985"/>
    <n v="35820"/>
    <x v="0"/>
    <b v="0"/>
    <b v="0"/>
    <b v="0"/>
    <x v="0"/>
    <b v="1"/>
  </r>
  <r>
    <s v="S-b73fdf"/>
    <s v="A-dbc825"/>
    <d v="2024-04-26T00:00:00"/>
    <d v="2024-08-07T00:00:00"/>
    <x v="2"/>
    <n v="19"/>
    <n v="361"/>
    <n v="4332"/>
    <x v="0"/>
    <b v="0"/>
    <b v="0"/>
    <b v="1"/>
    <x v="1"/>
    <b v="1"/>
  </r>
  <r>
    <s v="S-07e821"/>
    <s v="A-e61e98"/>
    <d v="2023-11-09T00:00:00"/>
    <m/>
    <x v="1"/>
    <n v="37"/>
    <n v="1813"/>
    <n v="21756"/>
    <x v="0"/>
    <b v="0"/>
    <b v="0"/>
    <b v="0"/>
    <x v="0"/>
    <b v="1"/>
  </r>
  <r>
    <s v="S-c8292c"/>
    <s v="A-cb5333"/>
    <d v="2024-05-04T00:00:00"/>
    <m/>
    <x v="2"/>
    <n v="51"/>
    <n v="0"/>
    <n v="0"/>
    <x v="1"/>
    <b v="0"/>
    <b v="0"/>
    <b v="0"/>
    <x v="1"/>
    <b v="1"/>
  </r>
  <r>
    <s v="S-47b86b"/>
    <s v="A-524364"/>
    <d v="2024-12-31T00:00:00"/>
    <m/>
    <x v="1"/>
    <n v="11"/>
    <n v="539"/>
    <n v="6468"/>
    <x v="0"/>
    <b v="0"/>
    <b v="0"/>
    <b v="0"/>
    <x v="0"/>
    <b v="1"/>
  </r>
  <r>
    <s v="S-07976e"/>
    <s v="A-81edc3"/>
    <d v="2024-07-12T00:00:00"/>
    <m/>
    <x v="1"/>
    <n v="5"/>
    <n v="245"/>
    <n v="2940"/>
    <x v="0"/>
    <b v="0"/>
    <b v="0"/>
    <b v="0"/>
    <x v="0"/>
    <b v="1"/>
  </r>
  <r>
    <s v="S-412125"/>
    <s v="A-1b9609"/>
    <d v="2024-01-14T00:00:00"/>
    <m/>
    <x v="2"/>
    <n v="16"/>
    <n v="304"/>
    <n v="3648"/>
    <x v="0"/>
    <b v="0"/>
    <b v="0"/>
    <b v="0"/>
    <x v="0"/>
    <b v="1"/>
  </r>
  <r>
    <s v="S-1d15a7"/>
    <s v="A-1e50e0"/>
    <d v="2023-03-23T00:00:00"/>
    <m/>
    <x v="0"/>
    <n v="19"/>
    <n v="3781"/>
    <n v="45372"/>
    <x v="0"/>
    <b v="1"/>
    <b v="0"/>
    <b v="0"/>
    <x v="0"/>
    <b v="1"/>
  </r>
  <r>
    <s v="S-655049"/>
    <s v="A-9779ad"/>
    <d v="2024-10-27T00:00:00"/>
    <m/>
    <x v="2"/>
    <n v="40"/>
    <n v="0"/>
    <n v="0"/>
    <x v="1"/>
    <b v="0"/>
    <b v="0"/>
    <b v="0"/>
    <x v="0"/>
    <b v="0"/>
  </r>
  <r>
    <s v="S-9cfabf"/>
    <s v="A-0f3e88"/>
    <d v="2023-08-05T00:00:00"/>
    <m/>
    <x v="2"/>
    <n v="7"/>
    <n v="133"/>
    <n v="1596"/>
    <x v="0"/>
    <b v="0"/>
    <b v="0"/>
    <b v="0"/>
    <x v="1"/>
    <b v="1"/>
  </r>
  <r>
    <s v="S-dd80e4"/>
    <s v="A-0532a9"/>
    <d v="2024-11-24T00:00:00"/>
    <m/>
    <x v="0"/>
    <n v="21"/>
    <n v="4179"/>
    <n v="50148"/>
    <x v="0"/>
    <b v="1"/>
    <b v="0"/>
    <b v="0"/>
    <x v="1"/>
    <b v="1"/>
  </r>
  <r>
    <s v="S-1fb7ac"/>
    <s v="A-117171"/>
    <d v="2024-12-14T00:00:00"/>
    <d v="2024-12-17T00:00:00"/>
    <x v="1"/>
    <n v="45"/>
    <n v="2205"/>
    <n v="26460"/>
    <x v="0"/>
    <b v="0"/>
    <b v="0"/>
    <b v="1"/>
    <x v="1"/>
    <b v="1"/>
  </r>
  <r>
    <s v="S-576519"/>
    <s v="A-cc98bc"/>
    <d v="2023-05-27T00:00:00"/>
    <m/>
    <x v="0"/>
    <n v="32"/>
    <n v="6368"/>
    <n v="76416"/>
    <x v="0"/>
    <b v="0"/>
    <b v="0"/>
    <b v="0"/>
    <x v="0"/>
    <b v="1"/>
  </r>
  <r>
    <s v="S-b23ec5"/>
    <s v="A-3be56b"/>
    <d v="2024-05-01T00:00:00"/>
    <m/>
    <x v="0"/>
    <n v="18"/>
    <n v="3582"/>
    <n v="42984"/>
    <x v="0"/>
    <b v="0"/>
    <b v="1"/>
    <b v="0"/>
    <x v="1"/>
    <b v="1"/>
  </r>
  <r>
    <s v="S-1cb993"/>
    <s v="A-84ebe4"/>
    <d v="2023-05-10T00:00:00"/>
    <m/>
    <x v="2"/>
    <n v="18"/>
    <n v="342"/>
    <n v="4104"/>
    <x v="0"/>
    <b v="0"/>
    <b v="0"/>
    <b v="0"/>
    <x v="1"/>
    <b v="1"/>
  </r>
  <r>
    <s v="S-c87692"/>
    <s v="A-dcc2f0"/>
    <d v="2023-10-02T00:00:00"/>
    <m/>
    <x v="2"/>
    <n v="15"/>
    <n v="285"/>
    <n v="3420"/>
    <x v="0"/>
    <b v="0"/>
    <b v="0"/>
    <b v="0"/>
    <x v="1"/>
    <b v="1"/>
  </r>
  <r>
    <s v="S-2aaa9c"/>
    <s v="A-4c38bc"/>
    <d v="2024-12-10T00:00:00"/>
    <m/>
    <x v="1"/>
    <n v="36"/>
    <n v="1764"/>
    <n v="21168"/>
    <x v="0"/>
    <b v="0"/>
    <b v="0"/>
    <b v="0"/>
    <x v="0"/>
    <b v="1"/>
  </r>
  <r>
    <s v="S-8426e7"/>
    <s v="A-42e5e1"/>
    <d v="2024-10-18T00:00:00"/>
    <m/>
    <x v="0"/>
    <n v="22"/>
    <n v="4378"/>
    <n v="52536"/>
    <x v="0"/>
    <b v="0"/>
    <b v="0"/>
    <b v="0"/>
    <x v="1"/>
    <b v="1"/>
  </r>
  <r>
    <s v="S-ed857b"/>
    <s v="A-ad64c6"/>
    <d v="2024-03-07T00:00:00"/>
    <m/>
    <x v="0"/>
    <n v="12"/>
    <n v="2388"/>
    <n v="28656"/>
    <x v="0"/>
    <b v="0"/>
    <b v="0"/>
    <b v="0"/>
    <x v="0"/>
    <b v="0"/>
  </r>
  <r>
    <s v="S-2843fe"/>
    <s v="A-089363"/>
    <d v="2024-06-26T00:00:00"/>
    <m/>
    <x v="2"/>
    <n v="2"/>
    <n v="0"/>
    <n v="0"/>
    <x v="1"/>
    <b v="0"/>
    <b v="0"/>
    <b v="0"/>
    <x v="0"/>
    <b v="1"/>
  </r>
  <r>
    <s v="S-4c8e19"/>
    <s v="A-659280"/>
    <d v="2024-11-21T00:00:00"/>
    <m/>
    <x v="2"/>
    <n v="17"/>
    <n v="323"/>
    <n v="3876"/>
    <x v="0"/>
    <b v="0"/>
    <b v="0"/>
    <b v="0"/>
    <x v="0"/>
    <b v="0"/>
  </r>
  <r>
    <s v="S-b4b084"/>
    <s v="A-ced9aa"/>
    <d v="2024-12-21T00:00:00"/>
    <m/>
    <x v="0"/>
    <n v="5"/>
    <n v="995"/>
    <n v="11940"/>
    <x v="0"/>
    <b v="0"/>
    <b v="0"/>
    <b v="0"/>
    <x v="0"/>
    <b v="1"/>
  </r>
  <r>
    <s v="S-0802a4"/>
    <s v="A-a45270"/>
    <d v="2024-08-24T00:00:00"/>
    <m/>
    <x v="1"/>
    <n v="79"/>
    <n v="3871"/>
    <n v="46452"/>
    <x v="0"/>
    <b v="0"/>
    <b v="0"/>
    <b v="0"/>
    <x v="1"/>
    <b v="1"/>
  </r>
  <r>
    <s v="S-37879d"/>
    <s v="A-9779ad"/>
    <d v="2024-09-17T00:00:00"/>
    <m/>
    <x v="1"/>
    <n v="40"/>
    <n v="1960"/>
    <n v="23520"/>
    <x v="0"/>
    <b v="0"/>
    <b v="0"/>
    <b v="0"/>
    <x v="0"/>
    <b v="0"/>
  </r>
  <r>
    <s v="S-8048cc"/>
    <s v="A-eb7c38"/>
    <d v="2024-07-04T00:00:00"/>
    <m/>
    <x v="2"/>
    <n v="9"/>
    <n v="171"/>
    <n v="2052"/>
    <x v="0"/>
    <b v="0"/>
    <b v="1"/>
    <b v="0"/>
    <x v="1"/>
    <b v="1"/>
  </r>
  <r>
    <s v="S-c2a14b"/>
    <s v="A-526d93"/>
    <d v="2024-11-08T00:00:00"/>
    <d v="2024-11-10T00:00:00"/>
    <x v="0"/>
    <n v="43"/>
    <n v="8557"/>
    <n v="102684"/>
    <x v="0"/>
    <b v="0"/>
    <b v="0"/>
    <b v="1"/>
    <x v="1"/>
    <b v="0"/>
  </r>
  <r>
    <s v="S-549340"/>
    <s v="A-eb1312"/>
    <d v="2024-09-18T00:00:00"/>
    <m/>
    <x v="1"/>
    <n v="25"/>
    <n v="1225"/>
    <n v="14700"/>
    <x v="0"/>
    <b v="0"/>
    <b v="0"/>
    <b v="0"/>
    <x v="0"/>
    <b v="1"/>
  </r>
  <r>
    <s v="S-83d49e"/>
    <s v="A-dbc825"/>
    <d v="2024-07-27T00:00:00"/>
    <m/>
    <x v="1"/>
    <n v="19"/>
    <n v="931"/>
    <n v="11172"/>
    <x v="0"/>
    <b v="0"/>
    <b v="0"/>
    <b v="0"/>
    <x v="1"/>
    <b v="1"/>
  </r>
  <r>
    <s v="S-2ad954"/>
    <s v="A-b9f5b1"/>
    <d v="2023-03-12T00:00:00"/>
    <m/>
    <x v="0"/>
    <n v="42"/>
    <n v="0"/>
    <n v="0"/>
    <x v="1"/>
    <b v="0"/>
    <b v="0"/>
    <b v="0"/>
    <x v="0"/>
    <b v="1"/>
  </r>
  <r>
    <s v="S-4e4ef4"/>
    <s v="A-9ee962"/>
    <d v="2023-07-09T00:00:00"/>
    <m/>
    <x v="1"/>
    <n v="25"/>
    <n v="1225"/>
    <n v="14700"/>
    <x v="0"/>
    <b v="0"/>
    <b v="1"/>
    <b v="0"/>
    <x v="0"/>
    <b v="1"/>
  </r>
  <r>
    <s v="S-a0d68d"/>
    <s v="A-c58f49"/>
    <d v="2024-08-10T00:00:00"/>
    <m/>
    <x v="2"/>
    <n v="70"/>
    <n v="1330"/>
    <n v="15960"/>
    <x v="0"/>
    <b v="0"/>
    <b v="0"/>
    <b v="0"/>
    <x v="0"/>
    <b v="1"/>
  </r>
  <r>
    <s v="S-f3f2bd"/>
    <s v="A-560d27"/>
    <d v="2024-12-17T00:00:00"/>
    <m/>
    <x v="2"/>
    <n v="29"/>
    <n v="0"/>
    <n v="0"/>
    <x v="1"/>
    <b v="0"/>
    <b v="0"/>
    <b v="0"/>
    <x v="1"/>
    <b v="1"/>
  </r>
  <r>
    <s v="S-37a9e3"/>
    <s v="A-c608c8"/>
    <d v="2024-06-07T00:00:00"/>
    <d v="2024-06-29T00:00:00"/>
    <x v="0"/>
    <n v="11"/>
    <n v="2189"/>
    <n v="26268"/>
    <x v="0"/>
    <b v="0"/>
    <b v="0"/>
    <b v="1"/>
    <x v="0"/>
    <b v="0"/>
  </r>
  <r>
    <s v="S-c9d475"/>
    <s v="A-1986ca"/>
    <d v="2023-07-06T00:00:00"/>
    <m/>
    <x v="0"/>
    <n v="20"/>
    <n v="3980"/>
    <n v="47760"/>
    <x v="0"/>
    <b v="0"/>
    <b v="0"/>
    <b v="0"/>
    <x v="1"/>
    <b v="0"/>
  </r>
  <r>
    <s v="S-646813"/>
    <s v="A-a45270"/>
    <d v="2024-09-14T00:00:00"/>
    <m/>
    <x v="0"/>
    <n v="14"/>
    <n v="0"/>
    <n v="0"/>
    <x v="1"/>
    <b v="0"/>
    <b v="0"/>
    <b v="0"/>
    <x v="0"/>
    <b v="1"/>
  </r>
  <r>
    <s v="S-d0bab8"/>
    <s v="A-94f8c9"/>
    <d v="2024-06-26T00:00:00"/>
    <m/>
    <x v="2"/>
    <n v="74"/>
    <n v="1406"/>
    <n v="16872"/>
    <x v="0"/>
    <b v="1"/>
    <b v="0"/>
    <b v="0"/>
    <x v="1"/>
    <b v="1"/>
  </r>
  <r>
    <s v="S-57bbae"/>
    <s v="A-a09355"/>
    <d v="2024-11-05T00:00:00"/>
    <m/>
    <x v="1"/>
    <n v="14"/>
    <n v="686"/>
    <n v="8232"/>
    <x v="0"/>
    <b v="0"/>
    <b v="0"/>
    <b v="0"/>
    <x v="0"/>
    <b v="1"/>
  </r>
  <r>
    <s v="S-59778a"/>
    <s v="A-f6b2fb"/>
    <d v="2024-08-11T00:00:00"/>
    <m/>
    <x v="0"/>
    <n v="49"/>
    <n v="9751"/>
    <n v="117012"/>
    <x v="0"/>
    <b v="0"/>
    <b v="0"/>
    <b v="0"/>
    <x v="0"/>
    <b v="1"/>
  </r>
  <r>
    <s v="S-94c40b"/>
    <s v="A-7c6b6b"/>
    <d v="2024-12-06T00:00:00"/>
    <d v="2024-12-26T00:00:00"/>
    <x v="1"/>
    <n v="26"/>
    <n v="1274"/>
    <n v="15288"/>
    <x v="0"/>
    <b v="0"/>
    <b v="0"/>
    <b v="1"/>
    <x v="1"/>
    <b v="1"/>
  </r>
  <r>
    <s v="S-b9c6ce"/>
    <s v="A-e1462e"/>
    <d v="2024-10-06T00:00:00"/>
    <m/>
    <x v="0"/>
    <n v="15"/>
    <n v="0"/>
    <n v="0"/>
    <x v="1"/>
    <b v="0"/>
    <b v="0"/>
    <b v="0"/>
    <x v="0"/>
    <b v="1"/>
  </r>
  <r>
    <s v="S-f1ffee"/>
    <s v="A-96215d"/>
    <d v="2024-09-30T00:00:00"/>
    <m/>
    <x v="0"/>
    <n v="16"/>
    <n v="3184"/>
    <n v="38208"/>
    <x v="0"/>
    <b v="0"/>
    <b v="0"/>
    <b v="0"/>
    <x v="1"/>
    <b v="0"/>
  </r>
  <r>
    <s v="S-cc30c5"/>
    <s v="A-b78bf8"/>
    <d v="2024-11-17T00:00:00"/>
    <m/>
    <x v="2"/>
    <n v="33"/>
    <n v="627"/>
    <n v="7524"/>
    <x v="0"/>
    <b v="0"/>
    <b v="0"/>
    <b v="0"/>
    <x v="0"/>
    <b v="1"/>
  </r>
  <r>
    <s v="S-9fa60e"/>
    <s v="A-712426"/>
    <d v="2024-12-15T00:00:00"/>
    <m/>
    <x v="2"/>
    <n v="9"/>
    <n v="171"/>
    <n v="2052"/>
    <x v="0"/>
    <b v="0"/>
    <b v="0"/>
    <b v="0"/>
    <x v="1"/>
    <b v="1"/>
  </r>
  <r>
    <s v="S-44c2c1"/>
    <s v="A-2d1036"/>
    <d v="2024-08-02T00:00:00"/>
    <m/>
    <x v="1"/>
    <n v="69"/>
    <n v="3381"/>
    <n v="40572"/>
    <x v="0"/>
    <b v="0"/>
    <b v="1"/>
    <b v="0"/>
    <x v="1"/>
    <b v="1"/>
  </r>
  <r>
    <s v="S-3d6648"/>
    <s v="A-e2cd1b"/>
    <d v="2024-10-05T00:00:00"/>
    <m/>
    <x v="0"/>
    <n v="15"/>
    <n v="0"/>
    <n v="0"/>
    <x v="1"/>
    <b v="0"/>
    <b v="0"/>
    <b v="0"/>
    <x v="0"/>
    <b v="1"/>
  </r>
  <r>
    <s v="S-d97fa8"/>
    <s v="A-508199"/>
    <d v="2024-02-20T00:00:00"/>
    <m/>
    <x v="2"/>
    <n v="19"/>
    <n v="361"/>
    <n v="4332"/>
    <x v="0"/>
    <b v="0"/>
    <b v="0"/>
    <b v="0"/>
    <x v="0"/>
    <b v="1"/>
  </r>
  <r>
    <s v="S-398291"/>
    <s v="A-acb7f7"/>
    <d v="2024-07-15T00:00:00"/>
    <m/>
    <x v="0"/>
    <n v="32"/>
    <n v="6368"/>
    <n v="76416"/>
    <x v="0"/>
    <b v="0"/>
    <b v="0"/>
    <b v="0"/>
    <x v="0"/>
    <b v="1"/>
  </r>
  <r>
    <s v="S-d7ee6f"/>
    <s v="A-35083d"/>
    <d v="2023-08-10T00:00:00"/>
    <m/>
    <x v="0"/>
    <n v="19"/>
    <n v="3781"/>
    <n v="45372"/>
    <x v="0"/>
    <b v="1"/>
    <b v="0"/>
    <b v="0"/>
    <x v="1"/>
    <b v="1"/>
  </r>
  <r>
    <s v="S-3663bb"/>
    <s v="A-de24d5"/>
    <d v="2024-12-19T00:00:00"/>
    <m/>
    <x v="0"/>
    <n v="5"/>
    <n v="0"/>
    <n v="0"/>
    <x v="1"/>
    <b v="0"/>
    <b v="0"/>
    <b v="0"/>
    <x v="0"/>
    <b v="1"/>
  </r>
  <r>
    <s v="S-81cd46"/>
    <s v="A-ced9aa"/>
    <d v="2024-10-11T00:00:00"/>
    <m/>
    <x v="0"/>
    <n v="6"/>
    <n v="1194"/>
    <n v="14328"/>
    <x v="0"/>
    <b v="0"/>
    <b v="0"/>
    <b v="0"/>
    <x v="1"/>
    <b v="1"/>
  </r>
  <r>
    <s v="S-e6678a"/>
    <s v="A-54ecc2"/>
    <d v="2023-08-16T00:00:00"/>
    <m/>
    <x v="1"/>
    <n v="4"/>
    <n v="196"/>
    <n v="2352"/>
    <x v="0"/>
    <b v="0"/>
    <b v="0"/>
    <b v="0"/>
    <x v="1"/>
    <b v="0"/>
  </r>
  <r>
    <s v="S-69b66d"/>
    <s v="A-6da850"/>
    <d v="2024-01-08T00:00:00"/>
    <m/>
    <x v="2"/>
    <n v="25"/>
    <n v="475"/>
    <n v="5700"/>
    <x v="0"/>
    <b v="1"/>
    <b v="0"/>
    <b v="0"/>
    <x v="1"/>
    <b v="1"/>
  </r>
  <r>
    <s v="S-68565b"/>
    <s v="A-5c046d"/>
    <d v="2024-12-02T00:00:00"/>
    <m/>
    <x v="2"/>
    <n v="93"/>
    <n v="1767"/>
    <n v="21204"/>
    <x v="0"/>
    <b v="0"/>
    <b v="0"/>
    <b v="0"/>
    <x v="1"/>
    <b v="0"/>
  </r>
  <r>
    <s v="S-00b0bc"/>
    <s v="A-089363"/>
    <d v="2024-12-12T00:00:00"/>
    <m/>
    <x v="0"/>
    <n v="9"/>
    <n v="0"/>
    <n v="0"/>
    <x v="1"/>
    <b v="0"/>
    <b v="0"/>
    <b v="0"/>
    <x v="1"/>
    <b v="1"/>
  </r>
  <r>
    <s v="S-f6ca9e"/>
    <s v="A-c7ffc2"/>
    <d v="2024-10-27T00:00:00"/>
    <m/>
    <x v="0"/>
    <n v="30"/>
    <n v="5970"/>
    <n v="71640"/>
    <x v="0"/>
    <b v="0"/>
    <b v="0"/>
    <b v="0"/>
    <x v="1"/>
    <b v="1"/>
  </r>
  <r>
    <s v="S-8fd696"/>
    <s v="A-dec005"/>
    <d v="2024-11-15T00:00:00"/>
    <d v="2024-12-03T00:00:00"/>
    <x v="0"/>
    <n v="54"/>
    <n v="10746"/>
    <n v="128952"/>
    <x v="0"/>
    <b v="0"/>
    <b v="0"/>
    <b v="1"/>
    <x v="1"/>
    <b v="0"/>
  </r>
  <r>
    <s v="S-71cb15"/>
    <s v="A-2d4502"/>
    <d v="2024-12-12T00:00:00"/>
    <m/>
    <x v="0"/>
    <n v="34"/>
    <n v="6766"/>
    <n v="81192"/>
    <x v="0"/>
    <b v="0"/>
    <b v="0"/>
    <b v="0"/>
    <x v="1"/>
    <b v="1"/>
  </r>
  <r>
    <s v="S-37dc91"/>
    <s v="A-a1bbb6"/>
    <d v="2024-10-04T00:00:00"/>
    <m/>
    <x v="1"/>
    <n v="15"/>
    <n v="0"/>
    <n v="0"/>
    <x v="1"/>
    <b v="0"/>
    <b v="0"/>
    <b v="0"/>
    <x v="1"/>
    <b v="1"/>
  </r>
  <r>
    <s v="S-6cf72f"/>
    <s v="A-a8d89d"/>
    <d v="2024-09-24T00:00:00"/>
    <m/>
    <x v="2"/>
    <n v="17"/>
    <n v="0"/>
    <n v="0"/>
    <x v="1"/>
    <b v="1"/>
    <b v="0"/>
    <b v="0"/>
    <x v="0"/>
    <b v="1"/>
  </r>
  <r>
    <s v="S-117d65"/>
    <s v="A-86902e"/>
    <d v="2024-11-30T00:00:00"/>
    <m/>
    <x v="2"/>
    <n v="34"/>
    <n v="646"/>
    <n v="7752"/>
    <x v="0"/>
    <b v="0"/>
    <b v="0"/>
    <b v="0"/>
    <x v="1"/>
    <b v="1"/>
  </r>
  <r>
    <s v="S-529f0c"/>
    <s v="A-592832"/>
    <d v="2024-11-28T00:00:00"/>
    <d v="2024-12-10T00:00:00"/>
    <x v="1"/>
    <n v="18"/>
    <n v="0"/>
    <n v="0"/>
    <x v="1"/>
    <b v="0"/>
    <b v="0"/>
    <b v="1"/>
    <x v="0"/>
    <b v="1"/>
  </r>
  <r>
    <s v="S-3d58c6"/>
    <s v="A-054577"/>
    <d v="2024-06-15T00:00:00"/>
    <m/>
    <x v="2"/>
    <n v="34"/>
    <n v="646"/>
    <n v="7752"/>
    <x v="0"/>
    <b v="0"/>
    <b v="0"/>
    <b v="0"/>
    <x v="0"/>
    <b v="1"/>
  </r>
  <r>
    <s v="S-b33593"/>
    <s v="A-7641d3"/>
    <d v="2023-10-02T00:00:00"/>
    <m/>
    <x v="1"/>
    <n v="11"/>
    <n v="0"/>
    <n v="0"/>
    <x v="1"/>
    <b v="0"/>
    <b v="0"/>
    <b v="0"/>
    <x v="0"/>
    <b v="0"/>
  </r>
  <r>
    <s v="S-c6287d"/>
    <s v="A-075038"/>
    <d v="2024-07-25T00:00:00"/>
    <m/>
    <x v="1"/>
    <n v="17"/>
    <n v="833"/>
    <n v="9996"/>
    <x v="0"/>
    <b v="0"/>
    <b v="0"/>
    <b v="0"/>
    <x v="0"/>
    <b v="1"/>
  </r>
  <r>
    <s v="S-a2cd6a"/>
    <s v="A-508199"/>
    <d v="2024-12-11T00:00:00"/>
    <m/>
    <x v="0"/>
    <n v="19"/>
    <n v="0"/>
    <n v="0"/>
    <x v="1"/>
    <b v="0"/>
    <b v="0"/>
    <b v="0"/>
    <x v="0"/>
    <b v="1"/>
  </r>
  <r>
    <s v="S-30a9dd"/>
    <s v="A-417d2f"/>
    <d v="2024-10-30T00:00:00"/>
    <m/>
    <x v="2"/>
    <n v="8"/>
    <n v="0"/>
    <n v="0"/>
    <x v="1"/>
    <b v="0"/>
    <b v="0"/>
    <b v="0"/>
    <x v="1"/>
    <b v="1"/>
  </r>
  <r>
    <s v="S-eef0cd"/>
    <s v="A-600734"/>
    <d v="2024-01-13T00:00:00"/>
    <m/>
    <x v="1"/>
    <n v="29"/>
    <n v="1421"/>
    <n v="17052"/>
    <x v="0"/>
    <b v="0"/>
    <b v="0"/>
    <b v="0"/>
    <x v="1"/>
    <b v="1"/>
  </r>
  <r>
    <s v="S-15a897"/>
    <s v="A-d26ab4"/>
    <d v="2024-11-08T00:00:00"/>
    <m/>
    <x v="0"/>
    <n v="9"/>
    <n v="0"/>
    <n v="0"/>
    <x v="1"/>
    <b v="0"/>
    <b v="0"/>
    <b v="0"/>
    <x v="1"/>
    <b v="0"/>
  </r>
  <r>
    <s v="S-9ee11d"/>
    <s v="A-104f1a"/>
    <d v="2024-10-11T00:00:00"/>
    <m/>
    <x v="1"/>
    <n v="24"/>
    <n v="1176"/>
    <n v="14112"/>
    <x v="0"/>
    <b v="0"/>
    <b v="0"/>
    <b v="0"/>
    <x v="0"/>
    <b v="1"/>
  </r>
  <r>
    <s v="S-f76252"/>
    <s v="A-560d27"/>
    <d v="2024-10-07T00:00:00"/>
    <m/>
    <x v="2"/>
    <n v="23"/>
    <n v="437"/>
    <n v="5244"/>
    <x v="0"/>
    <b v="0"/>
    <b v="0"/>
    <b v="0"/>
    <x v="1"/>
    <b v="1"/>
  </r>
  <r>
    <s v="S-d920e7"/>
    <s v="A-bc4d48"/>
    <d v="2024-11-28T00:00:00"/>
    <m/>
    <x v="0"/>
    <n v="35"/>
    <n v="6965"/>
    <n v="83580"/>
    <x v="0"/>
    <b v="0"/>
    <b v="0"/>
    <b v="0"/>
    <x v="1"/>
    <b v="0"/>
  </r>
  <r>
    <s v="S-75985b"/>
    <s v="A-3793ee"/>
    <d v="2023-11-25T00:00:00"/>
    <m/>
    <x v="0"/>
    <n v="49"/>
    <n v="0"/>
    <n v="0"/>
    <x v="1"/>
    <b v="0"/>
    <b v="0"/>
    <b v="0"/>
    <x v="0"/>
    <b v="1"/>
  </r>
  <r>
    <s v="S-765a5f"/>
    <s v="A-c9bb3e"/>
    <d v="2024-04-01T00:00:00"/>
    <d v="2024-04-02T00:00:00"/>
    <x v="1"/>
    <n v="35"/>
    <n v="1715"/>
    <n v="20580"/>
    <x v="0"/>
    <b v="0"/>
    <b v="0"/>
    <b v="1"/>
    <x v="1"/>
    <b v="1"/>
  </r>
  <r>
    <s v="S-c318ea"/>
    <s v="A-ccb686"/>
    <d v="2024-08-17T00:00:00"/>
    <m/>
    <x v="0"/>
    <n v="10"/>
    <n v="1990"/>
    <n v="23880"/>
    <x v="0"/>
    <b v="0"/>
    <b v="0"/>
    <b v="0"/>
    <x v="0"/>
    <b v="1"/>
  </r>
  <r>
    <s v="S-964542"/>
    <s v="A-a8b49c"/>
    <d v="2024-09-25T00:00:00"/>
    <m/>
    <x v="0"/>
    <n v="12"/>
    <n v="2388"/>
    <n v="28656"/>
    <x v="0"/>
    <b v="0"/>
    <b v="0"/>
    <b v="0"/>
    <x v="1"/>
    <b v="1"/>
  </r>
  <r>
    <s v="S-6c4770"/>
    <s v="A-fa3095"/>
    <d v="2023-09-18T00:00:00"/>
    <m/>
    <x v="0"/>
    <n v="70"/>
    <n v="0"/>
    <n v="0"/>
    <x v="1"/>
    <b v="0"/>
    <b v="0"/>
    <b v="0"/>
    <x v="0"/>
    <b v="1"/>
  </r>
  <r>
    <s v="S-694277"/>
    <s v="A-34d880"/>
    <d v="2024-10-11T00:00:00"/>
    <m/>
    <x v="0"/>
    <n v="4"/>
    <n v="796"/>
    <n v="9552"/>
    <x v="0"/>
    <b v="0"/>
    <b v="0"/>
    <b v="0"/>
    <x v="0"/>
    <b v="1"/>
  </r>
  <r>
    <s v="S-97fab7"/>
    <s v="A-8ed5dd"/>
    <d v="2024-03-27T00:00:00"/>
    <d v="2024-10-08T00:00:00"/>
    <x v="2"/>
    <n v="5"/>
    <n v="95"/>
    <n v="1140"/>
    <x v="0"/>
    <b v="0"/>
    <b v="0"/>
    <b v="1"/>
    <x v="1"/>
    <b v="0"/>
  </r>
  <r>
    <s v="S-fb4fae"/>
    <s v="A-39b19f"/>
    <d v="2024-03-25T00:00:00"/>
    <d v="2024-05-01T00:00:00"/>
    <x v="0"/>
    <n v="41"/>
    <n v="8159"/>
    <n v="97908"/>
    <x v="0"/>
    <b v="0"/>
    <b v="0"/>
    <b v="1"/>
    <x v="0"/>
    <b v="1"/>
  </r>
  <r>
    <s v="S-7b211a"/>
    <s v="A-e5d6ab"/>
    <d v="2024-11-10T00:00:00"/>
    <m/>
    <x v="1"/>
    <n v="32"/>
    <n v="1568"/>
    <n v="18816"/>
    <x v="0"/>
    <b v="0"/>
    <b v="0"/>
    <b v="0"/>
    <x v="1"/>
    <b v="1"/>
  </r>
  <r>
    <s v="S-da9362"/>
    <s v="A-b2225d"/>
    <d v="2024-05-21T00:00:00"/>
    <m/>
    <x v="2"/>
    <n v="47"/>
    <n v="893"/>
    <n v="10716"/>
    <x v="0"/>
    <b v="0"/>
    <b v="0"/>
    <b v="0"/>
    <x v="1"/>
    <b v="1"/>
  </r>
  <r>
    <s v="S-79b038"/>
    <s v="A-b07b56"/>
    <d v="2024-11-29T00:00:00"/>
    <m/>
    <x v="2"/>
    <n v="25"/>
    <n v="475"/>
    <n v="5700"/>
    <x v="0"/>
    <b v="0"/>
    <b v="0"/>
    <b v="0"/>
    <x v="1"/>
    <b v="1"/>
  </r>
  <r>
    <s v="S-9a6a1b"/>
    <s v="A-c16b88"/>
    <d v="2024-03-09T00:00:00"/>
    <m/>
    <x v="1"/>
    <n v="23"/>
    <n v="0"/>
    <n v="0"/>
    <x v="1"/>
    <b v="0"/>
    <b v="0"/>
    <b v="0"/>
    <x v="1"/>
    <b v="1"/>
  </r>
  <r>
    <s v="S-82348a"/>
    <s v="A-4e960a"/>
    <d v="2024-04-02T00:00:00"/>
    <m/>
    <x v="2"/>
    <n v="12"/>
    <n v="0"/>
    <n v="0"/>
    <x v="1"/>
    <b v="0"/>
    <b v="0"/>
    <b v="0"/>
    <x v="1"/>
    <b v="0"/>
  </r>
  <r>
    <s v="S-df0314"/>
    <s v="A-39ddf4"/>
    <d v="2024-12-21T00:00:00"/>
    <m/>
    <x v="1"/>
    <n v="40"/>
    <n v="1960"/>
    <n v="23520"/>
    <x v="0"/>
    <b v="0"/>
    <b v="0"/>
    <b v="0"/>
    <x v="0"/>
    <b v="1"/>
  </r>
  <r>
    <s v="S-dd5a4c"/>
    <s v="A-716841"/>
    <d v="2024-05-13T00:00:00"/>
    <m/>
    <x v="2"/>
    <n v="161"/>
    <n v="3059"/>
    <n v="36708"/>
    <x v="0"/>
    <b v="0"/>
    <b v="0"/>
    <b v="0"/>
    <x v="1"/>
    <b v="1"/>
  </r>
  <r>
    <s v="S-54bb4e"/>
    <s v="A-54d94a"/>
    <d v="2023-12-16T00:00:00"/>
    <m/>
    <x v="2"/>
    <n v="55"/>
    <n v="1045"/>
    <n v="12540"/>
    <x v="0"/>
    <b v="0"/>
    <b v="0"/>
    <b v="0"/>
    <x v="0"/>
    <b v="1"/>
  </r>
  <r>
    <s v="S-d98caa"/>
    <s v="A-09316c"/>
    <d v="2024-12-29T00:00:00"/>
    <m/>
    <x v="0"/>
    <n v="70"/>
    <n v="13930"/>
    <n v="167160"/>
    <x v="0"/>
    <b v="0"/>
    <b v="0"/>
    <b v="0"/>
    <x v="1"/>
    <b v="1"/>
  </r>
  <r>
    <s v="S-eea4ae"/>
    <s v="A-ffc04f"/>
    <d v="2024-09-14T00:00:00"/>
    <m/>
    <x v="1"/>
    <n v="13"/>
    <n v="0"/>
    <n v="0"/>
    <x v="1"/>
    <b v="0"/>
    <b v="0"/>
    <b v="0"/>
    <x v="0"/>
    <b v="0"/>
  </r>
  <r>
    <s v="S-bd02dd"/>
    <s v="A-eb7fac"/>
    <d v="2023-12-26T00:00:00"/>
    <m/>
    <x v="1"/>
    <n v="12"/>
    <n v="588"/>
    <n v="7056"/>
    <x v="0"/>
    <b v="0"/>
    <b v="0"/>
    <b v="0"/>
    <x v="0"/>
    <b v="1"/>
  </r>
  <r>
    <s v="S-6d4050"/>
    <s v="A-854864"/>
    <d v="2024-12-09T00:00:00"/>
    <m/>
    <x v="0"/>
    <n v="20"/>
    <n v="3980"/>
    <n v="47760"/>
    <x v="0"/>
    <b v="0"/>
    <b v="0"/>
    <b v="0"/>
    <x v="0"/>
    <b v="1"/>
  </r>
  <r>
    <s v="S-3bb329"/>
    <s v="A-1e1b80"/>
    <d v="2024-07-21T00:00:00"/>
    <m/>
    <x v="1"/>
    <n v="50"/>
    <n v="2450"/>
    <n v="29400"/>
    <x v="0"/>
    <b v="0"/>
    <b v="0"/>
    <b v="0"/>
    <x v="0"/>
    <b v="1"/>
  </r>
  <r>
    <s v="S-f639fb"/>
    <s v="A-9f2731"/>
    <d v="2024-10-12T00:00:00"/>
    <m/>
    <x v="1"/>
    <n v="27"/>
    <n v="0"/>
    <n v="0"/>
    <x v="1"/>
    <b v="0"/>
    <b v="0"/>
    <b v="0"/>
    <x v="0"/>
    <b v="1"/>
  </r>
  <r>
    <s v="S-466093"/>
    <s v="A-883b7d"/>
    <d v="2024-08-17T00:00:00"/>
    <m/>
    <x v="2"/>
    <n v="78"/>
    <n v="1482"/>
    <n v="17784"/>
    <x v="0"/>
    <b v="0"/>
    <b v="0"/>
    <b v="0"/>
    <x v="1"/>
    <b v="1"/>
  </r>
  <r>
    <s v="S-8bbfcd"/>
    <s v="A-eb1312"/>
    <d v="2024-12-02T00:00:00"/>
    <m/>
    <x v="2"/>
    <n v="25"/>
    <n v="475"/>
    <n v="5700"/>
    <x v="0"/>
    <b v="0"/>
    <b v="0"/>
    <b v="0"/>
    <x v="1"/>
    <b v="0"/>
  </r>
  <r>
    <s v="S-ff23a7"/>
    <s v="A-35083d"/>
    <d v="2024-08-04T00:00:00"/>
    <m/>
    <x v="1"/>
    <n v="48"/>
    <n v="0"/>
    <n v="0"/>
    <x v="1"/>
    <b v="0"/>
    <b v="0"/>
    <b v="0"/>
    <x v="0"/>
    <b v="1"/>
  </r>
  <r>
    <s v="S-c92099"/>
    <s v="A-7f4db3"/>
    <d v="2024-12-08T00:00:00"/>
    <d v="2024-12-14T00:00:00"/>
    <x v="0"/>
    <n v="24"/>
    <n v="4776"/>
    <n v="57312"/>
    <x v="0"/>
    <b v="0"/>
    <b v="0"/>
    <b v="1"/>
    <x v="1"/>
    <b v="1"/>
  </r>
  <r>
    <s v="S-188518"/>
    <s v="A-86fc1d"/>
    <d v="2024-11-08T00:00:00"/>
    <m/>
    <x v="0"/>
    <n v="26"/>
    <n v="0"/>
    <n v="0"/>
    <x v="1"/>
    <b v="0"/>
    <b v="0"/>
    <b v="0"/>
    <x v="0"/>
    <b v="1"/>
  </r>
  <r>
    <s v="S-4f8c90"/>
    <s v="A-32fb14"/>
    <d v="2024-03-18T00:00:00"/>
    <m/>
    <x v="2"/>
    <n v="29"/>
    <n v="551"/>
    <n v="6612"/>
    <x v="0"/>
    <b v="0"/>
    <b v="0"/>
    <b v="0"/>
    <x v="1"/>
    <b v="1"/>
  </r>
  <r>
    <s v="S-495e57"/>
    <s v="A-bbc346"/>
    <d v="2024-08-31T00:00:00"/>
    <d v="2024-10-26T00:00:00"/>
    <x v="1"/>
    <n v="20"/>
    <n v="980"/>
    <n v="11760"/>
    <x v="0"/>
    <b v="1"/>
    <b v="0"/>
    <b v="1"/>
    <x v="1"/>
    <b v="1"/>
  </r>
  <r>
    <s v="S-3fbf9e"/>
    <s v="A-00bed1"/>
    <d v="2024-04-06T00:00:00"/>
    <m/>
    <x v="1"/>
    <n v="28"/>
    <n v="1372"/>
    <n v="16464"/>
    <x v="0"/>
    <b v="0"/>
    <b v="0"/>
    <b v="0"/>
    <x v="0"/>
    <b v="1"/>
  </r>
  <r>
    <s v="S-15be1c"/>
    <s v="A-b20d99"/>
    <d v="2024-09-26T00:00:00"/>
    <m/>
    <x v="1"/>
    <n v="27"/>
    <n v="1323"/>
    <n v="15876"/>
    <x v="0"/>
    <b v="0"/>
    <b v="0"/>
    <b v="0"/>
    <x v="0"/>
    <b v="1"/>
  </r>
  <r>
    <s v="S-a18ab0"/>
    <s v="A-309e54"/>
    <d v="2024-12-21T00:00:00"/>
    <m/>
    <x v="1"/>
    <n v="15"/>
    <n v="735"/>
    <n v="8820"/>
    <x v="0"/>
    <b v="0"/>
    <b v="0"/>
    <b v="0"/>
    <x v="0"/>
    <b v="1"/>
  </r>
  <r>
    <s v="S-008cab"/>
    <s v="A-202b67"/>
    <d v="2024-05-31T00:00:00"/>
    <m/>
    <x v="1"/>
    <n v="11"/>
    <n v="539"/>
    <n v="6468"/>
    <x v="0"/>
    <b v="0"/>
    <b v="0"/>
    <b v="0"/>
    <x v="0"/>
    <b v="0"/>
  </r>
  <r>
    <s v="S-09950d"/>
    <s v="A-5f2961"/>
    <d v="2024-11-27T00:00:00"/>
    <m/>
    <x v="0"/>
    <n v="7"/>
    <n v="1393"/>
    <n v="16716"/>
    <x v="0"/>
    <b v="0"/>
    <b v="0"/>
    <b v="0"/>
    <x v="1"/>
    <b v="1"/>
  </r>
  <r>
    <s v="S-8b24a0"/>
    <s v="A-309e54"/>
    <d v="2024-12-29T00:00:00"/>
    <d v="2024-12-30T00:00:00"/>
    <x v="1"/>
    <n v="33"/>
    <n v="1617"/>
    <n v="19404"/>
    <x v="0"/>
    <b v="0"/>
    <b v="0"/>
    <b v="1"/>
    <x v="0"/>
    <b v="1"/>
  </r>
  <r>
    <s v="S-648618"/>
    <s v="A-726cfa"/>
    <d v="2023-09-07T00:00:00"/>
    <m/>
    <x v="1"/>
    <n v="21"/>
    <n v="1029"/>
    <n v="12348"/>
    <x v="0"/>
    <b v="0"/>
    <b v="0"/>
    <b v="0"/>
    <x v="0"/>
    <b v="0"/>
  </r>
  <r>
    <s v="S-d9659f"/>
    <s v="A-aa9511"/>
    <d v="2024-07-04T00:00:00"/>
    <m/>
    <x v="0"/>
    <n v="23"/>
    <n v="4577"/>
    <n v="54924"/>
    <x v="0"/>
    <b v="0"/>
    <b v="0"/>
    <b v="0"/>
    <x v="1"/>
    <b v="0"/>
  </r>
  <r>
    <s v="S-ddbad0"/>
    <s v="A-bad8c1"/>
    <d v="2023-09-16T00:00:00"/>
    <m/>
    <x v="2"/>
    <n v="42"/>
    <n v="798"/>
    <n v="9576"/>
    <x v="0"/>
    <b v="0"/>
    <b v="0"/>
    <b v="0"/>
    <x v="0"/>
    <b v="1"/>
  </r>
  <r>
    <s v="S-1f9da0"/>
    <s v="A-977ca0"/>
    <d v="2023-10-15T00:00:00"/>
    <m/>
    <x v="2"/>
    <n v="11"/>
    <n v="209"/>
    <n v="2508"/>
    <x v="0"/>
    <b v="0"/>
    <b v="0"/>
    <b v="0"/>
    <x v="0"/>
    <b v="0"/>
  </r>
  <r>
    <s v="S-74f146"/>
    <s v="A-18793f"/>
    <d v="2024-12-23T00:00:00"/>
    <m/>
    <x v="1"/>
    <n v="148"/>
    <n v="7252"/>
    <n v="87024"/>
    <x v="0"/>
    <b v="0"/>
    <b v="0"/>
    <b v="0"/>
    <x v="0"/>
    <b v="1"/>
  </r>
  <r>
    <s v="S-e0179e"/>
    <s v="A-69fad4"/>
    <d v="2024-03-24T00:00:00"/>
    <m/>
    <x v="1"/>
    <n v="13"/>
    <n v="0"/>
    <n v="0"/>
    <x v="1"/>
    <b v="0"/>
    <b v="0"/>
    <b v="0"/>
    <x v="0"/>
    <b v="1"/>
  </r>
  <r>
    <s v="S-8055fa"/>
    <s v="A-09540c"/>
    <d v="2024-08-03T00:00:00"/>
    <d v="2024-11-29T00:00:00"/>
    <x v="2"/>
    <n v="67"/>
    <n v="1273"/>
    <n v="15276"/>
    <x v="0"/>
    <b v="0"/>
    <b v="0"/>
    <b v="1"/>
    <x v="0"/>
    <b v="1"/>
  </r>
  <r>
    <s v="S-c1446e"/>
    <s v="A-9289f6"/>
    <d v="2023-11-15T00:00:00"/>
    <m/>
    <x v="0"/>
    <n v="22"/>
    <n v="0"/>
    <n v="0"/>
    <x v="1"/>
    <b v="0"/>
    <b v="0"/>
    <b v="0"/>
    <x v="0"/>
    <b v="1"/>
  </r>
  <r>
    <s v="S-27e9ad"/>
    <s v="A-05f0e5"/>
    <d v="2023-10-18T00:00:00"/>
    <m/>
    <x v="2"/>
    <n v="32"/>
    <n v="608"/>
    <n v="7296"/>
    <x v="0"/>
    <b v="0"/>
    <b v="0"/>
    <b v="0"/>
    <x v="1"/>
    <b v="1"/>
  </r>
  <r>
    <s v="S-c08805"/>
    <s v="A-6f8ad2"/>
    <d v="2024-09-03T00:00:00"/>
    <d v="2024-10-03T00:00:00"/>
    <x v="1"/>
    <n v="18"/>
    <n v="882"/>
    <n v="10584"/>
    <x v="0"/>
    <b v="0"/>
    <b v="0"/>
    <b v="1"/>
    <x v="1"/>
    <b v="1"/>
  </r>
  <r>
    <s v="S-4012d6"/>
    <s v="A-f92792"/>
    <d v="2024-10-31T00:00:00"/>
    <m/>
    <x v="1"/>
    <n v="15"/>
    <n v="735"/>
    <n v="8820"/>
    <x v="0"/>
    <b v="1"/>
    <b v="0"/>
    <b v="0"/>
    <x v="1"/>
    <b v="1"/>
  </r>
  <r>
    <s v="S-4236fa"/>
    <s v="A-4437e4"/>
    <d v="2023-11-17T00:00:00"/>
    <m/>
    <x v="2"/>
    <n v="17"/>
    <n v="323"/>
    <n v="3876"/>
    <x v="0"/>
    <b v="0"/>
    <b v="0"/>
    <b v="0"/>
    <x v="0"/>
    <b v="1"/>
  </r>
  <r>
    <s v="S-a87c2f"/>
    <s v="A-4ae22a"/>
    <d v="2024-05-28T00:00:00"/>
    <d v="2024-10-14T00:00:00"/>
    <x v="0"/>
    <n v="28"/>
    <n v="5572"/>
    <n v="66864"/>
    <x v="0"/>
    <b v="0"/>
    <b v="0"/>
    <b v="1"/>
    <x v="1"/>
    <b v="0"/>
  </r>
  <r>
    <s v="S-3df6ee"/>
    <s v="A-afa505"/>
    <d v="2024-05-10T00:00:00"/>
    <m/>
    <x v="0"/>
    <n v="70"/>
    <n v="13930"/>
    <n v="167160"/>
    <x v="0"/>
    <b v="0"/>
    <b v="0"/>
    <b v="0"/>
    <x v="0"/>
    <b v="1"/>
  </r>
  <r>
    <s v="S-ca9532"/>
    <s v="A-309e54"/>
    <d v="2024-12-14T00:00:00"/>
    <m/>
    <x v="0"/>
    <n v="15"/>
    <n v="2985"/>
    <n v="35820"/>
    <x v="0"/>
    <b v="0"/>
    <b v="0"/>
    <b v="0"/>
    <x v="1"/>
    <b v="1"/>
  </r>
  <r>
    <s v="S-be42e1"/>
    <s v="A-9f2731"/>
    <d v="2024-10-22T00:00:00"/>
    <m/>
    <x v="1"/>
    <n v="39"/>
    <n v="0"/>
    <n v="0"/>
    <x v="1"/>
    <b v="0"/>
    <b v="0"/>
    <b v="0"/>
    <x v="1"/>
    <b v="1"/>
  </r>
  <r>
    <s v="S-7d4d45"/>
    <s v="A-474ad4"/>
    <d v="2023-12-20T00:00:00"/>
    <m/>
    <x v="2"/>
    <n v="17"/>
    <n v="323"/>
    <n v="3876"/>
    <x v="0"/>
    <b v="0"/>
    <b v="0"/>
    <b v="0"/>
    <x v="1"/>
    <b v="1"/>
  </r>
  <r>
    <s v="S-3c5dab"/>
    <s v="A-7da956"/>
    <d v="2024-08-13T00:00:00"/>
    <m/>
    <x v="2"/>
    <n v="13"/>
    <n v="247"/>
    <n v="2964"/>
    <x v="0"/>
    <b v="0"/>
    <b v="0"/>
    <b v="0"/>
    <x v="0"/>
    <b v="1"/>
  </r>
  <r>
    <s v="S-e43d0d"/>
    <s v="A-de24d5"/>
    <d v="2024-11-18T00:00:00"/>
    <m/>
    <x v="0"/>
    <n v="37"/>
    <n v="7363"/>
    <n v="88356"/>
    <x v="0"/>
    <b v="0"/>
    <b v="0"/>
    <b v="0"/>
    <x v="1"/>
    <b v="1"/>
  </r>
  <r>
    <s v="S-f5df4a"/>
    <s v="A-58b9ff"/>
    <d v="2024-06-26T00:00:00"/>
    <m/>
    <x v="1"/>
    <n v="6"/>
    <n v="294"/>
    <n v="3528"/>
    <x v="0"/>
    <b v="0"/>
    <b v="0"/>
    <b v="0"/>
    <x v="1"/>
    <b v="0"/>
  </r>
  <r>
    <s v="S-9925b9"/>
    <s v="A-cea1f0"/>
    <d v="2024-06-01T00:00:00"/>
    <m/>
    <x v="2"/>
    <n v="25"/>
    <n v="475"/>
    <n v="5700"/>
    <x v="0"/>
    <b v="0"/>
    <b v="1"/>
    <b v="0"/>
    <x v="1"/>
    <b v="0"/>
  </r>
  <r>
    <s v="S-1ff580"/>
    <s v="A-6965e1"/>
    <d v="2024-12-26T00:00:00"/>
    <m/>
    <x v="0"/>
    <n v="13"/>
    <n v="2587"/>
    <n v="31044"/>
    <x v="0"/>
    <b v="0"/>
    <b v="0"/>
    <b v="0"/>
    <x v="0"/>
    <b v="0"/>
  </r>
  <r>
    <s v="S-f40285"/>
    <s v="A-bb1eaa"/>
    <d v="2024-07-28T00:00:00"/>
    <m/>
    <x v="2"/>
    <n v="21"/>
    <n v="399"/>
    <n v="4788"/>
    <x v="0"/>
    <b v="0"/>
    <b v="0"/>
    <b v="0"/>
    <x v="0"/>
    <b v="1"/>
  </r>
  <r>
    <s v="S-c59502"/>
    <s v="A-bf7919"/>
    <d v="2024-12-07T00:00:00"/>
    <m/>
    <x v="0"/>
    <n v="3"/>
    <n v="597"/>
    <n v="7164"/>
    <x v="0"/>
    <b v="0"/>
    <b v="0"/>
    <b v="0"/>
    <x v="0"/>
    <b v="1"/>
  </r>
  <r>
    <s v="S-54283b"/>
    <s v="A-4c56c9"/>
    <d v="2024-08-27T00:00:00"/>
    <d v="2024-11-03T00:00:00"/>
    <x v="0"/>
    <n v="49"/>
    <n v="9751"/>
    <n v="117012"/>
    <x v="0"/>
    <b v="0"/>
    <b v="0"/>
    <b v="1"/>
    <x v="0"/>
    <b v="1"/>
  </r>
  <r>
    <s v="S-b48787"/>
    <s v="A-02fac6"/>
    <d v="2023-10-21T00:00:00"/>
    <m/>
    <x v="1"/>
    <n v="22"/>
    <n v="1078"/>
    <n v="12936"/>
    <x v="0"/>
    <b v="0"/>
    <b v="0"/>
    <b v="0"/>
    <x v="1"/>
    <b v="1"/>
  </r>
  <r>
    <s v="S-d859b7"/>
    <s v="A-66224b"/>
    <d v="2024-12-30T00:00:00"/>
    <m/>
    <x v="0"/>
    <n v="92"/>
    <n v="0"/>
    <n v="0"/>
    <x v="1"/>
    <b v="0"/>
    <b v="0"/>
    <b v="0"/>
    <x v="1"/>
    <b v="1"/>
  </r>
  <r>
    <s v="S-49d73e"/>
    <s v="A-f44180"/>
    <d v="2024-06-30T00:00:00"/>
    <m/>
    <x v="0"/>
    <n v="35"/>
    <n v="0"/>
    <n v="0"/>
    <x v="1"/>
    <b v="0"/>
    <b v="0"/>
    <b v="0"/>
    <x v="1"/>
    <b v="1"/>
  </r>
  <r>
    <s v="S-dfad0a"/>
    <s v="A-7d514c"/>
    <d v="2024-09-08T00:00:00"/>
    <m/>
    <x v="2"/>
    <n v="17"/>
    <n v="0"/>
    <n v="0"/>
    <x v="1"/>
    <b v="0"/>
    <b v="0"/>
    <b v="0"/>
    <x v="0"/>
    <b v="1"/>
  </r>
  <r>
    <s v="S-dec1fb"/>
    <s v="A-297a2d"/>
    <d v="2023-08-30T00:00:00"/>
    <m/>
    <x v="0"/>
    <n v="36"/>
    <n v="7164"/>
    <n v="85968"/>
    <x v="0"/>
    <b v="1"/>
    <b v="0"/>
    <b v="0"/>
    <x v="0"/>
    <b v="0"/>
  </r>
  <r>
    <s v="S-90a6c9"/>
    <s v="A-c37cab"/>
    <d v="2024-10-18T00:00:00"/>
    <m/>
    <x v="1"/>
    <n v="46"/>
    <n v="0"/>
    <n v="0"/>
    <x v="1"/>
    <b v="0"/>
    <b v="0"/>
    <b v="0"/>
    <x v="0"/>
    <b v="1"/>
  </r>
  <r>
    <s v="S-e339fb"/>
    <s v="A-c1e51e"/>
    <d v="2024-10-31T00:00:00"/>
    <d v="2024-12-18T00:00:00"/>
    <x v="0"/>
    <n v="14"/>
    <n v="2786"/>
    <n v="33432"/>
    <x v="0"/>
    <b v="0"/>
    <b v="0"/>
    <b v="1"/>
    <x v="1"/>
    <b v="1"/>
  </r>
  <r>
    <s v="S-f4a92a"/>
    <s v="A-ccb686"/>
    <d v="2024-02-02T00:00:00"/>
    <m/>
    <x v="1"/>
    <n v="14"/>
    <n v="686"/>
    <n v="8232"/>
    <x v="0"/>
    <b v="0"/>
    <b v="0"/>
    <b v="0"/>
    <x v="1"/>
    <b v="0"/>
  </r>
  <r>
    <s v="S-d1f7ad"/>
    <s v="A-c222ab"/>
    <d v="2024-10-31T00:00:00"/>
    <d v="2024-11-29T00:00:00"/>
    <x v="2"/>
    <n v="32"/>
    <n v="608"/>
    <n v="7296"/>
    <x v="0"/>
    <b v="0"/>
    <b v="0"/>
    <b v="1"/>
    <x v="1"/>
    <b v="0"/>
  </r>
  <r>
    <s v="S-81fc45"/>
    <s v="A-5a215a"/>
    <d v="2024-02-05T00:00:00"/>
    <m/>
    <x v="1"/>
    <n v="87"/>
    <n v="0"/>
    <n v="0"/>
    <x v="1"/>
    <b v="0"/>
    <b v="0"/>
    <b v="0"/>
    <x v="1"/>
    <b v="1"/>
  </r>
  <r>
    <s v="S-a25ed2"/>
    <s v="A-65aeb5"/>
    <d v="2024-08-19T00:00:00"/>
    <d v="2024-09-25T00:00:00"/>
    <x v="0"/>
    <n v="9"/>
    <n v="1791"/>
    <n v="21492"/>
    <x v="0"/>
    <b v="0"/>
    <b v="0"/>
    <b v="1"/>
    <x v="0"/>
    <b v="1"/>
  </r>
  <r>
    <s v="S-51b3ed"/>
    <s v="A-702032"/>
    <d v="2024-10-28T00:00:00"/>
    <m/>
    <x v="2"/>
    <n v="28"/>
    <n v="532"/>
    <n v="6384"/>
    <x v="0"/>
    <b v="1"/>
    <b v="0"/>
    <b v="0"/>
    <x v="1"/>
    <b v="1"/>
  </r>
  <r>
    <s v="S-d604ec"/>
    <s v="A-67be94"/>
    <d v="2023-08-29T00:00:00"/>
    <m/>
    <x v="2"/>
    <n v="26"/>
    <n v="494"/>
    <n v="5928"/>
    <x v="0"/>
    <b v="0"/>
    <b v="0"/>
    <b v="0"/>
    <x v="0"/>
    <b v="1"/>
  </r>
  <r>
    <s v="S-864b0c"/>
    <s v="A-f25509"/>
    <d v="2024-07-14T00:00:00"/>
    <m/>
    <x v="0"/>
    <n v="32"/>
    <n v="6368"/>
    <n v="76416"/>
    <x v="0"/>
    <b v="0"/>
    <b v="0"/>
    <b v="0"/>
    <x v="1"/>
    <b v="1"/>
  </r>
  <r>
    <s v="S-4c4852"/>
    <s v="A-71615e"/>
    <d v="2024-11-06T00:00:00"/>
    <m/>
    <x v="2"/>
    <n v="73"/>
    <n v="0"/>
    <n v="0"/>
    <x v="1"/>
    <b v="0"/>
    <b v="0"/>
    <b v="0"/>
    <x v="0"/>
    <b v="1"/>
  </r>
  <r>
    <s v="S-7576bd"/>
    <s v="A-354f12"/>
    <d v="2024-10-18T00:00:00"/>
    <m/>
    <x v="0"/>
    <n v="9"/>
    <n v="1791"/>
    <n v="21492"/>
    <x v="0"/>
    <b v="0"/>
    <b v="0"/>
    <b v="0"/>
    <x v="1"/>
    <b v="1"/>
  </r>
  <r>
    <s v="S-b41269"/>
    <s v="A-e5d6ab"/>
    <d v="2024-03-23T00:00:00"/>
    <m/>
    <x v="0"/>
    <n v="15"/>
    <n v="2985"/>
    <n v="35820"/>
    <x v="0"/>
    <b v="0"/>
    <b v="0"/>
    <b v="0"/>
    <x v="1"/>
    <b v="1"/>
  </r>
  <r>
    <s v="S-786a36"/>
    <s v="A-5ed98d"/>
    <d v="2024-07-18T00:00:00"/>
    <m/>
    <x v="0"/>
    <n v="24"/>
    <n v="4776"/>
    <n v="57312"/>
    <x v="0"/>
    <b v="0"/>
    <b v="0"/>
    <b v="0"/>
    <x v="1"/>
    <b v="1"/>
  </r>
  <r>
    <s v="S-264c8a"/>
    <s v="A-34d880"/>
    <d v="2024-06-26T00:00:00"/>
    <m/>
    <x v="0"/>
    <n v="7"/>
    <n v="0"/>
    <n v="0"/>
    <x v="1"/>
    <b v="0"/>
    <b v="0"/>
    <b v="0"/>
    <x v="0"/>
    <b v="1"/>
  </r>
  <r>
    <s v="S-196e49"/>
    <s v="A-0b0d6d"/>
    <d v="2024-12-30T00:00:00"/>
    <m/>
    <x v="2"/>
    <n v="12"/>
    <n v="228"/>
    <n v="2736"/>
    <x v="0"/>
    <b v="0"/>
    <b v="0"/>
    <b v="0"/>
    <x v="0"/>
    <b v="1"/>
  </r>
  <r>
    <s v="S-cda242"/>
    <s v="A-71615e"/>
    <d v="2024-10-10T00:00:00"/>
    <m/>
    <x v="1"/>
    <n v="22"/>
    <n v="1078"/>
    <n v="12936"/>
    <x v="0"/>
    <b v="1"/>
    <b v="0"/>
    <b v="0"/>
    <x v="1"/>
    <b v="1"/>
  </r>
  <r>
    <s v="S-c3d6a2"/>
    <s v="A-7f29a7"/>
    <d v="2024-12-03T00:00:00"/>
    <m/>
    <x v="2"/>
    <n v="41"/>
    <n v="779"/>
    <n v="9348"/>
    <x v="0"/>
    <b v="0"/>
    <b v="0"/>
    <b v="0"/>
    <x v="1"/>
    <b v="1"/>
  </r>
  <r>
    <s v="S-43c737"/>
    <s v="A-65aeb5"/>
    <d v="2024-09-01T00:00:00"/>
    <m/>
    <x v="0"/>
    <n v="9"/>
    <n v="1791"/>
    <n v="21492"/>
    <x v="0"/>
    <b v="0"/>
    <b v="0"/>
    <b v="0"/>
    <x v="1"/>
    <b v="1"/>
  </r>
  <r>
    <s v="S-021ca9"/>
    <s v="A-9affe6"/>
    <d v="2024-10-01T00:00:00"/>
    <m/>
    <x v="2"/>
    <n v="18"/>
    <n v="342"/>
    <n v="4104"/>
    <x v="0"/>
    <b v="0"/>
    <b v="0"/>
    <b v="0"/>
    <x v="0"/>
    <b v="1"/>
  </r>
  <r>
    <s v="S-576aec"/>
    <s v="A-7e0a10"/>
    <d v="2023-12-07T00:00:00"/>
    <m/>
    <x v="1"/>
    <n v="46"/>
    <n v="2254"/>
    <n v="27048"/>
    <x v="0"/>
    <b v="0"/>
    <b v="0"/>
    <b v="0"/>
    <x v="0"/>
    <b v="0"/>
  </r>
  <r>
    <s v="S-6485d5"/>
    <s v="A-ac9111"/>
    <d v="2024-06-16T00:00:00"/>
    <m/>
    <x v="0"/>
    <n v="21"/>
    <n v="4179"/>
    <n v="50148"/>
    <x v="0"/>
    <b v="0"/>
    <b v="0"/>
    <b v="0"/>
    <x v="0"/>
    <b v="1"/>
  </r>
  <r>
    <s v="S-de7a48"/>
    <s v="A-ccc747"/>
    <d v="2024-10-15T00:00:00"/>
    <d v="2024-12-30T00:00:00"/>
    <x v="1"/>
    <n v="23"/>
    <n v="1127"/>
    <n v="13524"/>
    <x v="0"/>
    <b v="0"/>
    <b v="0"/>
    <b v="1"/>
    <x v="1"/>
    <b v="1"/>
  </r>
  <r>
    <s v="S-7d5bf1"/>
    <s v="A-92a3af"/>
    <d v="2024-09-19T00:00:00"/>
    <m/>
    <x v="0"/>
    <n v="27"/>
    <n v="5373"/>
    <n v="64476"/>
    <x v="0"/>
    <b v="0"/>
    <b v="0"/>
    <b v="0"/>
    <x v="0"/>
    <b v="1"/>
  </r>
  <r>
    <s v="S-83ee75"/>
    <s v="A-439b2f"/>
    <d v="2024-12-27T00:00:00"/>
    <m/>
    <x v="1"/>
    <n v="26"/>
    <n v="1274"/>
    <n v="15288"/>
    <x v="0"/>
    <b v="1"/>
    <b v="0"/>
    <b v="0"/>
    <x v="0"/>
    <b v="1"/>
  </r>
  <r>
    <s v="S-5ddeef"/>
    <s v="A-712f1c"/>
    <d v="2024-01-28T00:00:00"/>
    <m/>
    <x v="1"/>
    <n v="58"/>
    <n v="0"/>
    <n v="0"/>
    <x v="1"/>
    <b v="0"/>
    <b v="0"/>
    <b v="0"/>
    <x v="1"/>
    <b v="0"/>
  </r>
  <r>
    <s v="S-25270a"/>
    <s v="A-de24d5"/>
    <d v="2024-12-15T00:00:00"/>
    <m/>
    <x v="0"/>
    <n v="13"/>
    <n v="2587"/>
    <n v="31044"/>
    <x v="0"/>
    <b v="0"/>
    <b v="0"/>
    <b v="0"/>
    <x v="1"/>
    <b v="1"/>
  </r>
  <r>
    <s v="S-7e09c4"/>
    <s v="A-118f1c"/>
    <d v="2024-12-21T00:00:00"/>
    <d v="2024-12-31T00:00:00"/>
    <x v="2"/>
    <n v="32"/>
    <n v="608"/>
    <n v="7296"/>
    <x v="0"/>
    <b v="0"/>
    <b v="0"/>
    <b v="1"/>
    <x v="1"/>
    <b v="0"/>
  </r>
  <r>
    <s v="S-9efd1b"/>
    <s v="A-6a4e2d"/>
    <d v="2024-04-06T00:00:00"/>
    <m/>
    <x v="2"/>
    <n v="20"/>
    <n v="380"/>
    <n v="4560"/>
    <x v="0"/>
    <b v="0"/>
    <b v="1"/>
    <b v="0"/>
    <x v="0"/>
    <b v="1"/>
  </r>
  <r>
    <s v="S-b8a3b6"/>
    <s v="A-e7beab"/>
    <d v="2024-07-24T00:00:00"/>
    <m/>
    <x v="1"/>
    <n v="57"/>
    <n v="2793"/>
    <n v="33516"/>
    <x v="0"/>
    <b v="0"/>
    <b v="0"/>
    <b v="0"/>
    <x v="1"/>
    <b v="1"/>
  </r>
  <r>
    <s v="S-1db3e6"/>
    <s v="A-c608c8"/>
    <d v="2024-08-28T00:00:00"/>
    <m/>
    <x v="2"/>
    <n v="5"/>
    <n v="95"/>
    <n v="1140"/>
    <x v="0"/>
    <b v="0"/>
    <b v="0"/>
    <b v="0"/>
    <x v="0"/>
    <b v="1"/>
  </r>
  <r>
    <s v="S-17c51e"/>
    <s v="A-462d45"/>
    <d v="2024-11-25T00:00:00"/>
    <d v="2024-12-12T00:00:00"/>
    <x v="1"/>
    <n v="61"/>
    <n v="2989"/>
    <n v="35868"/>
    <x v="0"/>
    <b v="0"/>
    <b v="0"/>
    <b v="1"/>
    <x v="1"/>
    <b v="1"/>
  </r>
  <r>
    <s v="S-b9fe85"/>
    <s v="A-2d1036"/>
    <d v="2024-07-03T00:00:00"/>
    <m/>
    <x v="0"/>
    <n v="69"/>
    <n v="13731"/>
    <n v="164772"/>
    <x v="0"/>
    <b v="0"/>
    <b v="0"/>
    <b v="0"/>
    <x v="0"/>
    <b v="1"/>
  </r>
  <r>
    <s v="S-c62428"/>
    <s v="A-1f0636"/>
    <d v="2024-11-17T00:00:00"/>
    <m/>
    <x v="0"/>
    <n v="105"/>
    <n v="20895"/>
    <n v="250740"/>
    <x v="0"/>
    <b v="0"/>
    <b v="0"/>
    <b v="0"/>
    <x v="1"/>
    <b v="0"/>
  </r>
  <r>
    <s v="S-6eeae1"/>
    <s v="A-c70870"/>
    <d v="2024-12-29T00:00:00"/>
    <m/>
    <x v="1"/>
    <n v="94"/>
    <n v="4606"/>
    <n v="55272"/>
    <x v="0"/>
    <b v="0"/>
    <b v="0"/>
    <b v="0"/>
    <x v="1"/>
    <b v="1"/>
  </r>
  <r>
    <s v="S-79ef9b"/>
    <s v="A-4e960a"/>
    <d v="2024-04-02T00:00:00"/>
    <m/>
    <x v="0"/>
    <n v="23"/>
    <n v="4577"/>
    <n v="54924"/>
    <x v="0"/>
    <b v="0"/>
    <b v="0"/>
    <b v="0"/>
    <x v="1"/>
    <b v="1"/>
  </r>
  <r>
    <s v="S-0455a5"/>
    <s v="A-993085"/>
    <d v="2024-10-22T00:00:00"/>
    <d v="2024-11-10T00:00:00"/>
    <x v="0"/>
    <n v="42"/>
    <n v="8358"/>
    <n v="100296"/>
    <x v="0"/>
    <b v="1"/>
    <b v="0"/>
    <b v="1"/>
    <x v="0"/>
    <b v="0"/>
  </r>
  <r>
    <s v="S-ae093b"/>
    <s v="A-d27f50"/>
    <d v="2024-11-29T00:00:00"/>
    <m/>
    <x v="0"/>
    <n v="44"/>
    <n v="0"/>
    <n v="0"/>
    <x v="1"/>
    <b v="0"/>
    <b v="0"/>
    <b v="0"/>
    <x v="0"/>
    <b v="1"/>
  </r>
  <r>
    <s v="S-72e73f"/>
    <s v="A-dbc825"/>
    <d v="2024-01-26T00:00:00"/>
    <m/>
    <x v="0"/>
    <n v="19"/>
    <n v="3781"/>
    <n v="45372"/>
    <x v="0"/>
    <b v="1"/>
    <b v="0"/>
    <b v="0"/>
    <x v="1"/>
    <b v="0"/>
  </r>
  <r>
    <s v="S-8c118d"/>
    <s v="A-b179bf"/>
    <d v="2024-10-27T00:00:00"/>
    <m/>
    <x v="1"/>
    <n v="43"/>
    <n v="0"/>
    <n v="0"/>
    <x v="1"/>
    <b v="0"/>
    <b v="0"/>
    <b v="0"/>
    <x v="0"/>
    <b v="1"/>
  </r>
  <r>
    <s v="S-ab7a04"/>
    <s v="A-098560"/>
    <d v="2024-09-05T00:00:00"/>
    <m/>
    <x v="2"/>
    <n v="7"/>
    <n v="133"/>
    <n v="1596"/>
    <x v="0"/>
    <b v="0"/>
    <b v="0"/>
    <b v="0"/>
    <x v="1"/>
    <b v="1"/>
  </r>
  <r>
    <s v="S-761518"/>
    <s v="A-00cac8"/>
    <d v="2024-09-05T00:00:00"/>
    <m/>
    <x v="1"/>
    <n v="8"/>
    <n v="392"/>
    <n v="4704"/>
    <x v="0"/>
    <b v="0"/>
    <b v="0"/>
    <b v="0"/>
    <x v="0"/>
    <b v="1"/>
  </r>
  <r>
    <s v="S-f49f24"/>
    <s v="A-ccc747"/>
    <d v="2024-07-14T00:00:00"/>
    <m/>
    <x v="1"/>
    <n v="16"/>
    <n v="784"/>
    <n v="9408"/>
    <x v="0"/>
    <b v="0"/>
    <b v="0"/>
    <b v="0"/>
    <x v="1"/>
    <b v="0"/>
  </r>
  <r>
    <s v="S-22083e"/>
    <s v="A-6e7827"/>
    <d v="2024-12-19T00:00:00"/>
    <m/>
    <x v="1"/>
    <n v="17"/>
    <n v="833"/>
    <n v="9996"/>
    <x v="0"/>
    <b v="0"/>
    <b v="0"/>
    <b v="0"/>
    <x v="1"/>
    <b v="1"/>
  </r>
  <r>
    <s v="S-c14eeb"/>
    <s v="A-fce879"/>
    <d v="2024-09-28T00:00:00"/>
    <m/>
    <x v="2"/>
    <n v="33"/>
    <n v="627"/>
    <n v="7524"/>
    <x v="0"/>
    <b v="0"/>
    <b v="0"/>
    <b v="0"/>
    <x v="0"/>
    <b v="1"/>
  </r>
  <r>
    <s v="S-804965"/>
    <s v="A-157070"/>
    <d v="2024-03-31T00:00:00"/>
    <m/>
    <x v="0"/>
    <n v="35"/>
    <n v="6965"/>
    <n v="83580"/>
    <x v="0"/>
    <b v="0"/>
    <b v="0"/>
    <b v="0"/>
    <x v="0"/>
    <b v="1"/>
  </r>
  <r>
    <s v="S-19abcf"/>
    <s v="A-940b8b"/>
    <d v="2024-09-10T00:00:00"/>
    <m/>
    <x v="1"/>
    <n v="17"/>
    <n v="833"/>
    <n v="9996"/>
    <x v="0"/>
    <b v="0"/>
    <b v="0"/>
    <b v="0"/>
    <x v="1"/>
    <b v="1"/>
  </r>
  <r>
    <s v="S-004d19"/>
    <s v="A-bece89"/>
    <d v="2024-03-03T00:00:00"/>
    <m/>
    <x v="0"/>
    <n v="26"/>
    <n v="5174"/>
    <n v="62088"/>
    <x v="0"/>
    <b v="0"/>
    <b v="0"/>
    <b v="0"/>
    <x v="1"/>
    <b v="1"/>
  </r>
  <r>
    <s v="S-11939f"/>
    <s v="A-40906c"/>
    <d v="2024-10-14T00:00:00"/>
    <m/>
    <x v="2"/>
    <n v="92"/>
    <n v="1748"/>
    <n v="20976"/>
    <x v="0"/>
    <b v="0"/>
    <b v="0"/>
    <b v="0"/>
    <x v="0"/>
    <b v="1"/>
  </r>
  <r>
    <s v="S-6cea1b"/>
    <s v="A-158f4e"/>
    <d v="2024-11-18T00:00:00"/>
    <m/>
    <x v="1"/>
    <n v="61"/>
    <n v="2989"/>
    <n v="35868"/>
    <x v="0"/>
    <b v="0"/>
    <b v="0"/>
    <b v="0"/>
    <x v="0"/>
    <b v="1"/>
  </r>
  <r>
    <s v="S-74be40"/>
    <s v="A-a8d89d"/>
    <d v="2024-04-12T00:00:00"/>
    <m/>
    <x v="0"/>
    <n v="13"/>
    <n v="2587"/>
    <n v="31044"/>
    <x v="0"/>
    <b v="1"/>
    <b v="0"/>
    <b v="0"/>
    <x v="0"/>
    <b v="0"/>
  </r>
  <r>
    <s v="S-8f9410"/>
    <s v="A-098560"/>
    <d v="2024-07-19T00:00:00"/>
    <m/>
    <x v="0"/>
    <n v="3"/>
    <n v="597"/>
    <n v="7164"/>
    <x v="0"/>
    <b v="0"/>
    <b v="0"/>
    <b v="0"/>
    <x v="1"/>
    <b v="1"/>
  </r>
  <r>
    <s v="S-395a98"/>
    <s v="A-c7e58b"/>
    <d v="2024-07-29T00:00:00"/>
    <m/>
    <x v="2"/>
    <n v="16"/>
    <n v="304"/>
    <n v="3648"/>
    <x v="0"/>
    <b v="0"/>
    <b v="0"/>
    <b v="0"/>
    <x v="0"/>
    <b v="1"/>
  </r>
  <r>
    <s v="S-151b22"/>
    <s v="A-533452"/>
    <d v="2024-12-18T00:00:00"/>
    <m/>
    <x v="2"/>
    <n v="9"/>
    <n v="171"/>
    <n v="2052"/>
    <x v="0"/>
    <b v="0"/>
    <b v="0"/>
    <b v="0"/>
    <x v="1"/>
    <b v="1"/>
  </r>
  <r>
    <s v="S-6b0789"/>
    <s v="A-34d880"/>
    <d v="2024-07-04T00:00:00"/>
    <m/>
    <x v="1"/>
    <n v="14"/>
    <n v="686"/>
    <n v="8232"/>
    <x v="0"/>
    <b v="0"/>
    <b v="0"/>
    <b v="0"/>
    <x v="0"/>
    <b v="1"/>
  </r>
  <r>
    <s v="S-f94b9b"/>
    <s v="A-82861f"/>
    <d v="2024-10-16T00:00:00"/>
    <d v="2024-11-08T00:00:00"/>
    <x v="1"/>
    <n v="41"/>
    <n v="2009"/>
    <n v="24108"/>
    <x v="0"/>
    <b v="0"/>
    <b v="0"/>
    <b v="1"/>
    <x v="1"/>
    <b v="1"/>
  </r>
  <r>
    <s v="S-0e068c"/>
    <s v="A-40de06"/>
    <d v="2024-09-13T00:00:00"/>
    <m/>
    <x v="2"/>
    <n v="60"/>
    <n v="1140"/>
    <n v="13680"/>
    <x v="0"/>
    <b v="0"/>
    <b v="0"/>
    <b v="0"/>
    <x v="1"/>
    <b v="1"/>
  </r>
  <r>
    <s v="S-212fc4"/>
    <s v="A-c608c8"/>
    <d v="2023-10-15T00:00:00"/>
    <m/>
    <x v="0"/>
    <n v="6"/>
    <n v="1194"/>
    <n v="14328"/>
    <x v="0"/>
    <b v="0"/>
    <b v="0"/>
    <b v="0"/>
    <x v="0"/>
    <b v="1"/>
  </r>
  <r>
    <s v="S-eec056"/>
    <s v="A-c222ab"/>
    <d v="2024-10-07T00:00:00"/>
    <m/>
    <x v="2"/>
    <n v="32"/>
    <n v="608"/>
    <n v="7296"/>
    <x v="0"/>
    <b v="1"/>
    <b v="0"/>
    <b v="0"/>
    <x v="0"/>
    <b v="1"/>
  </r>
  <r>
    <s v="S-28e360"/>
    <s v="A-ad64c6"/>
    <d v="2024-11-20T00:00:00"/>
    <m/>
    <x v="0"/>
    <n v="28"/>
    <n v="5572"/>
    <n v="66864"/>
    <x v="0"/>
    <b v="0"/>
    <b v="0"/>
    <b v="0"/>
    <x v="1"/>
    <b v="1"/>
  </r>
  <r>
    <s v="S-52119f"/>
    <s v="A-02fac6"/>
    <d v="2023-11-20T00:00:00"/>
    <m/>
    <x v="0"/>
    <n v="22"/>
    <n v="4378"/>
    <n v="52536"/>
    <x v="0"/>
    <b v="0"/>
    <b v="0"/>
    <b v="0"/>
    <x v="0"/>
    <b v="1"/>
  </r>
  <r>
    <s v="S-008f3c"/>
    <s v="A-e98302"/>
    <d v="2024-12-23T00:00:00"/>
    <d v="2024-12-28T00:00:00"/>
    <x v="1"/>
    <n v="58"/>
    <n v="2842"/>
    <n v="34104"/>
    <x v="0"/>
    <b v="0"/>
    <b v="0"/>
    <b v="1"/>
    <x v="1"/>
    <b v="1"/>
  </r>
  <r>
    <s v="S-82c91a"/>
    <s v="A-462d45"/>
    <d v="2024-12-10T00:00:00"/>
    <m/>
    <x v="1"/>
    <n v="30"/>
    <n v="1470"/>
    <n v="17640"/>
    <x v="0"/>
    <b v="0"/>
    <b v="0"/>
    <b v="0"/>
    <x v="1"/>
    <b v="1"/>
  </r>
  <r>
    <s v="S-fcab86"/>
    <s v="A-9f0b68"/>
    <d v="2024-08-04T00:00:00"/>
    <m/>
    <x v="0"/>
    <n v="17"/>
    <n v="3383"/>
    <n v="40596"/>
    <x v="0"/>
    <b v="0"/>
    <b v="0"/>
    <b v="0"/>
    <x v="1"/>
    <b v="1"/>
  </r>
  <r>
    <s v="S-92b77f"/>
    <s v="A-7dacce"/>
    <d v="2024-11-27T00:00:00"/>
    <m/>
    <x v="1"/>
    <n v="12"/>
    <n v="588"/>
    <n v="7056"/>
    <x v="0"/>
    <b v="0"/>
    <b v="0"/>
    <b v="0"/>
    <x v="1"/>
    <b v="0"/>
  </r>
  <r>
    <s v="S-099dbc"/>
    <s v="A-812c5b"/>
    <d v="2024-07-21T00:00:00"/>
    <m/>
    <x v="1"/>
    <n v="55"/>
    <n v="2695"/>
    <n v="32340"/>
    <x v="0"/>
    <b v="0"/>
    <b v="0"/>
    <b v="0"/>
    <x v="0"/>
    <b v="1"/>
  </r>
  <r>
    <s v="S-da7f1f"/>
    <s v="A-1f0ac7"/>
    <d v="2023-12-04T00:00:00"/>
    <m/>
    <x v="1"/>
    <n v="24"/>
    <n v="1176"/>
    <n v="14112"/>
    <x v="0"/>
    <b v="0"/>
    <b v="0"/>
    <b v="0"/>
    <x v="0"/>
    <b v="0"/>
  </r>
  <r>
    <s v="S-62641a"/>
    <s v="A-4c56c9"/>
    <d v="2024-11-29T00:00:00"/>
    <d v="2024-12-03T00:00:00"/>
    <x v="0"/>
    <n v="18"/>
    <n v="3582"/>
    <n v="42984"/>
    <x v="0"/>
    <b v="0"/>
    <b v="0"/>
    <b v="1"/>
    <x v="0"/>
    <b v="0"/>
  </r>
  <r>
    <s v="S-2c3b6d"/>
    <s v="A-a2485e"/>
    <d v="2024-12-05T00:00:00"/>
    <m/>
    <x v="0"/>
    <n v="17"/>
    <n v="3383"/>
    <n v="40596"/>
    <x v="0"/>
    <b v="0"/>
    <b v="0"/>
    <b v="0"/>
    <x v="1"/>
    <b v="1"/>
  </r>
  <r>
    <s v="S-3e0c24"/>
    <s v="A-271f46"/>
    <d v="2023-03-29T00:00:00"/>
    <m/>
    <x v="2"/>
    <n v="38"/>
    <n v="722"/>
    <n v="8664"/>
    <x v="0"/>
    <b v="0"/>
    <b v="0"/>
    <b v="0"/>
    <x v="1"/>
    <b v="1"/>
  </r>
  <r>
    <s v="S-9d7fa9"/>
    <s v="A-a865bd"/>
    <d v="2024-01-17T00:00:00"/>
    <m/>
    <x v="1"/>
    <n v="38"/>
    <n v="1862"/>
    <n v="22344"/>
    <x v="0"/>
    <b v="0"/>
    <b v="0"/>
    <b v="0"/>
    <x v="0"/>
    <b v="1"/>
  </r>
  <r>
    <s v="S-9f13f8"/>
    <s v="A-f3ff05"/>
    <d v="2024-10-07T00:00:00"/>
    <m/>
    <x v="2"/>
    <n v="2"/>
    <n v="38"/>
    <n v="456"/>
    <x v="0"/>
    <b v="0"/>
    <b v="0"/>
    <b v="0"/>
    <x v="1"/>
    <b v="1"/>
  </r>
  <r>
    <s v="S-0359cf"/>
    <s v="A-afa505"/>
    <d v="2024-02-10T00:00:00"/>
    <m/>
    <x v="1"/>
    <n v="70"/>
    <n v="0"/>
    <n v="0"/>
    <x v="1"/>
    <b v="0"/>
    <b v="0"/>
    <b v="0"/>
    <x v="1"/>
    <b v="0"/>
  </r>
  <r>
    <s v="S-f29976"/>
    <s v="A-977ca0"/>
    <d v="2023-06-10T00:00:00"/>
    <m/>
    <x v="1"/>
    <n v="6"/>
    <n v="0"/>
    <n v="0"/>
    <x v="1"/>
    <b v="0"/>
    <b v="0"/>
    <b v="0"/>
    <x v="1"/>
    <b v="1"/>
  </r>
  <r>
    <s v="S-23281c"/>
    <s v="A-69fad4"/>
    <d v="2023-07-24T00:00:00"/>
    <m/>
    <x v="2"/>
    <n v="15"/>
    <n v="285"/>
    <n v="3420"/>
    <x v="0"/>
    <b v="0"/>
    <b v="0"/>
    <b v="0"/>
    <x v="0"/>
    <b v="1"/>
  </r>
  <r>
    <s v="S-b4536d"/>
    <s v="A-7a0d69"/>
    <d v="2024-11-20T00:00:00"/>
    <m/>
    <x v="2"/>
    <n v="20"/>
    <n v="380"/>
    <n v="4560"/>
    <x v="0"/>
    <b v="0"/>
    <b v="0"/>
    <b v="0"/>
    <x v="1"/>
    <b v="1"/>
  </r>
  <r>
    <s v="S-e5a001"/>
    <s v="A-922109"/>
    <d v="2024-10-20T00:00:00"/>
    <m/>
    <x v="2"/>
    <n v="9"/>
    <n v="0"/>
    <n v="0"/>
    <x v="1"/>
    <b v="0"/>
    <b v="0"/>
    <b v="0"/>
    <x v="0"/>
    <b v="1"/>
  </r>
  <r>
    <s v="S-d56a2c"/>
    <s v="A-751bd4"/>
    <d v="2024-10-29T00:00:00"/>
    <m/>
    <x v="1"/>
    <n v="35"/>
    <n v="0"/>
    <n v="0"/>
    <x v="1"/>
    <b v="0"/>
    <b v="0"/>
    <b v="0"/>
    <x v="1"/>
    <b v="1"/>
  </r>
  <r>
    <s v="S-5ab139"/>
    <s v="A-30b4ca"/>
    <d v="2024-05-24T00:00:00"/>
    <m/>
    <x v="0"/>
    <n v="86"/>
    <n v="17114"/>
    <n v="205368"/>
    <x v="0"/>
    <b v="0"/>
    <b v="0"/>
    <b v="0"/>
    <x v="1"/>
    <b v="1"/>
  </r>
  <r>
    <s v="S-1e5fd7"/>
    <s v="A-ac9111"/>
    <d v="2024-10-18T00:00:00"/>
    <m/>
    <x v="2"/>
    <n v="21"/>
    <n v="399"/>
    <n v="4788"/>
    <x v="0"/>
    <b v="0"/>
    <b v="0"/>
    <b v="0"/>
    <x v="0"/>
    <b v="1"/>
  </r>
  <r>
    <s v="S-1c7a41"/>
    <s v="A-4f18f0"/>
    <d v="2024-12-20T00:00:00"/>
    <m/>
    <x v="2"/>
    <n v="24"/>
    <n v="456"/>
    <n v="5472"/>
    <x v="0"/>
    <b v="0"/>
    <b v="0"/>
    <b v="0"/>
    <x v="0"/>
    <b v="1"/>
  </r>
  <r>
    <s v="S-b7feb8"/>
    <s v="A-075038"/>
    <d v="2024-05-08T00:00:00"/>
    <m/>
    <x v="2"/>
    <n v="37"/>
    <n v="703"/>
    <n v="8436"/>
    <x v="0"/>
    <b v="0"/>
    <b v="0"/>
    <b v="0"/>
    <x v="1"/>
    <b v="0"/>
  </r>
  <r>
    <s v="S-b89456"/>
    <s v="A-13466a"/>
    <d v="2024-09-01T00:00:00"/>
    <d v="2024-12-31T00:00:00"/>
    <x v="0"/>
    <n v="4"/>
    <n v="796"/>
    <n v="9552"/>
    <x v="0"/>
    <b v="0"/>
    <b v="0"/>
    <b v="1"/>
    <x v="0"/>
    <b v="1"/>
  </r>
  <r>
    <s v="S-e93577"/>
    <s v="A-bb2f49"/>
    <d v="2024-11-14T00:00:00"/>
    <m/>
    <x v="1"/>
    <n v="85"/>
    <n v="4165"/>
    <n v="49980"/>
    <x v="0"/>
    <b v="1"/>
    <b v="0"/>
    <b v="0"/>
    <x v="0"/>
    <b v="1"/>
  </r>
  <r>
    <s v="S-69a2d8"/>
    <s v="A-dcc2f0"/>
    <d v="2023-12-03T00:00:00"/>
    <m/>
    <x v="1"/>
    <n v="15"/>
    <n v="735"/>
    <n v="8820"/>
    <x v="0"/>
    <b v="0"/>
    <b v="0"/>
    <b v="0"/>
    <x v="0"/>
    <b v="1"/>
  </r>
  <r>
    <s v="S-00fb6e"/>
    <s v="A-c16101"/>
    <d v="2024-10-22T00:00:00"/>
    <m/>
    <x v="2"/>
    <n v="13"/>
    <n v="247"/>
    <n v="2964"/>
    <x v="0"/>
    <b v="0"/>
    <b v="0"/>
    <b v="0"/>
    <x v="0"/>
    <b v="1"/>
  </r>
  <r>
    <s v="S-26bc22"/>
    <s v="A-59f724"/>
    <d v="2024-07-23T00:00:00"/>
    <m/>
    <x v="0"/>
    <n v="3"/>
    <n v="597"/>
    <n v="7164"/>
    <x v="0"/>
    <b v="1"/>
    <b v="0"/>
    <b v="0"/>
    <x v="1"/>
    <b v="0"/>
  </r>
  <r>
    <s v="S-77ba64"/>
    <s v="A-bd4513"/>
    <d v="2024-11-16T00:00:00"/>
    <m/>
    <x v="2"/>
    <n v="66"/>
    <n v="1254"/>
    <n v="15048"/>
    <x v="0"/>
    <b v="1"/>
    <b v="0"/>
    <b v="0"/>
    <x v="1"/>
    <b v="1"/>
  </r>
  <r>
    <s v="S-6f04a4"/>
    <s v="A-417d2f"/>
    <d v="2024-09-14T00:00:00"/>
    <m/>
    <x v="1"/>
    <n v="4"/>
    <n v="196"/>
    <n v="2352"/>
    <x v="0"/>
    <b v="0"/>
    <b v="0"/>
    <b v="0"/>
    <x v="0"/>
    <b v="1"/>
  </r>
  <r>
    <s v="S-0268ba"/>
    <s v="A-9f0b68"/>
    <d v="2024-07-20T00:00:00"/>
    <m/>
    <x v="0"/>
    <n v="33"/>
    <n v="6567"/>
    <n v="78804"/>
    <x v="0"/>
    <b v="0"/>
    <b v="0"/>
    <b v="0"/>
    <x v="1"/>
    <b v="1"/>
  </r>
  <r>
    <s v="S-0abd10"/>
    <s v="A-016043"/>
    <d v="2024-11-23T00:00:00"/>
    <d v="2024-12-21T00:00:00"/>
    <x v="0"/>
    <n v="24"/>
    <n v="4776"/>
    <n v="57312"/>
    <x v="0"/>
    <b v="1"/>
    <b v="0"/>
    <b v="1"/>
    <x v="1"/>
    <b v="1"/>
  </r>
  <r>
    <s v="S-dab0d8"/>
    <s v="A-439b2f"/>
    <d v="2024-05-16T00:00:00"/>
    <m/>
    <x v="2"/>
    <n v="6"/>
    <n v="114"/>
    <n v="1368"/>
    <x v="0"/>
    <b v="0"/>
    <b v="0"/>
    <b v="0"/>
    <x v="1"/>
    <b v="1"/>
  </r>
  <r>
    <s v="S-046595"/>
    <s v="A-ed510f"/>
    <d v="2023-12-28T00:00:00"/>
    <m/>
    <x v="0"/>
    <n v="42"/>
    <n v="8358"/>
    <n v="100296"/>
    <x v="0"/>
    <b v="1"/>
    <b v="0"/>
    <b v="0"/>
    <x v="1"/>
    <b v="1"/>
  </r>
  <r>
    <s v="S-5aaf6f"/>
    <s v="A-6965e1"/>
    <d v="2024-12-12T00:00:00"/>
    <m/>
    <x v="0"/>
    <n v="13"/>
    <n v="2587"/>
    <n v="31044"/>
    <x v="0"/>
    <b v="0"/>
    <b v="0"/>
    <b v="0"/>
    <x v="1"/>
    <b v="1"/>
  </r>
  <r>
    <s v="S-a10469"/>
    <s v="A-5247b3"/>
    <d v="2024-10-14T00:00:00"/>
    <m/>
    <x v="1"/>
    <n v="16"/>
    <n v="784"/>
    <n v="9408"/>
    <x v="0"/>
    <b v="0"/>
    <b v="0"/>
    <b v="0"/>
    <x v="1"/>
    <b v="1"/>
  </r>
  <r>
    <s v="S-cbf8e8"/>
    <s v="A-d4e0d4"/>
    <d v="2024-11-23T00:00:00"/>
    <m/>
    <x v="2"/>
    <n v="117"/>
    <n v="2223"/>
    <n v="26676"/>
    <x v="0"/>
    <b v="0"/>
    <b v="0"/>
    <b v="0"/>
    <x v="0"/>
    <b v="1"/>
  </r>
  <r>
    <s v="S-a0e1dc"/>
    <s v="A-712426"/>
    <d v="2024-12-19T00:00:00"/>
    <m/>
    <x v="2"/>
    <n v="119"/>
    <n v="2261"/>
    <n v="27132"/>
    <x v="0"/>
    <b v="0"/>
    <b v="0"/>
    <b v="0"/>
    <x v="0"/>
    <b v="1"/>
  </r>
  <r>
    <s v="S-127d0b"/>
    <s v="A-1e50e0"/>
    <d v="2024-05-04T00:00:00"/>
    <m/>
    <x v="1"/>
    <n v="19"/>
    <n v="931"/>
    <n v="11172"/>
    <x v="0"/>
    <b v="0"/>
    <b v="0"/>
    <b v="0"/>
    <x v="0"/>
    <b v="1"/>
  </r>
  <r>
    <s v="S-2fed82"/>
    <s v="A-5b4ebb"/>
    <d v="2024-07-11T00:00:00"/>
    <m/>
    <x v="2"/>
    <n v="21"/>
    <n v="399"/>
    <n v="4788"/>
    <x v="0"/>
    <b v="0"/>
    <b v="0"/>
    <b v="0"/>
    <x v="0"/>
    <b v="1"/>
  </r>
  <r>
    <s v="S-2f07f6"/>
    <s v="A-9208f0"/>
    <d v="2024-03-20T00:00:00"/>
    <m/>
    <x v="1"/>
    <n v="49"/>
    <n v="0"/>
    <n v="0"/>
    <x v="1"/>
    <b v="0"/>
    <b v="0"/>
    <b v="0"/>
    <x v="0"/>
    <b v="0"/>
  </r>
  <r>
    <s v="S-448b6d"/>
    <s v="A-8adedc"/>
    <d v="2024-06-08T00:00:00"/>
    <m/>
    <x v="2"/>
    <n v="19"/>
    <n v="361"/>
    <n v="4332"/>
    <x v="0"/>
    <b v="0"/>
    <b v="0"/>
    <b v="0"/>
    <x v="0"/>
    <b v="0"/>
  </r>
  <r>
    <s v="S-c61dc9"/>
    <s v="A-f92792"/>
    <d v="2024-12-15T00:00:00"/>
    <m/>
    <x v="2"/>
    <n v="19"/>
    <n v="361"/>
    <n v="4332"/>
    <x v="0"/>
    <b v="0"/>
    <b v="0"/>
    <b v="0"/>
    <x v="1"/>
    <b v="0"/>
  </r>
  <r>
    <s v="S-a7ad50"/>
    <s v="A-82d8a6"/>
    <d v="2024-12-18T00:00:00"/>
    <m/>
    <x v="2"/>
    <n v="18"/>
    <n v="342"/>
    <n v="4104"/>
    <x v="0"/>
    <b v="0"/>
    <b v="0"/>
    <b v="0"/>
    <x v="0"/>
    <b v="1"/>
  </r>
  <r>
    <s v="S-b037c5"/>
    <s v="A-0a282f"/>
    <d v="2024-10-07T00:00:00"/>
    <m/>
    <x v="1"/>
    <n v="20"/>
    <n v="980"/>
    <n v="11760"/>
    <x v="0"/>
    <b v="0"/>
    <b v="1"/>
    <b v="0"/>
    <x v="1"/>
    <b v="1"/>
  </r>
  <r>
    <s v="S-bdd2e4"/>
    <s v="A-ce66f8"/>
    <d v="2024-05-16T00:00:00"/>
    <m/>
    <x v="2"/>
    <n v="29"/>
    <n v="551"/>
    <n v="6612"/>
    <x v="0"/>
    <b v="0"/>
    <b v="0"/>
    <b v="0"/>
    <x v="1"/>
    <b v="1"/>
  </r>
  <r>
    <s v="S-8d89a8"/>
    <s v="A-5f2961"/>
    <d v="2024-12-03T00:00:00"/>
    <m/>
    <x v="0"/>
    <n v="16"/>
    <n v="3184"/>
    <n v="38208"/>
    <x v="0"/>
    <b v="0"/>
    <b v="0"/>
    <b v="0"/>
    <x v="0"/>
    <b v="1"/>
  </r>
  <r>
    <s v="S-00bb84"/>
    <s v="A-4f18f0"/>
    <d v="2024-07-07T00:00:00"/>
    <m/>
    <x v="1"/>
    <n v="24"/>
    <n v="1176"/>
    <n v="14112"/>
    <x v="0"/>
    <b v="0"/>
    <b v="0"/>
    <b v="0"/>
    <x v="1"/>
    <b v="1"/>
  </r>
  <r>
    <s v="S-c5bec0"/>
    <s v="A-1986ca"/>
    <d v="2024-09-21T00:00:00"/>
    <m/>
    <x v="0"/>
    <n v="20"/>
    <n v="3980"/>
    <n v="47760"/>
    <x v="0"/>
    <b v="0"/>
    <b v="0"/>
    <b v="0"/>
    <x v="1"/>
    <b v="1"/>
  </r>
  <r>
    <s v="S-e6029e"/>
    <s v="A-9174e0"/>
    <d v="2024-12-19T00:00:00"/>
    <m/>
    <x v="0"/>
    <n v="37"/>
    <n v="7363"/>
    <n v="88356"/>
    <x v="0"/>
    <b v="0"/>
    <b v="0"/>
    <b v="0"/>
    <x v="0"/>
    <b v="1"/>
  </r>
  <r>
    <s v="S-f8008a"/>
    <s v="A-eb2fdc"/>
    <d v="2024-07-07T00:00:00"/>
    <m/>
    <x v="0"/>
    <n v="31"/>
    <n v="6169"/>
    <n v="74028"/>
    <x v="0"/>
    <b v="0"/>
    <b v="0"/>
    <b v="0"/>
    <x v="1"/>
    <b v="1"/>
  </r>
  <r>
    <s v="S-db89df"/>
    <s v="A-1f0636"/>
    <d v="2024-05-29T00:00:00"/>
    <m/>
    <x v="0"/>
    <n v="105"/>
    <n v="20895"/>
    <n v="250740"/>
    <x v="0"/>
    <b v="1"/>
    <b v="0"/>
    <b v="0"/>
    <x v="1"/>
    <b v="1"/>
  </r>
  <r>
    <s v="S-700036"/>
    <s v="A-02cd81"/>
    <d v="2024-03-31T00:00:00"/>
    <m/>
    <x v="2"/>
    <n v="44"/>
    <n v="836"/>
    <n v="10032"/>
    <x v="0"/>
    <b v="0"/>
    <b v="0"/>
    <b v="0"/>
    <x v="1"/>
    <b v="1"/>
  </r>
  <r>
    <s v="S-7925f0"/>
    <s v="A-87aa7b"/>
    <d v="2024-09-24T00:00:00"/>
    <m/>
    <x v="0"/>
    <n v="24"/>
    <n v="4776"/>
    <n v="57312"/>
    <x v="0"/>
    <b v="0"/>
    <b v="0"/>
    <b v="0"/>
    <x v="0"/>
    <b v="1"/>
  </r>
  <r>
    <s v="S-1877a6"/>
    <s v="A-d77f4c"/>
    <d v="2024-03-31T00:00:00"/>
    <m/>
    <x v="1"/>
    <n v="6"/>
    <n v="294"/>
    <n v="3528"/>
    <x v="0"/>
    <b v="0"/>
    <b v="0"/>
    <b v="0"/>
    <x v="0"/>
    <b v="1"/>
  </r>
  <r>
    <s v="S-6b6cd7"/>
    <s v="A-d792a6"/>
    <d v="2023-04-04T00:00:00"/>
    <m/>
    <x v="0"/>
    <n v="6"/>
    <n v="0"/>
    <n v="0"/>
    <x v="1"/>
    <b v="0"/>
    <b v="0"/>
    <b v="0"/>
    <x v="0"/>
    <b v="1"/>
  </r>
  <r>
    <s v="S-3ed1f5"/>
    <s v="A-7920cc"/>
    <d v="2024-02-19T00:00:00"/>
    <m/>
    <x v="0"/>
    <n v="39"/>
    <n v="7761"/>
    <n v="93132"/>
    <x v="0"/>
    <b v="0"/>
    <b v="0"/>
    <b v="0"/>
    <x v="0"/>
    <b v="1"/>
  </r>
  <r>
    <s v="S-cf59a0"/>
    <s v="A-c16cf7"/>
    <d v="2024-11-02T00:00:00"/>
    <m/>
    <x v="2"/>
    <n v="18"/>
    <n v="0"/>
    <n v="0"/>
    <x v="1"/>
    <b v="0"/>
    <b v="0"/>
    <b v="0"/>
    <x v="0"/>
    <b v="1"/>
  </r>
  <r>
    <s v="S-78e1c6"/>
    <s v="A-7e0a10"/>
    <d v="2024-02-28T00:00:00"/>
    <m/>
    <x v="0"/>
    <n v="46"/>
    <n v="9154"/>
    <n v="109848"/>
    <x v="0"/>
    <b v="0"/>
    <b v="0"/>
    <b v="0"/>
    <x v="0"/>
    <b v="0"/>
  </r>
  <r>
    <s v="S-ce5636"/>
    <s v="A-4c56c9"/>
    <d v="2024-11-14T00:00:00"/>
    <m/>
    <x v="2"/>
    <n v="30"/>
    <n v="0"/>
    <n v="0"/>
    <x v="1"/>
    <b v="0"/>
    <b v="0"/>
    <b v="0"/>
    <x v="1"/>
    <b v="1"/>
  </r>
  <r>
    <s v="S-0c9600"/>
    <s v="A-2b9d3e"/>
    <d v="2023-09-06T00:00:00"/>
    <m/>
    <x v="2"/>
    <n v="11"/>
    <n v="209"/>
    <n v="2508"/>
    <x v="0"/>
    <b v="0"/>
    <b v="0"/>
    <b v="0"/>
    <x v="1"/>
    <b v="1"/>
  </r>
  <r>
    <s v="S-0a6b6b"/>
    <s v="A-d42431"/>
    <d v="2024-06-11T00:00:00"/>
    <m/>
    <x v="2"/>
    <n v="22"/>
    <n v="418"/>
    <n v="5016"/>
    <x v="0"/>
    <b v="0"/>
    <b v="1"/>
    <b v="0"/>
    <x v="0"/>
    <b v="1"/>
  </r>
  <r>
    <s v="S-054897"/>
    <s v="A-de58ca"/>
    <d v="2024-01-06T00:00:00"/>
    <m/>
    <x v="1"/>
    <n v="15"/>
    <n v="735"/>
    <n v="8820"/>
    <x v="0"/>
    <b v="0"/>
    <b v="0"/>
    <b v="0"/>
    <x v="0"/>
    <b v="0"/>
  </r>
  <r>
    <s v="S-b81c82"/>
    <s v="A-9289f6"/>
    <d v="2024-12-17T00:00:00"/>
    <m/>
    <x v="1"/>
    <n v="25"/>
    <n v="1225"/>
    <n v="14700"/>
    <x v="0"/>
    <b v="1"/>
    <b v="0"/>
    <b v="0"/>
    <x v="1"/>
    <b v="0"/>
  </r>
  <r>
    <s v="S-c9eecb"/>
    <s v="A-6c093d"/>
    <d v="2024-10-10T00:00:00"/>
    <m/>
    <x v="2"/>
    <n v="9"/>
    <n v="171"/>
    <n v="2052"/>
    <x v="0"/>
    <b v="0"/>
    <b v="0"/>
    <b v="0"/>
    <x v="1"/>
    <b v="1"/>
  </r>
  <r>
    <s v="S-2c53ad"/>
    <s v="A-c222ab"/>
    <d v="2024-09-19T00:00:00"/>
    <m/>
    <x v="0"/>
    <n v="32"/>
    <n v="6368"/>
    <n v="76416"/>
    <x v="0"/>
    <b v="0"/>
    <b v="0"/>
    <b v="0"/>
    <x v="0"/>
    <b v="1"/>
  </r>
  <r>
    <s v="S-9eb2c5"/>
    <s v="A-bb3bd4"/>
    <d v="2024-09-16T00:00:00"/>
    <m/>
    <x v="2"/>
    <n v="23"/>
    <n v="437"/>
    <n v="5244"/>
    <x v="0"/>
    <b v="1"/>
    <b v="0"/>
    <b v="0"/>
    <x v="0"/>
    <b v="1"/>
  </r>
  <r>
    <s v="S-d0c339"/>
    <s v="A-31ab9a"/>
    <d v="2024-08-29T00:00:00"/>
    <m/>
    <x v="1"/>
    <n v="19"/>
    <n v="0"/>
    <n v="0"/>
    <x v="1"/>
    <b v="0"/>
    <b v="0"/>
    <b v="0"/>
    <x v="1"/>
    <b v="1"/>
  </r>
  <r>
    <s v="S-6f43f7"/>
    <s v="A-e36807"/>
    <d v="2024-07-22T00:00:00"/>
    <m/>
    <x v="0"/>
    <n v="14"/>
    <n v="2786"/>
    <n v="33432"/>
    <x v="0"/>
    <b v="0"/>
    <b v="0"/>
    <b v="0"/>
    <x v="1"/>
    <b v="1"/>
  </r>
  <r>
    <s v="S-d43ad9"/>
    <s v="A-8bde0c"/>
    <d v="2024-12-14T00:00:00"/>
    <m/>
    <x v="1"/>
    <n v="13"/>
    <n v="637"/>
    <n v="7644"/>
    <x v="0"/>
    <b v="0"/>
    <b v="0"/>
    <b v="0"/>
    <x v="1"/>
    <b v="0"/>
  </r>
  <r>
    <s v="S-b04174"/>
    <s v="A-5b4ebb"/>
    <d v="2024-10-15T00:00:00"/>
    <m/>
    <x v="2"/>
    <n v="21"/>
    <n v="399"/>
    <n v="4788"/>
    <x v="0"/>
    <b v="0"/>
    <b v="0"/>
    <b v="0"/>
    <x v="0"/>
    <b v="1"/>
  </r>
  <r>
    <s v="S-62aa3c"/>
    <s v="A-5b1bcd"/>
    <d v="2023-11-27T00:00:00"/>
    <m/>
    <x v="0"/>
    <n v="73"/>
    <n v="14527"/>
    <n v="174324"/>
    <x v="0"/>
    <b v="1"/>
    <b v="0"/>
    <b v="0"/>
    <x v="0"/>
    <b v="1"/>
  </r>
  <r>
    <s v="S-d88b25"/>
    <s v="A-474ad4"/>
    <d v="2024-12-29T00:00:00"/>
    <m/>
    <x v="0"/>
    <n v="24"/>
    <n v="4776"/>
    <n v="57312"/>
    <x v="0"/>
    <b v="0"/>
    <b v="0"/>
    <b v="0"/>
    <x v="1"/>
    <b v="0"/>
  </r>
  <r>
    <s v="S-14a685"/>
    <s v="A-692f18"/>
    <d v="2024-07-29T00:00:00"/>
    <m/>
    <x v="0"/>
    <n v="7"/>
    <n v="1393"/>
    <n v="16716"/>
    <x v="0"/>
    <b v="0"/>
    <b v="0"/>
    <b v="0"/>
    <x v="0"/>
    <b v="0"/>
  </r>
  <r>
    <s v="S-4977c8"/>
    <s v="A-3be56b"/>
    <d v="2023-11-22T00:00:00"/>
    <d v="2024-02-23T00:00:00"/>
    <x v="0"/>
    <n v="3"/>
    <n v="0"/>
    <n v="0"/>
    <x v="1"/>
    <b v="0"/>
    <b v="0"/>
    <b v="1"/>
    <x v="1"/>
    <b v="0"/>
  </r>
  <r>
    <s v="S-2e1ceb"/>
    <s v="A-ccb686"/>
    <d v="2024-03-23T00:00:00"/>
    <m/>
    <x v="0"/>
    <n v="12"/>
    <n v="0"/>
    <n v="0"/>
    <x v="1"/>
    <b v="1"/>
    <b v="0"/>
    <b v="0"/>
    <x v="1"/>
    <b v="0"/>
  </r>
  <r>
    <s v="S-59f0a6"/>
    <s v="A-104f1a"/>
    <d v="2024-09-02T00:00:00"/>
    <d v="2024-11-28T00:00:00"/>
    <x v="1"/>
    <n v="123"/>
    <n v="6027"/>
    <n v="72324"/>
    <x v="0"/>
    <b v="0"/>
    <b v="0"/>
    <b v="1"/>
    <x v="0"/>
    <b v="0"/>
  </r>
  <r>
    <s v="S-66106d"/>
    <s v="A-186a44"/>
    <d v="2024-11-02T00:00:00"/>
    <m/>
    <x v="0"/>
    <n v="20"/>
    <n v="0"/>
    <n v="0"/>
    <x v="1"/>
    <b v="0"/>
    <b v="0"/>
    <b v="0"/>
    <x v="0"/>
    <b v="0"/>
  </r>
  <r>
    <s v="S-510e07"/>
    <s v="A-b7ef83"/>
    <d v="2024-10-20T00:00:00"/>
    <m/>
    <x v="0"/>
    <n v="2"/>
    <n v="398"/>
    <n v="4776"/>
    <x v="0"/>
    <b v="1"/>
    <b v="0"/>
    <b v="0"/>
    <x v="0"/>
    <b v="1"/>
  </r>
  <r>
    <s v="S-b7d99d"/>
    <s v="A-9f0b68"/>
    <d v="2024-11-28T00:00:00"/>
    <m/>
    <x v="2"/>
    <n v="14"/>
    <n v="266"/>
    <n v="3192"/>
    <x v="0"/>
    <b v="0"/>
    <b v="0"/>
    <b v="0"/>
    <x v="1"/>
    <b v="1"/>
  </r>
  <r>
    <s v="S-debbee"/>
    <s v="A-3a7284"/>
    <d v="2024-11-28T00:00:00"/>
    <d v="2024-12-11T00:00:00"/>
    <x v="2"/>
    <n v="73"/>
    <n v="1387"/>
    <n v="16644"/>
    <x v="0"/>
    <b v="0"/>
    <b v="0"/>
    <b v="1"/>
    <x v="1"/>
    <b v="1"/>
  </r>
  <r>
    <s v="S-c348d2"/>
    <s v="A-4a267b"/>
    <d v="2024-06-17T00:00:00"/>
    <m/>
    <x v="2"/>
    <n v="25"/>
    <n v="475"/>
    <n v="5700"/>
    <x v="0"/>
    <b v="0"/>
    <b v="0"/>
    <b v="0"/>
    <x v="1"/>
    <b v="1"/>
  </r>
  <r>
    <s v="S-d0259a"/>
    <s v="A-4e0e85"/>
    <d v="2024-02-22T00:00:00"/>
    <m/>
    <x v="0"/>
    <n v="6"/>
    <n v="1194"/>
    <n v="14328"/>
    <x v="0"/>
    <b v="0"/>
    <b v="0"/>
    <b v="0"/>
    <x v="0"/>
    <b v="1"/>
  </r>
  <r>
    <s v="S-5f1d80"/>
    <s v="A-600734"/>
    <d v="2024-04-17T00:00:00"/>
    <m/>
    <x v="2"/>
    <n v="29"/>
    <n v="551"/>
    <n v="6612"/>
    <x v="0"/>
    <b v="0"/>
    <b v="0"/>
    <b v="0"/>
    <x v="0"/>
    <b v="1"/>
  </r>
  <r>
    <s v="S-f132ab"/>
    <s v="A-e2cd1b"/>
    <d v="2024-04-29T00:00:00"/>
    <m/>
    <x v="1"/>
    <n v="15"/>
    <n v="735"/>
    <n v="8820"/>
    <x v="0"/>
    <b v="0"/>
    <b v="0"/>
    <b v="0"/>
    <x v="1"/>
    <b v="1"/>
  </r>
  <r>
    <s v="S-d1fb2e"/>
    <s v="A-3f9cc0"/>
    <d v="2024-08-04T00:00:00"/>
    <m/>
    <x v="0"/>
    <n v="30"/>
    <n v="5970"/>
    <n v="71640"/>
    <x v="0"/>
    <b v="0"/>
    <b v="0"/>
    <b v="0"/>
    <x v="0"/>
    <b v="1"/>
  </r>
  <r>
    <s v="S-26da35"/>
    <s v="A-d27f50"/>
    <d v="2024-12-09T00:00:00"/>
    <m/>
    <x v="1"/>
    <n v="44"/>
    <n v="2156"/>
    <n v="25872"/>
    <x v="0"/>
    <b v="1"/>
    <b v="0"/>
    <b v="0"/>
    <x v="1"/>
    <b v="1"/>
  </r>
  <r>
    <s v="S-c92850"/>
    <s v="A-05d3b3"/>
    <d v="2023-09-30T00:00:00"/>
    <m/>
    <x v="1"/>
    <n v="22"/>
    <n v="1078"/>
    <n v="12936"/>
    <x v="0"/>
    <b v="0"/>
    <b v="0"/>
    <b v="0"/>
    <x v="1"/>
    <b v="1"/>
  </r>
  <r>
    <s v="S-64ddbc"/>
    <s v="A-c16cf7"/>
    <d v="2024-12-18T00:00:00"/>
    <m/>
    <x v="2"/>
    <n v="13"/>
    <n v="247"/>
    <n v="2964"/>
    <x v="0"/>
    <b v="0"/>
    <b v="0"/>
    <b v="0"/>
    <x v="0"/>
    <b v="1"/>
  </r>
  <r>
    <s v="S-ef3aa2"/>
    <s v="A-5a92e7"/>
    <d v="2024-09-19T00:00:00"/>
    <m/>
    <x v="1"/>
    <n v="9"/>
    <n v="441"/>
    <n v="5292"/>
    <x v="0"/>
    <b v="0"/>
    <b v="0"/>
    <b v="0"/>
    <x v="0"/>
    <b v="0"/>
  </r>
  <r>
    <s v="S-0e43ad"/>
    <s v="A-cc8c8f"/>
    <d v="2024-06-21T00:00:00"/>
    <m/>
    <x v="0"/>
    <n v="28"/>
    <n v="5572"/>
    <n v="66864"/>
    <x v="0"/>
    <b v="1"/>
    <b v="0"/>
    <b v="0"/>
    <x v="1"/>
    <b v="1"/>
  </r>
  <r>
    <s v="S-54df4c"/>
    <s v="A-9f9299"/>
    <d v="2024-11-18T00:00:00"/>
    <m/>
    <x v="1"/>
    <n v="28"/>
    <n v="1372"/>
    <n v="16464"/>
    <x v="0"/>
    <b v="0"/>
    <b v="0"/>
    <b v="0"/>
    <x v="1"/>
    <b v="1"/>
  </r>
  <r>
    <s v="S-d8165b"/>
    <s v="A-89ee83"/>
    <d v="2024-10-18T00:00:00"/>
    <m/>
    <x v="2"/>
    <n v="38"/>
    <n v="722"/>
    <n v="8664"/>
    <x v="0"/>
    <b v="0"/>
    <b v="0"/>
    <b v="0"/>
    <x v="1"/>
    <b v="1"/>
  </r>
  <r>
    <s v="S-67b7bf"/>
    <s v="A-dcc2f0"/>
    <d v="2024-10-13T00:00:00"/>
    <m/>
    <x v="2"/>
    <n v="15"/>
    <n v="285"/>
    <n v="3420"/>
    <x v="0"/>
    <b v="0"/>
    <b v="0"/>
    <b v="0"/>
    <x v="0"/>
    <b v="0"/>
  </r>
  <r>
    <s v="S-e6ad38"/>
    <s v="A-b07b56"/>
    <d v="2024-11-19T00:00:00"/>
    <m/>
    <x v="1"/>
    <n v="25"/>
    <n v="1225"/>
    <n v="14700"/>
    <x v="0"/>
    <b v="0"/>
    <b v="0"/>
    <b v="0"/>
    <x v="0"/>
    <b v="1"/>
  </r>
  <r>
    <s v="S-55a520"/>
    <s v="A-726cfa"/>
    <d v="2023-08-26T00:00:00"/>
    <m/>
    <x v="1"/>
    <n v="30"/>
    <n v="1470"/>
    <n v="17640"/>
    <x v="0"/>
    <b v="0"/>
    <b v="0"/>
    <b v="0"/>
    <x v="0"/>
    <b v="1"/>
  </r>
  <r>
    <s v="S-83a9a4"/>
    <s v="A-09316c"/>
    <d v="2024-11-26T00:00:00"/>
    <m/>
    <x v="1"/>
    <n v="70"/>
    <n v="3430"/>
    <n v="41160"/>
    <x v="0"/>
    <b v="1"/>
    <b v="0"/>
    <b v="0"/>
    <x v="1"/>
    <b v="1"/>
  </r>
  <r>
    <s v="S-efeb9b"/>
    <s v="A-1f0636"/>
    <d v="2024-02-27T00:00:00"/>
    <m/>
    <x v="2"/>
    <n v="105"/>
    <n v="0"/>
    <n v="0"/>
    <x v="1"/>
    <b v="1"/>
    <b v="0"/>
    <b v="0"/>
    <x v="1"/>
    <b v="1"/>
  </r>
  <r>
    <s v="S-240a09"/>
    <s v="A-5c9849"/>
    <d v="2024-12-30T00:00:00"/>
    <m/>
    <x v="1"/>
    <n v="19"/>
    <n v="931"/>
    <n v="11172"/>
    <x v="0"/>
    <b v="1"/>
    <b v="0"/>
    <b v="0"/>
    <x v="0"/>
    <b v="0"/>
  </r>
  <r>
    <s v="S-f52fd6"/>
    <s v="A-f1f639"/>
    <d v="2024-09-19T00:00:00"/>
    <m/>
    <x v="0"/>
    <n v="9"/>
    <n v="1791"/>
    <n v="21492"/>
    <x v="0"/>
    <b v="0"/>
    <b v="0"/>
    <b v="0"/>
    <x v="0"/>
    <b v="1"/>
  </r>
  <r>
    <s v="S-1a2fbc"/>
    <s v="A-526d93"/>
    <d v="2024-06-29T00:00:00"/>
    <m/>
    <x v="2"/>
    <n v="45"/>
    <n v="855"/>
    <n v="10260"/>
    <x v="0"/>
    <b v="0"/>
    <b v="0"/>
    <b v="0"/>
    <x v="0"/>
    <b v="1"/>
  </r>
  <r>
    <s v="S-8738af"/>
    <s v="A-84ebe4"/>
    <d v="2024-03-19T00:00:00"/>
    <m/>
    <x v="1"/>
    <n v="34"/>
    <n v="1666"/>
    <n v="19992"/>
    <x v="0"/>
    <b v="0"/>
    <b v="0"/>
    <b v="0"/>
    <x v="0"/>
    <b v="1"/>
  </r>
  <r>
    <s v="S-af1def"/>
    <s v="A-443b7c"/>
    <d v="2024-09-30T00:00:00"/>
    <m/>
    <x v="2"/>
    <n v="36"/>
    <n v="684"/>
    <n v="8208"/>
    <x v="0"/>
    <b v="0"/>
    <b v="0"/>
    <b v="0"/>
    <x v="0"/>
    <b v="0"/>
  </r>
  <r>
    <s v="S-7889d9"/>
    <s v="A-bcbe98"/>
    <d v="2024-08-09T00:00:00"/>
    <m/>
    <x v="1"/>
    <n v="46"/>
    <n v="2254"/>
    <n v="27048"/>
    <x v="0"/>
    <b v="0"/>
    <b v="0"/>
    <b v="0"/>
    <x v="1"/>
    <b v="1"/>
  </r>
  <r>
    <s v="S-a72188"/>
    <s v="A-ced9aa"/>
    <d v="2024-12-31T00:00:00"/>
    <m/>
    <x v="1"/>
    <n v="3"/>
    <n v="147"/>
    <n v="1764"/>
    <x v="0"/>
    <b v="0"/>
    <b v="0"/>
    <b v="0"/>
    <x v="1"/>
    <b v="1"/>
  </r>
  <r>
    <s v="S-0ffab0"/>
    <s v="A-e60f9d"/>
    <d v="2024-10-18T00:00:00"/>
    <m/>
    <x v="0"/>
    <n v="58"/>
    <n v="11542"/>
    <n v="138504"/>
    <x v="0"/>
    <b v="0"/>
    <b v="0"/>
    <b v="0"/>
    <x v="1"/>
    <b v="1"/>
  </r>
  <r>
    <s v="S-5f4afc"/>
    <s v="A-09316c"/>
    <d v="2024-11-15T00:00:00"/>
    <m/>
    <x v="1"/>
    <n v="70"/>
    <n v="3430"/>
    <n v="41160"/>
    <x v="0"/>
    <b v="0"/>
    <b v="0"/>
    <b v="0"/>
    <x v="0"/>
    <b v="1"/>
  </r>
  <r>
    <s v="S-3f18be"/>
    <s v="A-e2cd1b"/>
    <d v="2024-12-26T00:00:00"/>
    <m/>
    <x v="0"/>
    <n v="16"/>
    <n v="3184"/>
    <n v="38208"/>
    <x v="0"/>
    <b v="0"/>
    <b v="0"/>
    <b v="0"/>
    <x v="1"/>
    <b v="1"/>
  </r>
  <r>
    <s v="S-e133a5"/>
    <s v="A-4a4c2d"/>
    <d v="2023-07-03T00:00:00"/>
    <d v="2024-01-25T00:00:00"/>
    <x v="2"/>
    <n v="54"/>
    <n v="1026"/>
    <n v="12312"/>
    <x v="0"/>
    <b v="0"/>
    <b v="0"/>
    <b v="1"/>
    <x v="0"/>
    <b v="1"/>
  </r>
  <r>
    <s v="S-15662a"/>
    <s v="A-019782"/>
    <d v="2024-02-22T00:00:00"/>
    <m/>
    <x v="2"/>
    <n v="11"/>
    <n v="0"/>
    <n v="0"/>
    <x v="1"/>
    <b v="0"/>
    <b v="0"/>
    <b v="0"/>
    <x v="1"/>
    <b v="1"/>
  </r>
  <r>
    <s v="S-84dd93"/>
    <s v="A-acb7f7"/>
    <d v="2024-02-16T00:00:00"/>
    <m/>
    <x v="0"/>
    <n v="32"/>
    <n v="6368"/>
    <n v="76416"/>
    <x v="0"/>
    <b v="0"/>
    <b v="0"/>
    <b v="0"/>
    <x v="1"/>
    <b v="1"/>
  </r>
  <r>
    <s v="S-bafe35"/>
    <s v="A-1b707d"/>
    <d v="2024-10-27T00:00:00"/>
    <m/>
    <x v="2"/>
    <n v="41"/>
    <n v="779"/>
    <n v="9348"/>
    <x v="0"/>
    <b v="0"/>
    <b v="0"/>
    <b v="0"/>
    <x v="1"/>
    <b v="0"/>
  </r>
  <r>
    <s v="S-f1778c"/>
    <s v="A-1d5444"/>
    <d v="2024-04-10T00:00:00"/>
    <m/>
    <x v="2"/>
    <n v="24"/>
    <n v="456"/>
    <n v="5472"/>
    <x v="0"/>
    <b v="0"/>
    <b v="0"/>
    <b v="0"/>
    <x v="0"/>
    <b v="1"/>
  </r>
  <r>
    <s v="S-85b7d7"/>
    <s v="A-d40bf7"/>
    <d v="2024-12-27T00:00:00"/>
    <m/>
    <x v="2"/>
    <n v="59"/>
    <n v="0"/>
    <n v="0"/>
    <x v="1"/>
    <b v="0"/>
    <b v="0"/>
    <b v="0"/>
    <x v="0"/>
    <b v="0"/>
  </r>
  <r>
    <s v="S-df147d"/>
    <s v="A-940b8b"/>
    <d v="2024-09-13T00:00:00"/>
    <m/>
    <x v="0"/>
    <n v="10"/>
    <n v="0"/>
    <n v="0"/>
    <x v="1"/>
    <b v="0"/>
    <b v="0"/>
    <b v="0"/>
    <x v="0"/>
    <b v="1"/>
  </r>
  <r>
    <s v="S-4ff3ae"/>
    <s v="A-eb7c38"/>
    <d v="2024-07-29T00:00:00"/>
    <m/>
    <x v="2"/>
    <n v="5"/>
    <n v="95"/>
    <n v="1140"/>
    <x v="0"/>
    <b v="1"/>
    <b v="0"/>
    <b v="0"/>
    <x v="1"/>
    <b v="1"/>
  </r>
  <r>
    <s v="S-808efb"/>
    <s v="A-7da956"/>
    <d v="2024-11-16T00:00:00"/>
    <m/>
    <x v="0"/>
    <n v="15"/>
    <n v="2985"/>
    <n v="35820"/>
    <x v="0"/>
    <b v="0"/>
    <b v="1"/>
    <b v="0"/>
    <x v="0"/>
    <b v="1"/>
  </r>
  <r>
    <s v="S-208e33"/>
    <s v="A-b20d99"/>
    <d v="2024-08-05T00:00:00"/>
    <m/>
    <x v="2"/>
    <n v="20"/>
    <n v="380"/>
    <n v="4560"/>
    <x v="0"/>
    <b v="0"/>
    <b v="0"/>
    <b v="0"/>
    <x v="0"/>
    <b v="1"/>
  </r>
  <r>
    <s v="S-a0f5ac"/>
    <s v="A-e7a1e2"/>
    <d v="2024-10-07T00:00:00"/>
    <m/>
    <x v="1"/>
    <n v="13"/>
    <n v="637"/>
    <n v="7644"/>
    <x v="0"/>
    <b v="0"/>
    <b v="0"/>
    <b v="0"/>
    <x v="0"/>
    <b v="1"/>
  </r>
  <r>
    <s v="S-7079c2"/>
    <s v="A-039727"/>
    <d v="2024-12-15T00:00:00"/>
    <m/>
    <x v="0"/>
    <n v="25"/>
    <n v="4975"/>
    <n v="59700"/>
    <x v="0"/>
    <b v="0"/>
    <b v="1"/>
    <b v="0"/>
    <x v="1"/>
    <b v="1"/>
  </r>
  <r>
    <s v="S-8789b0"/>
    <s v="A-eb7c38"/>
    <d v="2024-04-23T00:00:00"/>
    <d v="2024-08-02T00:00:00"/>
    <x v="2"/>
    <n v="9"/>
    <n v="171"/>
    <n v="2052"/>
    <x v="0"/>
    <b v="1"/>
    <b v="0"/>
    <b v="1"/>
    <x v="0"/>
    <b v="0"/>
  </r>
  <r>
    <s v="S-b3cae6"/>
    <s v="A-6a7c9d"/>
    <d v="2024-11-12T00:00:00"/>
    <m/>
    <x v="0"/>
    <n v="26"/>
    <n v="5174"/>
    <n v="62088"/>
    <x v="0"/>
    <b v="0"/>
    <b v="0"/>
    <b v="0"/>
    <x v="0"/>
    <b v="1"/>
  </r>
  <r>
    <s v="S-23f506"/>
    <s v="A-9ee962"/>
    <d v="2023-09-28T00:00:00"/>
    <d v="2023-11-27T00:00:00"/>
    <x v="2"/>
    <n v="9"/>
    <n v="0"/>
    <n v="0"/>
    <x v="1"/>
    <b v="1"/>
    <b v="0"/>
    <b v="1"/>
    <x v="1"/>
    <b v="1"/>
  </r>
  <r>
    <s v="S-5b9330"/>
    <s v="A-f03140"/>
    <d v="2024-07-17T00:00:00"/>
    <m/>
    <x v="0"/>
    <n v="27"/>
    <n v="5373"/>
    <n v="64476"/>
    <x v="0"/>
    <b v="0"/>
    <b v="1"/>
    <b v="0"/>
    <x v="0"/>
    <b v="1"/>
  </r>
  <r>
    <s v="S-03ac49"/>
    <s v="A-35083d"/>
    <d v="2023-08-23T00:00:00"/>
    <m/>
    <x v="0"/>
    <n v="19"/>
    <n v="3781"/>
    <n v="45372"/>
    <x v="0"/>
    <b v="0"/>
    <b v="0"/>
    <b v="0"/>
    <x v="0"/>
    <b v="1"/>
  </r>
  <r>
    <s v="S-ffce65"/>
    <s v="A-9ee962"/>
    <d v="2023-06-23T00:00:00"/>
    <m/>
    <x v="1"/>
    <n v="9"/>
    <n v="441"/>
    <n v="5292"/>
    <x v="0"/>
    <b v="1"/>
    <b v="0"/>
    <b v="0"/>
    <x v="1"/>
    <b v="1"/>
  </r>
  <r>
    <s v="S-847173"/>
    <s v="A-c1dfe1"/>
    <d v="2023-12-17T00:00:00"/>
    <m/>
    <x v="2"/>
    <n v="33"/>
    <n v="627"/>
    <n v="7524"/>
    <x v="0"/>
    <b v="0"/>
    <b v="0"/>
    <b v="0"/>
    <x v="0"/>
    <b v="1"/>
  </r>
  <r>
    <s v="S-32e8fa"/>
    <s v="A-94d3da"/>
    <d v="2023-06-04T00:00:00"/>
    <d v="2023-10-21T00:00:00"/>
    <x v="1"/>
    <n v="41"/>
    <n v="2009"/>
    <n v="24108"/>
    <x v="0"/>
    <b v="0"/>
    <b v="0"/>
    <b v="1"/>
    <x v="1"/>
    <b v="1"/>
  </r>
  <r>
    <s v="S-b70eef"/>
    <s v="A-b7b7b7"/>
    <d v="2024-11-12T00:00:00"/>
    <m/>
    <x v="1"/>
    <n v="24"/>
    <n v="0"/>
    <n v="0"/>
    <x v="1"/>
    <b v="0"/>
    <b v="0"/>
    <b v="0"/>
    <x v="0"/>
    <b v="1"/>
  </r>
  <r>
    <s v="S-e1db7e"/>
    <s v="A-186a44"/>
    <d v="2024-03-13T00:00:00"/>
    <m/>
    <x v="2"/>
    <n v="20"/>
    <n v="380"/>
    <n v="4560"/>
    <x v="0"/>
    <b v="0"/>
    <b v="0"/>
    <b v="0"/>
    <x v="1"/>
    <b v="1"/>
  </r>
  <r>
    <s v="S-887d48"/>
    <s v="A-b07b56"/>
    <d v="2024-11-20T00:00:00"/>
    <m/>
    <x v="1"/>
    <n v="25"/>
    <n v="1225"/>
    <n v="14700"/>
    <x v="0"/>
    <b v="0"/>
    <b v="0"/>
    <b v="0"/>
    <x v="1"/>
    <b v="1"/>
  </r>
  <r>
    <s v="S-4b26c5"/>
    <s v="A-f45426"/>
    <d v="2024-09-27T00:00:00"/>
    <d v="2024-09-28T00:00:00"/>
    <x v="0"/>
    <n v="9"/>
    <n v="1791"/>
    <n v="21492"/>
    <x v="0"/>
    <b v="0"/>
    <b v="0"/>
    <b v="1"/>
    <x v="0"/>
    <b v="1"/>
  </r>
  <r>
    <s v="S-004eb4"/>
    <s v="A-ab438f"/>
    <d v="2024-12-05T00:00:00"/>
    <m/>
    <x v="0"/>
    <n v="13"/>
    <n v="2587"/>
    <n v="31044"/>
    <x v="0"/>
    <b v="0"/>
    <b v="0"/>
    <b v="0"/>
    <x v="1"/>
    <b v="1"/>
  </r>
  <r>
    <s v="S-da7360"/>
    <s v="A-075038"/>
    <d v="2024-10-26T00:00:00"/>
    <m/>
    <x v="2"/>
    <n v="42"/>
    <n v="798"/>
    <n v="9576"/>
    <x v="0"/>
    <b v="0"/>
    <b v="0"/>
    <b v="0"/>
    <x v="0"/>
    <b v="1"/>
  </r>
  <r>
    <s v="S-22c66b"/>
    <s v="A-49b828"/>
    <d v="2024-02-17T00:00:00"/>
    <m/>
    <x v="2"/>
    <n v="24"/>
    <n v="456"/>
    <n v="5472"/>
    <x v="0"/>
    <b v="0"/>
    <b v="0"/>
    <b v="0"/>
    <x v="0"/>
    <b v="1"/>
  </r>
  <r>
    <s v="S-c844bd"/>
    <s v="A-6a4e2d"/>
    <d v="2024-01-23T00:00:00"/>
    <d v="2024-11-03T00:00:00"/>
    <x v="2"/>
    <n v="9"/>
    <n v="171"/>
    <n v="2052"/>
    <x v="0"/>
    <b v="1"/>
    <b v="0"/>
    <b v="1"/>
    <x v="1"/>
    <b v="1"/>
  </r>
  <r>
    <s v="S-bbc0f7"/>
    <s v="A-b7724f"/>
    <d v="2024-09-15T00:00:00"/>
    <m/>
    <x v="2"/>
    <n v="1"/>
    <n v="19"/>
    <n v="228"/>
    <x v="0"/>
    <b v="0"/>
    <b v="0"/>
    <b v="0"/>
    <x v="1"/>
    <b v="1"/>
  </r>
  <r>
    <s v="S-2f9bef"/>
    <s v="A-cc1d8d"/>
    <d v="2024-12-08T00:00:00"/>
    <m/>
    <x v="0"/>
    <n v="5"/>
    <n v="995"/>
    <n v="11940"/>
    <x v="0"/>
    <b v="0"/>
    <b v="0"/>
    <b v="0"/>
    <x v="1"/>
    <b v="1"/>
  </r>
  <r>
    <s v="S-6717d6"/>
    <s v="A-84ebe4"/>
    <d v="2023-08-12T00:00:00"/>
    <m/>
    <x v="0"/>
    <n v="21"/>
    <n v="4179"/>
    <n v="50148"/>
    <x v="0"/>
    <b v="0"/>
    <b v="0"/>
    <b v="0"/>
    <x v="1"/>
    <b v="0"/>
  </r>
  <r>
    <s v="S-17bedf"/>
    <s v="A-4437e4"/>
    <d v="2023-11-20T00:00:00"/>
    <d v="2024-09-17T00:00:00"/>
    <x v="2"/>
    <n v="3"/>
    <n v="0"/>
    <n v="0"/>
    <x v="1"/>
    <b v="0"/>
    <b v="0"/>
    <b v="1"/>
    <x v="0"/>
    <b v="1"/>
  </r>
  <r>
    <s v="S-88f1be"/>
    <s v="A-5a215a"/>
    <d v="2024-07-10T00:00:00"/>
    <m/>
    <x v="1"/>
    <n v="87"/>
    <n v="4263"/>
    <n v="51156"/>
    <x v="0"/>
    <b v="1"/>
    <b v="0"/>
    <b v="0"/>
    <x v="1"/>
    <b v="1"/>
  </r>
  <r>
    <s v="S-b3613a"/>
    <s v="A-7641d3"/>
    <d v="2023-04-24T00:00:00"/>
    <m/>
    <x v="0"/>
    <n v="8"/>
    <n v="1592"/>
    <n v="19104"/>
    <x v="0"/>
    <b v="0"/>
    <b v="0"/>
    <b v="0"/>
    <x v="0"/>
    <b v="1"/>
  </r>
  <r>
    <s v="S-885aa7"/>
    <s v="A-7920cc"/>
    <d v="2024-03-11T00:00:00"/>
    <m/>
    <x v="0"/>
    <n v="54"/>
    <n v="10746"/>
    <n v="128952"/>
    <x v="0"/>
    <b v="0"/>
    <b v="0"/>
    <b v="0"/>
    <x v="1"/>
    <b v="1"/>
  </r>
  <r>
    <s v="S-2c64e6"/>
    <s v="A-118d55"/>
    <d v="2024-12-24T00:00:00"/>
    <m/>
    <x v="2"/>
    <n v="15"/>
    <n v="285"/>
    <n v="3420"/>
    <x v="0"/>
    <b v="0"/>
    <b v="0"/>
    <b v="0"/>
    <x v="0"/>
    <b v="0"/>
  </r>
  <r>
    <s v="S-891976"/>
    <s v="A-95b24a"/>
    <d v="2024-09-12T00:00:00"/>
    <m/>
    <x v="2"/>
    <n v="38"/>
    <n v="722"/>
    <n v="8664"/>
    <x v="0"/>
    <b v="1"/>
    <b v="0"/>
    <b v="0"/>
    <x v="0"/>
    <b v="1"/>
  </r>
  <r>
    <s v="S-9bc272"/>
    <s v="A-7da956"/>
    <d v="2024-07-20T00:00:00"/>
    <m/>
    <x v="1"/>
    <n v="13"/>
    <n v="637"/>
    <n v="7644"/>
    <x v="0"/>
    <b v="0"/>
    <b v="0"/>
    <b v="0"/>
    <x v="1"/>
    <b v="1"/>
  </r>
  <r>
    <s v="S-2636a7"/>
    <s v="A-1f7acb"/>
    <d v="2024-07-05T00:00:00"/>
    <m/>
    <x v="0"/>
    <n v="64"/>
    <n v="12736"/>
    <n v="152832"/>
    <x v="0"/>
    <b v="0"/>
    <b v="1"/>
    <b v="0"/>
    <x v="1"/>
    <b v="1"/>
  </r>
  <r>
    <s v="S-3f48a5"/>
    <s v="A-0cc442"/>
    <d v="2024-10-04T00:00:00"/>
    <m/>
    <x v="2"/>
    <n v="45"/>
    <n v="855"/>
    <n v="10260"/>
    <x v="0"/>
    <b v="0"/>
    <b v="0"/>
    <b v="0"/>
    <x v="0"/>
    <b v="0"/>
  </r>
  <r>
    <s v="S-58239c"/>
    <s v="A-87aa7b"/>
    <d v="2024-05-22T00:00:00"/>
    <m/>
    <x v="1"/>
    <n v="24"/>
    <n v="1176"/>
    <n v="14112"/>
    <x v="0"/>
    <b v="0"/>
    <b v="0"/>
    <b v="0"/>
    <x v="0"/>
    <b v="1"/>
  </r>
  <r>
    <s v="S-e6571c"/>
    <s v="A-0be015"/>
    <d v="2024-11-03T00:00:00"/>
    <d v="2024-11-12T00:00:00"/>
    <x v="2"/>
    <n v="19"/>
    <n v="361"/>
    <n v="4332"/>
    <x v="0"/>
    <b v="0"/>
    <b v="0"/>
    <b v="1"/>
    <x v="1"/>
    <b v="1"/>
  </r>
  <r>
    <s v="S-66569a"/>
    <s v="A-19b2c8"/>
    <d v="2023-07-31T00:00:00"/>
    <m/>
    <x v="1"/>
    <n v="20"/>
    <n v="980"/>
    <n v="11760"/>
    <x v="0"/>
    <b v="0"/>
    <b v="0"/>
    <b v="0"/>
    <x v="0"/>
    <b v="0"/>
  </r>
  <r>
    <s v="S-e1444a"/>
    <s v="A-139c3b"/>
    <d v="2024-12-30T00:00:00"/>
    <m/>
    <x v="2"/>
    <n v="21"/>
    <n v="0"/>
    <n v="0"/>
    <x v="1"/>
    <b v="0"/>
    <b v="0"/>
    <b v="0"/>
    <x v="1"/>
    <b v="1"/>
  </r>
  <r>
    <s v="S-9f7b07"/>
    <s v="A-42e5e1"/>
    <d v="2024-11-28T00:00:00"/>
    <m/>
    <x v="1"/>
    <n v="10"/>
    <n v="490"/>
    <n v="5880"/>
    <x v="0"/>
    <b v="0"/>
    <b v="0"/>
    <b v="0"/>
    <x v="1"/>
    <b v="0"/>
  </r>
  <r>
    <s v="S-9f8593"/>
    <s v="A-396e5f"/>
    <d v="2024-10-23T00:00:00"/>
    <m/>
    <x v="0"/>
    <n v="2"/>
    <n v="0"/>
    <n v="0"/>
    <x v="1"/>
    <b v="0"/>
    <b v="0"/>
    <b v="0"/>
    <x v="0"/>
    <b v="1"/>
  </r>
  <r>
    <s v="S-ef2990"/>
    <s v="A-76fa4d"/>
    <d v="2024-11-29T00:00:00"/>
    <m/>
    <x v="1"/>
    <n v="69"/>
    <n v="3381"/>
    <n v="40572"/>
    <x v="0"/>
    <b v="0"/>
    <b v="0"/>
    <b v="0"/>
    <x v="1"/>
    <b v="1"/>
  </r>
  <r>
    <s v="S-66b994"/>
    <s v="A-7f4db3"/>
    <d v="2024-10-29T00:00:00"/>
    <m/>
    <x v="2"/>
    <n v="23"/>
    <n v="0"/>
    <n v="0"/>
    <x v="1"/>
    <b v="0"/>
    <b v="1"/>
    <b v="0"/>
    <x v="1"/>
    <b v="1"/>
  </r>
  <r>
    <s v="S-8b64df"/>
    <s v="A-92a333"/>
    <d v="2023-08-04T00:00:00"/>
    <m/>
    <x v="2"/>
    <n v="9"/>
    <n v="171"/>
    <n v="2052"/>
    <x v="0"/>
    <b v="0"/>
    <b v="1"/>
    <b v="0"/>
    <x v="1"/>
    <b v="1"/>
  </r>
  <r>
    <s v="S-f57b2b"/>
    <s v="A-20736a"/>
    <d v="2024-05-09T00:00:00"/>
    <m/>
    <x v="1"/>
    <n v="50"/>
    <n v="2450"/>
    <n v="29400"/>
    <x v="0"/>
    <b v="0"/>
    <b v="0"/>
    <b v="0"/>
    <x v="1"/>
    <b v="1"/>
  </r>
  <r>
    <s v="S-c41b43"/>
    <s v="A-9f9299"/>
    <d v="2024-11-17T00:00:00"/>
    <m/>
    <x v="2"/>
    <n v="28"/>
    <n v="532"/>
    <n v="6384"/>
    <x v="0"/>
    <b v="0"/>
    <b v="0"/>
    <b v="0"/>
    <x v="0"/>
    <b v="1"/>
  </r>
  <r>
    <s v="S-a3455c"/>
    <s v="A-e51ec7"/>
    <d v="2024-09-16T00:00:00"/>
    <m/>
    <x v="0"/>
    <n v="2"/>
    <n v="0"/>
    <n v="0"/>
    <x v="1"/>
    <b v="0"/>
    <b v="0"/>
    <b v="0"/>
    <x v="1"/>
    <b v="1"/>
  </r>
  <r>
    <s v="S-479d9a"/>
    <s v="A-463db0"/>
    <d v="2024-12-12T00:00:00"/>
    <m/>
    <x v="2"/>
    <n v="37"/>
    <n v="703"/>
    <n v="8436"/>
    <x v="0"/>
    <b v="0"/>
    <b v="0"/>
    <b v="0"/>
    <x v="0"/>
    <b v="1"/>
  </r>
  <r>
    <s v="S-fa03a5"/>
    <s v="A-7dacce"/>
    <d v="2024-11-27T00:00:00"/>
    <m/>
    <x v="1"/>
    <n v="12"/>
    <n v="588"/>
    <n v="7056"/>
    <x v="0"/>
    <b v="0"/>
    <b v="0"/>
    <b v="0"/>
    <x v="1"/>
    <b v="1"/>
  </r>
  <r>
    <s v="S-10ab8d"/>
    <s v="A-9f0b68"/>
    <d v="2024-09-02T00:00:00"/>
    <m/>
    <x v="0"/>
    <n v="13"/>
    <n v="2587"/>
    <n v="31044"/>
    <x v="0"/>
    <b v="0"/>
    <b v="0"/>
    <b v="0"/>
    <x v="1"/>
    <b v="0"/>
  </r>
  <r>
    <s v="S-1ade0b"/>
    <s v="A-22d9d2"/>
    <d v="2024-10-24T00:00:00"/>
    <m/>
    <x v="1"/>
    <n v="92"/>
    <n v="4508"/>
    <n v="54096"/>
    <x v="0"/>
    <b v="1"/>
    <b v="0"/>
    <b v="0"/>
    <x v="0"/>
    <b v="0"/>
  </r>
  <r>
    <s v="S-a9ca9b"/>
    <s v="A-b9eed8"/>
    <d v="2024-10-06T00:00:00"/>
    <m/>
    <x v="0"/>
    <n v="17"/>
    <n v="3383"/>
    <n v="40596"/>
    <x v="0"/>
    <b v="0"/>
    <b v="0"/>
    <b v="0"/>
    <x v="1"/>
    <b v="1"/>
  </r>
  <r>
    <s v="S-efe3f6"/>
    <s v="A-dfbd31"/>
    <d v="2024-04-27T00:00:00"/>
    <m/>
    <x v="1"/>
    <n v="17"/>
    <n v="833"/>
    <n v="9996"/>
    <x v="0"/>
    <b v="0"/>
    <b v="0"/>
    <b v="0"/>
    <x v="0"/>
    <b v="1"/>
  </r>
  <r>
    <s v="S-20f505"/>
    <s v="A-e1b9cd"/>
    <d v="2023-11-05T00:00:00"/>
    <m/>
    <x v="1"/>
    <n v="78"/>
    <n v="3822"/>
    <n v="45864"/>
    <x v="0"/>
    <b v="0"/>
    <b v="0"/>
    <b v="0"/>
    <x v="1"/>
    <b v="1"/>
  </r>
  <r>
    <s v="S-ab3ad8"/>
    <s v="A-cd458b"/>
    <d v="2024-07-12T00:00:00"/>
    <m/>
    <x v="2"/>
    <n v="10"/>
    <n v="190"/>
    <n v="2280"/>
    <x v="0"/>
    <b v="0"/>
    <b v="0"/>
    <b v="0"/>
    <x v="1"/>
    <b v="1"/>
  </r>
  <r>
    <s v="S-d3bd2f"/>
    <s v="A-81edc3"/>
    <d v="2024-06-08T00:00:00"/>
    <m/>
    <x v="2"/>
    <n v="24"/>
    <n v="456"/>
    <n v="5472"/>
    <x v="0"/>
    <b v="0"/>
    <b v="0"/>
    <b v="0"/>
    <x v="0"/>
    <b v="1"/>
  </r>
  <r>
    <s v="S-c8a3f6"/>
    <s v="A-4e44e8"/>
    <d v="2024-09-04T00:00:00"/>
    <m/>
    <x v="2"/>
    <n v="6"/>
    <n v="114"/>
    <n v="1368"/>
    <x v="0"/>
    <b v="0"/>
    <b v="0"/>
    <b v="0"/>
    <x v="0"/>
    <b v="0"/>
  </r>
  <r>
    <s v="S-5cda31"/>
    <s v="A-832ec2"/>
    <d v="2024-03-04T00:00:00"/>
    <m/>
    <x v="2"/>
    <n v="5"/>
    <n v="95"/>
    <n v="1140"/>
    <x v="0"/>
    <b v="0"/>
    <b v="0"/>
    <b v="0"/>
    <x v="1"/>
    <b v="0"/>
  </r>
  <r>
    <s v="S-34cfad"/>
    <s v="A-5a3eb9"/>
    <d v="2023-12-15T00:00:00"/>
    <m/>
    <x v="2"/>
    <n v="29"/>
    <n v="551"/>
    <n v="6612"/>
    <x v="0"/>
    <b v="0"/>
    <b v="0"/>
    <b v="0"/>
    <x v="1"/>
    <b v="1"/>
  </r>
  <r>
    <s v="S-bb84b1"/>
    <s v="A-af0cd2"/>
    <d v="2023-10-12T00:00:00"/>
    <m/>
    <x v="2"/>
    <n v="30"/>
    <n v="570"/>
    <n v="6840"/>
    <x v="0"/>
    <b v="0"/>
    <b v="0"/>
    <b v="0"/>
    <x v="1"/>
    <b v="1"/>
  </r>
  <r>
    <s v="S-73cd99"/>
    <s v="A-726cfa"/>
    <d v="2024-09-06T00:00:00"/>
    <m/>
    <x v="0"/>
    <n v="11"/>
    <n v="0"/>
    <n v="0"/>
    <x v="1"/>
    <b v="0"/>
    <b v="0"/>
    <b v="0"/>
    <x v="0"/>
    <b v="1"/>
  </r>
  <r>
    <s v="S-6bc703"/>
    <s v="A-c37cab"/>
    <d v="2024-08-01T00:00:00"/>
    <m/>
    <x v="0"/>
    <n v="13"/>
    <n v="2587"/>
    <n v="31044"/>
    <x v="0"/>
    <b v="0"/>
    <b v="0"/>
    <b v="0"/>
    <x v="0"/>
    <b v="1"/>
  </r>
  <r>
    <s v="S-9b5676"/>
    <s v="A-1e50e0"/>
    <d v="2024-03-02T00:00:00"/>
    <m/>
    <x v="1"/>
    <n v="98"/>
    <n v="4802"/>
    <n v="57624"/>
    <x v="0"/>
    <b v="0"/>
    <b v="0"/>
    <b v="0"/>
    <x v="0"/>
    <b v="0"/>
  </r>
  <r>
    <s v="S-d30d10"/>
    <s v="A-c45b23"/>
    <d v="2024-10-06T00:00:00"/>
    <m/>
    <x v="2"/>
    <n v="7"/>
    <n v="133"/>
    <n v="1596"/>
    <x v="0"/>
    <b v="0"/>
    <b v="0"/>
    <b v="0"/>
    <x v="0"/>
    <b v="0"/>
  </r>
  <r>
    <s v="S-b3f236"/>
    <s v="A-712533"/>
    <d v="2024-07-15T00:00:00"/>
    <m/>
    <x v="0"/>
    <n v="18"/>
    <n v="3582"/>
    <n v="42984"/>
    <x v="0"/>
    <b v="0"/>
    <b v="0"/>
    <b v="0"/>
    <x v="0"/>
    <b v="1"/>
  </r>
  <r>
    <s v="S-929a7c"/>
    <s v="A-328bd0"/>
    <d v="2023-08-10T00:00:00"/>
    <m/>
    <x v="2"/>
    <n v="28"/>
    <n v="0"/>
    <n v="0"/>
    <x v="1"/>
    <b v="0"/>
    <b v="0"/>
    <b v="0"/>
    <x v="0"/>
    <b v="1"/>
  </r>
  <r>
    <s v="S-f9092a"/>
    <s v="A-f03140"/>
    <d v="2024-07-10T00:00:00"/>
    <m/>
    <x v="2"/>
    <n v="38"/>
    <n v="722"/>
    <n v="8664"/>
    <x v="0"/>
    <b v="0"/>
    <b v="0"/>
    <b v="0"/>
    <x v="0"/>
    <b v="1"/>
  </r>
  <r>
    <s v="S-c5d797"/>
    <s v="A-35083d"/>
    <d v="2024-08-13T00:00:00"/>
    <m/>
    <x v="0"/>
    <n v="19"/>
    <n v="3781"/>
    <n v="45372"/>
    <x v="0"/>
    <b v="0"/>
    <b v="0"/>
    <b v="0"/>
    <x v="0"/>
    <b v="1"/>
  </r>
  <r>
    <s v="S-99af79"/>
    <s v="A-0532a9"/>
    <d v="2024-10-05T00:00:00"/>
    <m/>
    <x v="2"/>
    <n v="19"/>
    <n v="361"/>
    <n v="4332"/>
    <x v="0"/>
    <b v="0"/>
    <b v="0"/>
    <b v="0"/>
    <x v="1"/>
    <b v="0"/>
  </r>
  <r>
    <s v="S-ce932b"/>
    <s v="A-a1b80b"/>
    <d v="2024-08-24T00:00:00"/>
    <m/>
    <x v="1"/>
    <n v="16"/>
    <n v="784"/>
    <n v="9408"/>
    <x v="0"/>
    <b v="0"/>
    <b v="0"/>
    <b v="0"/>
    <x v="1"/>
    <b v="0"/>
  </r>
  <r>
    <s v="S-1f2b1a"/>
    <s v="A-544d0a"/>
    <d v="2024-06-22T00:00:00"/>
    <m/>
    <x v="1"/>
    <n v="6"/>
    <n v="294"/>
    <n v="3528"/>
    <x v="0"/>
    <b v="0"/>
    <b v="0"/>
    <b v="0"/>
    <x v="0"/>
    <b v="1"/>
  </r>
  <r>
    <s v="S-a14c42"/>
    <s v="A-4d1e75"/>
    <d v="2024-10-10T00:00:00"/>
    <m/>
    <x v="2"/>
    <n v="20"/>
    <n v="380"/>
    <n v="4560"/>
    <x v="0"/>
    <b v="0"/>
    <b v="0"/>
    <b v="0"/>
    <x v="0"/>
    <b v="1"/>
  </r>
  <r>
    <s v="S-147ad7"/>
    <s v="A-54ecc2"/>
    <d v="2024-08-29T00:00:00"/>
    <m/>
    <x v="2"/>
    <n v="4"/>
    <n v="76"/>
    <n v="912"/>
    <x v="0"/>
    <b v="0"/>
    <b v="0"/>
    <b v="0"/>
    <x v="1"/>
    <b v="1"/>
  </r>
  <r>
    <s v="S-69fb37"/>
    <s v="A-e4bf56"/>
    <d v="2024-12-12T00:00:00"/>
    <m/>
    <x v="1"/>
    <n v="17"/>
    <n v="833"/>
    <n v="9996"/>
    <x v="0"/>
    <b v="0"/>
    <b v="0"/>
    <b v="0"/>
    <x v="1"/>
    <b v="1"/>
  </r>
  <r>
    <s v="S-d90352"/>
    <s v="A-f9cc74"/>
    <d v="2024-12-05T00:00:00"/>
    <m/>
    <x v="0"/>
    <n v="30"/>
    <n v="0"/>
    <n v="0"/>
    <x v="1"/>
    <b v="1"/>
    <b v="0"/>
    <b v="0"/>
    <x v="1"/>
    <b v="1"/>
  </r>
  <r>
    <s v="S-a9a5a1"/>
    <s v="A-7c4956"/>
    <d v="2023-06-05T00:00:00"/>
    <m/>
    <x v="2"/>
    <n v="9"/>
    <n v="171"/>
    <n v="2052"/>
    <x v="0"/>
    <b v="0"/>
    <b v="0"/>
    <b v="0"/>
    <x v="0"/>
    <b v="0"/>
  </r>
  <r>
    <s v="S-daf6b3"/>
    <s v="A-8bde0c"/>
    <d v="2024-11-04T00:00:00"/>
    <m/>
    <x v="1"/>
    <n v="12"/>
    <n v="588"/>
    <n v="7056"/>
    <x v="0"/>
    <b v="0"/>
    <b v="0"/>
    <b v="0"/>
    <x v="0"/>
    <b v="1"/>
  </r>
  <r>
    <s v="S-03bfa3"/>
    <s v="A-bc4d48"/>
    <d v="2024-12-27T00:00:00"/>
    <m/>
    <x v="2"/>
    <n v="35"/>
    <n v="665"/>
    <n v="7980"/>
    <x v="0"/>
    <b v="0"/>
    <b v="0"/>
    <b v="0"/>
    <x v="1"/>
    <b v="1"/>
  </r>
  <r>
    <s v="S-de3170"/>
    <s v="A-98a59a"/>
    <d v="2024-10-27T00:00:00"/>
    <m/>
    <x v="1"/>
    <n v="56"/>
    <n v="2744"/>
    <n v="32928"/>
    <x v="0"/>
    <b v="0"/>
    <b v="0"/>
    <b v="0"/>
    <x v="1"/>
    <b v="1"/>
  </r>
  <r>
    <s v="S-cfbb85"/>
    <s v="A-054577"/>
    <d v="2024-08-06T00:00:00"/>
    <m/>
    <x v="1"/>
    <n v="16"/>
    <n v="784"/>
    <n v="9408"/>
    <x v="0"/>
    <b v="1"/>
    <b v="0"/>
    <b v="0"/>
    <x v="0"/>
    <b v="0"/>
  </r>
  <r>
    <s v="S-42f3be"/>
    <s v="A-05f0e5"/>
    <d v="2024-04-29T00:00:00"/>
    <m/>
    <x v="0"/>
    <n v="32"/>
    <n v="6368"/>
    <n v="76416"/>
    <x v="0"/>
    <b v="0"/>
    <b v="0"/>
    <b v="0"/>
    <x v="0"/>
    <b v="1"/>
  </r>
  <r>
    <s v="S-c04755"/>
    <s v="A-2789e3"/>
    <d v="2024-10-14T00:00:00"/>
    <m/>
    <x v="2"/>
    <n v="11"/>
    <n v="209"/>
    <n v="2508"/>
    <x v="0"/>
    <b v="0"/>
    <b v="0"/>
    <b v="0"/>
    <x v="1"/>
    <b v="1"/>
  </r>
  <r>
    <s v="S-bfca66"/>
    <s v="A-10b8da"/>
    <d v="2023-06-09T00:00:00"/>
    <m/>
    <x v="2"/>
    <n v="14"/>
    <n v="266"/>
    <n v="3192"/>
    <x v="0"/>
    <b v="0"/>
    <b v="0"/>
    <b v="0"/>
    <x v="1"/>
    <b v="0"/>
  </r>
  <r>
    <s v="S-cdf625"/>
    <s v="A-c222ab"/>
    <d v="2024-08-24T00:00:00"/>
    <m/>
    <x v="1"/>
    <n v="32"/>
    <n v="1568"/>
    <n v="18816"/>
    <x v="0"/>
    <b v="0"/>
    <b v="0"/>
    <b v="0"/>
    <x v="0"/>
    <b v="1"/>
  </r>
  <r>
    <s v="S-d8f67e"/>
    <s v="A-f97b9a"/>
    <d v="2024-06-11T00:00:00"/>
    <m/>
    <x v="0"/>
    <n v="36"/>
    <n v="7164"/>
    <n v="85968"/>
    <x v="0"/>
    <b v="0"/>
    <b v="0"/>
    <b v="0"/>
    <x v="0"/>
    <b v="1"/>
  </r>
  <r>
    <s v="S-80af39"/>
    <s v="A-7f29a7"/>
    <d v="2024-09-26T00:00:00"/>
    <m/>
    <x v="2"/>
    <n v="41"/>
    <n v="779"/>
    <n v="9348"/>
    <x v="0"/>
    <b v="0"/>
    <b v="0"/>
    <b v="0"/>
    <x v="0"/>
    <b v="1"/>
  </r>
  <r>
    <s v="S-11034a"/>
    <s v="A-9bfc9f"/>
    <d v="2024-07-11T00:00:00"/>
    <m/>
    <x v="1"/>
    <n v="53"/>
    <n v="2597"/>
    <n v="31164"/>
    <x v="0"/>
    <b v="1"/>
    <b v="1"/>
    <b v="0"/>
    <x v="1"/>
    <b v="1"/>
  </r>
  <r>
    <s v="S-40d3aa"/>
    <s v="A-9badbd"/>
    <d v="2024-08-22T00:00:00"/>
    <m/>
    <x v="2"/>
    <n v="103"/>
    <n v="1957"/>
    <n v="23484"/>
    <x v="0"/>
    <b v="0"/>
    <b v="0"/>
    <b v="0"/>
    <x v="0"/>
    <b v="1"/>
  </r>
  <r>
    <s v="S-679640"/>
    <s v="A-b44e3e"/>
    <d v="2024-06-25T00:00:00"/>
    <m/>
    <x v="0"/>
    <n v="40"/>
    <n v="7960"/>
    <n v="95520"/>
    <x v="0"/>
    <b v="0"/>
    <b v="0"/>
    <b v="0"/>
    <x v="0"/>
    <b v="0"/>
  </r>
  <r>
    <s v="S-cb853a"/>
    <s v="A-c37cab"/>
    <d v="2024-12-17T00:00:00"/>
    <m/>
    <x v="2"/>
    <n v="23"/>
    <n v="437"/>
    <n v="5244"/>
    <x v="0"/>
    <b v="0"/>
    <b v="0"/>
    <b v="0"/>
    <x v="1"/>
    <b v="1"/>
  </r>
  <r>
    <s v="S-f553b5"/>
    <s v="A-6da850"/>
    <d v="2023-10-08T00:00:00"/>
    <m/>
    <x v="1"/>
    <n v="34"/>
    <n v="1666"/>
    <n v="19992"/>
    <x v="0"/>
    <b v="1"/>
    <b v="0"/>
    <b v="0"/>
    <x v="0"/>
    <b v="1"/>
  </r>
  <r>
    <s v="S-fb0905"/>
    <s v="A-09316c"/>
    <d v="2024-12-10T00:00:00"/>
    <m/>
    <x v="2"/>
    <n v="70"/>
    <n v="1330"/>
    <n v="15960"/>
    <x v="0"/>
    <b v="0"/>
    <b v="0"/>
    <b v="0"/>
    <x v="1"/>
    <b v="1"/>
  </r>
  <r>
    <s v="S-0fc73c"/>
    <s v="A-9affe6"/>
    <d v="2023-09-14T00:00:00"/>
    <m/>
    <x v="2"/>
    <n v="56"/>
    <n v="1064"/>
    <n v="12768"/>
    <x v="0"/>
    <b v="0"/>
    <b v="0"/>
    <b v="0"/>
    <x v="1"/>
    <b v="1"/>
  </r>
  <r>
    <s v="S-7e7a73"/>
    <s v="A-89ee83"/>
    <d v="2024-12-20T00:00:00"/>
    <m/>
    <x v="0"/>
    <n v="16"/>
    <n v="3184"/>
    <n v="38208"/>
    <x v="0"/>
    <b v="0"/>
    <b v="0"/>
    <b v="0"/>
    <x v="0"/>
    <b v="1"/>
  </r>
  <r>
    <s v="S-2dc98b"/>
    <s v="A-5a92e7"/>
    <d v="2024-11-08T00:00:00"/>
    <m/>
    <x v="1"/>
    <n v="9"/>
    <n v="441"/>
    <n v="5292"/>
    <x v="0"/>
    <b v="0"/>
    <b v="0"/>
    <b v="0"/>
    <x v="1"/>
    <b v="1"/>
  </r>
  <r>
    <s v="S-16f4a2"/>
    <s v="A-e08cd3"/>
    <d v="2024-11-10T00:00:00"/>
    <m/>
    <x v="0"/>
    <n v="67"/>
    <n v="13333"/>
    <n v="159996"/>
    <x v="0"/>
    <b v="0"/>
    <b v="0"/>
    <b v="0"/>
    <x v="1"/>
    <b v="1"/>
  </r>
  <r>
    <s v="S-6630bc"/>
    <s v="A-600734"/>
    <d v="2024-03-07T00:00:00"/>
    <m/>
    <x v="0"/>
    <n v="29"/>
    <n v="5771"/>
    <n v="69252"/>
    <x v="0"/>
    <b v="0"/>
    <b v="0"/>
    <b v="0"/>
    <x v="0"/>
    <b v="1"/>
  </r>
  <r>
    <s v="S-bd2ab2"/>
    <s v="A-186a44"/>
    <d v="2024-11-23T00:00:00"/>
    <m/>
    <x v="0"/>
    <n v="47"/>
    <n v="9353"/>
    <n v="112236"/>
    <x v="0"/>
    <b v="0"/>
    <b v="0"/>
    <b v="0"/>
    <x v="1"/>
    <b v="1"/>
  </r>
  <r>
    <s v="S-97bc99"/>
    <s v="A-82861f"/>
    <d v="2024-05-25T00:00:00"/>
    <m/>
    <x v="1"/>
    <n v="46"/>
    <n v="2254"/>
    <n v="27048"/>
    <x v="0"/>
    <b v="0"/>
    <b v="0"/>
    <b v="0"/>
    <x v="1"/>
    <b v="1"/>
  </r>
  <r>
    <s v="S-0c0ddf"/>
    <s v="A-65c341"/>
    <d v="2024-10-05T00:00:00"/>
    <m/>
    <x v="0"/>
    <n v="11"/>
    <n v="2189"/>
    <n v="26268"/>
    <x v="0"/>
    <b v="0"/>
    <b v="0"/>
    <b v="0"/>
    <x v="1"/>
    <b v="1"/>
  </r>
  <r>
    <s v="S-f45fe3"/>
    <s v="A-02fac6"/>
    <d v="2024-05-30T00:00:00"/>
    <m/>
    <x v="1"/>
    <n v="59"/>
    <n v="2891"/>
    <n v="34692"/>
    <x v="0"/>
    <b v="0"/>
    <b v="0"/>
    <b v="0"/>
    <x v="0"/>
    <b v="1"/>
  </r>
  <r>
    <s v="S-936fa3"/>
    <s v="A-02cd81"/>
    <d v="2024-07-16T00:00:00"/>
    <m/>
    <x v="1"/>
    <n v="44"/>
    <n v="2156"/>
    <n v="25872"/>
    <x v="0"/>
    <b v="0"/>
    <b v="0"/>
    <b v="0"/>
    <x v="1"/>
    <b v="1"/>
  </r>
  <r>
    <s v="S-82df6c"/>
    <s v="A-ac9111"/>
    <d v="2023-09-06T00:00:00"/>
    <m/>
    <x v="1"/>
    <n v="41"/>
    <n v="2009"/>
    <n v="24108"/>
    <x v="0"/>
    <b v="0"/>
    <b v="1"/>
    <b v="0"/>
    <x v="1"/>
    <b v="1"/>
  </r>
  <r>
    <s v="S-a83bc2"/>
    <s v="A-b07b56"/>
    <d v="2024-11-25T00:00:00"/>
    <m/>
    <x v="2"/>
    <n v="25"/>
    <n v="475"/>
    <n v="5700"/>
    <x v="0"/>
    <b v="0"/>
    <b v="0"/>
    <b v="0"/>
    <x v="0"/>
    <b v="0"/>
  </r>
  <r>
    <s v="S-69a7ce"/>
    <s v="A-58b9ff"/>
    <d v="2024-07-14T00:00:00"/>
    <m/>
    <x v="1"/>
    <n v="6"/>
    <n v="294"/>
    <n v="3528"/>
    <x v="0"/>
    <b v="0"/>
    <b v="0"/>
    <b v="0"/>
    <x v="1"/>
    <b v="1"/>
  </r>
  <r>
    <s v="S-522a6f"/>
    <s v="A-3a7284"/>
    <d v="2024-11-30T00:00:00"/>
    <m/>
    <x v="0"/>
    <n v="39"/>
    <n v="7761"/>
    <n v="93132"/>
    <x v="0"/>
    <b v="0"/>
    <b v="0"/>
    <b v="0"/>
    <x v="1"/>
    <b v="1"/>
  </r>
  <r>
    <s v="S-1a04fe"/>
    <s v="A-4e631b"/>
    <d v="2024-05-13T00:00:00"/>
    <m/>
    <x v="0"/>
    <n v="22"/>
    <n v="4378"/>
    <n v="52536"/>
    <x v="0"/>
    <b v="1"/>
    <b v="0"/>
    <b v="0"/>
    <x v="1"/>
    <b v="1"/>
  </r>
  <r>
    <s v="S-d22ebe"/>
    <s v="A-5a92e7"/>
    <d v="2024-06-14T00:00:00"/>
    <m/>
    <x v="2"/>
    <n v="9"/>
    <n v="171"/>
    <n v="2052"/>
    <x v="0"/>
    <b v="0"/>
    <b v="0"/>
    <b v="0"/>
    <x v="1"/>
    <b v="1"/>
  </r>
  <r>
    <s v="S-fa781b"/>
    <s v="A-271f46"/>
    <d v="2024-04-25T00:00:00"/>
    <m/>
    <x v="0"/>
    <n v="38"/>
    <n v="0"/>
    <n v="0"/>
    <x v="1"/>
    <b v="0"/>
    <b v="0"/>
    <b v="0"/>
    <x v="0"/>
    <b v="1"/>
  </r>
  <r>
    <s v="S-718116"/>
    <s v="A-462d45"/>
    <d v="2024-05-03T00:00:00"/>
    <m/>
    <x v="1"/>
    <n v="11"/>
    <n v="539"/>
    <n v="6468"/>
    <x v="0"/>
    <b v="0"/>
    <b v="1"/>
    <b v="0"/>
    <x v="0"/>
    <b v="1"/>
  </r>
  <r>
    <s v="S-ce5fb5"/>
    <s v="A-fd9422"/>
    <d v="2024-11-25T00:00:00"/>
    <m/>
    <x v="0"/>
    <n v="58"/>
    <n v="0"/>
    <n v="0"/>
    <x v="1"/>
    <b v="0"/>
    <b v="0"/>
    <b v="0"/>
    <x v="0"/>
    <b v="1"/>
  </r>
  <r>
    <s v="S-2ebd06"/>
    <s v="A-32728c"/>
    <d v="2023-04-04T00:00:00"/>
    <m/>
    <x v="1"/>
    <n v="20"/>
    <n v="980"/>
    <n v="11760"/>
    <x v="0"/>
    <b v="0"/>
    <b v="0"/>
    <b v="0"/>
    <x v="0"/>
    <b v="1"/>
  </r>
  <r>
    <s v="S-03a939"/>
    <s v="A-cd458b"/>
    <d v="2024-07-25T00:00:00"/>
    <m/>
    <x v="0"/>
    <n v="26"/>
    <n v="5174"/>
    <n v="62088"/>
    <x v="0"/>
    <b v="0"/>
    <b v="0"/>
    <b v="0"/>
    <x v="0"/>
    <b v="1"/>
  </r>
  <r>
    <s v="S-fc65aa"/>
    <s v="A-eb1312"/>
    <d v="2024-12-27T00:00:00"/>
    <m/>
    <x v="0"/>
    <n v="25"/>
    <n v="4975"/>
    <n v="59700"/>
    <x v="0"/>
    <b v="0"/>
    <b v="0"/>
    <b v="0"/>
    <x v="1"/>
    <b v="1"/>
  </r>
  <r>
    <s v="S-6d9231"/>
    <s v="A-c37601"/>
    <d v="2024-12-24T00:00:00"/>
    <m/>
    <x v="0"/>
    <n v="12"/>
    <n v="2388"/>
    <n v="28656"/>
    <x v="0"/>
    <b v="0"/>
    <b v="0"/>
    <b v="0"/>
    <x v="0"/>
    <b v="1"/>
  </r>
  <r>
    <s v="S-4b15c4"/>
    <s v="A-65aeb5"/>
    <d v="2024-08-01T00:00:00"/>
    <m/>
    <x v="0"/>
    <n v="18"/>
    <n v="3582"/>
    <n v="42984"/>
    <x v="0"/>
    <b v="0"/>
    <b v="0"/>
    <b v="0"/>
    <x v="1"/>
    <b v="1"/>
  </r>
  <r>
    <s v="S-66f0d0"/>
    <s v="A-0158bb"/>
    <d v="2024-06-28T00:00:00"/>
    <m/>
    <x v="2"/>
    <n v="35"/>
    <n v="665"/>
    <n v="7980"/>
    <x v="0"/>
    <b v="0"/>
    <b v="0"/>
    <b v="0"/>
    <x v="0"/>
    <b v="1"/>
  </r>
  <r>
    <s v="S-95aaf8"/>
    <s v="A-781cc0"/>
    <d v="2024-10-30T00:00:00"/>
    <m/>
    <x v="2"/>
    <n v="12"/>
    <n v="228"/>
    <n v="2736"/>
    <x v="0"/>
    <b v="0"/>
    <b v="0"/>
    <b v="0"/>
    <x v="1"/>
    <b v="1"/>
  </r>
  <r>
    <s v="S-3a2aee"/>
    <s v="A-e08cd3"/>
    <d v="2024-12-14T00:00:00"/>
    <m/>
    <x v="0"/>
    <n v="67"/>
    <n v="0"/>
    <n v="0"/>
    <x v="1"/>
    <b v="0"/>
    <b v="0"/>
    <b v="0"/>
    <x v="0"/>
    <b v="1"/>
  </r>
  <r>
    <s v="S-66a834"/>
    <s v="A-659280"/>
    <d v="2023-12-23T00:00:00"/>
    <m/>
    <x v="0"/>
    <n v="31"/>
    <n v="6169"/>
    <n v="74028"/>
    <x v="0"/>
    <b v="0"/>
    <b v="0"/>
    <b v="0"/>
    <x v="1"/>
    <b v="0"/>
  </r>
  <r>
    <s v="S-e9b437"/>
    <s v="A-0f7d77"/>
    <d v="2024-11-30T00:00:00"/>
    <m/>
    <x v="1"/>
    <n v="11"/>
    <n v="539"/>
    <n v="6468"/>
    <x v="0"/>
    <b v="0"/>
    <b v="0"/>
    <b v="0"/>
    <x v="0"/>
    <b v="1"/>
  </r>
  <r>
    <s v="S-61a647"/>
    <s v="A-726cfa"/>
    <d v="2023-11-01T00:00:00"/>
    <m/>
    <x v="1"/>
    <n v="11"/>
    <n v="539"/>
    <n v="6468"/>
    <x v="0"/>
    <b v="0"/>
    <b v="0"/>
    <b v="0"/>
    <x v="1"/>
    <b v="1"/>
  </r>
  <r>
    <s v="S-ef2703"/>
    <s v="A-0b0d6d"/>
    <d v="2024-12-30T00:00:00"/>
    <m/>
    <x v="0"/>
    <n v="36"/>
    <n v="7164"/>
    <n v="85968"/>
    <x v="0"/>
    <b v="0"/>
    <b v="0"/>
    <b v="0"/>
    <x v="1"/>
    <b v="1"/>
  </r>
  <r>
    <s v="S-c288ef"/>
    <s v="A-d26ab4"/>
    <d v="2024-12-09T00:00:00"/>
    <m/>
    <x v="1"/>
    <n v="9"/>
    <n v="0"/>
    <n v="0"/>
    <x v="1"/>
    <b v="0"/>
    <b v="0"/>
    <b v="0"/>
    <x v="1"/>
    <b v="1"/>
  </r>
  <r>
    <s v="S-91e96a"/>
    <s v="A-970c97"/>
    <d v="2024-03-06T00:00:00"/>
    <m/>
    <x v="0"/>
    <n v="14"/>
    <n v="2786"/>
    <n v="33432"/>
    <x v="0"/>
    <b v="0"/>
    <b v="1"/>
    <b v="0"/>
    <x v="0"/>
    <b v="0"/>
  </r>
  <r>
    <s v="S-453f00"/>
    <s v="A-45ce7a"/>
    <d v="2023-08-18T00:00:00"/>
    <d v="2024-05-20T00:00:00"/>
    <x v="1"/>
    <n v="16"/>
    <n v="784"/>
    <n v="9408"/>
    <x v="0"/>
    <b v="1"/>
    <b v="1"/>
    <b v="1"/>
    <x v="0"/>
    <b v="1"/>
  </r>
  <r>
    <s v="S-812d97"/>
    <s v="A-249769"/>
    <d v="2024-08-24T00:00:00"/>
    <m/>
    <x v="1"/>
    <n v="19"/>
    <n v="0"/>
    <n v="0"/>
    <x v="1"/>
    <b v="0"/>
    <b v="0"/>
    <b v="0"/>
    <x v="1"/>
    <b v="1"/>
  </r>
  <r>
    <s v="S-39a5a7"/>
    <s v="A-09316c"/>
    <d v="2024-09-22T00:00:00"/>
    <m/>
    <x v="2"/>
    <n v="70"/>
    <n v="1330"/>
    <n v="15960"/>
    <x v="0"/>
    <b v="0"/>
    <b v="0"/>
    <b v="0"/>
    <x v="0"/>
    <b v="1"/>
  </r>
  <r>
    <s v="S-1c06f3"/>
    <s v="A-53f4e3"/>
    <d v="2024-11-05T00:00:00"/>
    <m/>
    <x v="2"/>
    <n v="13"/>
    <n v="247"/>
    <n v="2964"/>
    <x v="0"/>
    <b v="0"/>
    <b v="0"/>
    <b v="0"/>
    <x v="1"/>
    <b v="1"/>
  </r>
  <r>
    <s v="S-c6ff41"/>
    <s v="A-443f6f"/>
    <d v="2024-12-19T00:00:00"/>
    <m/>
    <x v="2"/>
    <n v="38"/>
    <n v="722"/>
    <n v="8664"/>
    <x v="0"/>
    <b v="0"/>
    <b v="0"/>
    <b v="0"/>
    <x v="0"/>
    <b v="1"/>
  </r>
  <r>
    <s v="S-108caf"/>
    <s v="A-6dee43"/>
    <d v="2023-10-31T00:00:00"/>
    <m/>
    <x v="0"/>
    <n v="12"/>
    <n v="2388"/>
    <n v="28656"/>
    <x v="0"/>
    <b v="0"/>
    <b v="0"/>
    <b v="0"/>
    <x v="1"/>
    <b v="1"/>
  </r>
  <r>
    <s v="S-644316"/>
    <s v="A-cdf020"/>
    <d v="2024-10-07T00:00:00"/>
    <m/>
    <x v="0"/>
    <n v="23"/>
    <n v="4577"/>
    <n v="54924"/>
    <x v="0"/>
    <b v="1"/>
    <b v="0"/>
    <b v="0"/>
    <x v="1"/>
    <b v="1"/>
  </r>
  <r>
    <s v="S-d54349"/>
    <s v="A-016043"/>
    <d v="2024-09-11T00:00:00"/>
    <m/>
    <x v="0"/>
    <n v="20"/>
    <n v="3980"/>
    <n v="47760"/>
    <x v="0"/>
    <b v="0"/>
    <b v="0"/>
    <b v="0"/>
    <x v="1"/>
    <b v="1"/>
  </r>
  <r>
    <s v="S-10a1b5"/>
    <s v="A-e98302"/>
    <d v="2024-09-09T00:00:00"/>
    <m/>
    <x v="2"/>
    <n v="34"/>
    <n v="646"/>
    <n v="7752"/>
    <x v="0"/>
    <b v="0"/>
    <b v="0"/>
    <b v="0"/>
    <x v="1"/>
    <b v="0"/>
  </r>
  <r>
    <s v="S-93fa71"/>
    <s v="A-309e54"/>
    <d v="2024-12-21T00:00:00"/>
    <m/>
    <x v="0"/>
    <n v="59"/>
    <n v="11741"/>
    <n v="140892"/>
    <x v="0"/>
    <b v="0"/>
    <b v="1"/>
    <b v="0"/>
    <x v="1"/>
    <b v="1"/>
  </r>
  <r>
    <s v="S-550202"/>
    <s v="A-bb3bd4"/>
    <d v="2024-12-17T00:00:00"/>
    <m/>
    <x v="2"/>
    <n v="23"/>
    <n v="437"/>
    <n v="5244"/>
    <x v="0"/>
    <b v="0"/>
    <b v="0"/>
    <b v="0"/>
    <x v="1"/>
    <b v="1"/>
  </r>
  <r>
    <s v="S-07399c"/>
    <s v="A-4e44e8"/>
    <d v="2024-11-18T00:00:00"/>
    <m/>
    <x v="2"/>
    <n v="29"/>
    <n v="551"/>
    <n v="6612"/>
    <x v="0"/>
    <b v="0"/>
    <b v="0"/>
    <b v="0"/>
    <x v="0"/>
    <b v="1"/>
  </r>
  <r>
    <s v="S-f4e174"/>
    <s v="A-ae052e"/>
    <d v="2024-12-17T00:00:00"/>
    <m/>
    <x v="2"/>
    <n v="39"/>
    <n v="0"/>
    <n v="0"/>
    <x v="1"/>
    <b v="0"/>
    <b v="0"/>
    <b v="0"/>
    <x v="1"/>
    <b v="1"/>
  </r>
  <r>
    <s v="S-3b5eb3"/>
    <s v="A-6f8ad2"/>
    <d v="2024-10-07T00:00:00"/>
    <d v="2024-10-12T00:00:00"/>
    <x v="1"/>
    <n v="70"/>
    <n v="0"/>
    <n v="0"/>
    <x v="1"/>
    <b v="1"/>
    <b v="0"/>
    <b v="1"/>
    <x v="1"/>
    <b v="1"/>
  </r>
  <r>
    <s v="S-08c8e1"/>
    <s v="A-31ab9a"/>
    <d v="2024-12-10T00:00:00"/>
    <m/>
    <x v="0"/>
    <n v="14"/>
    <n v="2786"/>
    <n v="33432"/>
    <x v="0"/>
    <b v="0"/>
    <b v="0"/>
    <b v="0"/>
    <x v="0"/>
    <b v="1"/>
  </r>
  <r>
    <s v="S-6b977f"/>
    <s v="A-7988d1"/>
    <d v="2024-08-25T00:00:00"/>
    <m/>
    <x v="1"/>
    <n v="33"/>
    <n v="1617"/>
    <n v="19404"/>
    <x v="0"/>
    <b v="0"/>
    <b v="0"/>
    <b v="0"/>
    <x v="0"/>
    <b v="0"/>
  </r>
  <r>
    <s v="S-c1f8e1"/>
    <s v="A-0532a9"/>
    <d v="2024-12-26T00:00:00"/>
    <m/>
    <x v="1"/>
    <n v="19"/>
    <n v="931"/>
    <n v="11172"/>
    <x v="0"/>
    <b v="1"/>
    <b v="0"/>
    <b v="0"/>
    <x v="1"/>
    <b v="0"/>
  </r>
  <r>
    <s v="S-9030e0"/>
    <s v="A-32728c"/>
    <d v="2024-04-18T00:00:00"/>
    <m/>
    <x v="0"/>
    <n v="20"/>
    <n v="0"/>
    <n v="0"/>
    <x v="1"/>
    <b v="1"/>
    <b v="0"/>
    <b v="0"/>
    <x v="1"/>
    <b v="1"/>
  </r>
  <r>
    <s v="S-02d6c8"/>
    <s v="A-3a7284"/>
    <d v="2024-12-05T00:00:00"/>
    <m/>
    <x v="0"/>
    <n v="31"/>
    <n v="6169"/>
    <n v="74028"/>
    <x v="0"/>
    <b v="0"/>
    <b v="0"/>
    <b v="0"/>
    <x v="0"/>
    <b v="1"/>
  </r>
  <r>
    <s v="S-599207"/>
    <s v="A-427b69"/>
    <d v="2024-12-08T00:00:00"/>
    <m/>
    <x v="0"/>
    <n v="17"/>
    <n v="3383"/>
    <n v="40596"/>
    <x v="0"/>
    <b v="0"/>
    <b v="0"/>
    <b v="0"/>
    <x v="1"/>
    <b v="1"/>
  </r>
  <r>
    <s v="S-5d8b88"/>
    <s v="A-1d5444"/>
    <d v="2024-11-25T00:00:00"/>
    <m/>
    <x v="1"/>
    <n v="24"/>
    <n v="1176"/>
    <n v="14112"/>
    <x v="0"/>
    <b v="0"/>
    <b v="0"/>
    <b v="0"/>
    <x v="1"/>
    <b v="1"/>
  </r>
  <r>
    <s v="S-ac01fb"/>
    <s v="A-533452"/>
    <d v="2024-11-27T00:00:00"/>
    <m/>
    <x v="0"/>
    <n v="14"/>
    <n v="0"/>
    <n v="0"/>
    <x v="1"/>
    <b v="0"/>
    <b v="0"/>
    <b v="0"/>
    <x v="1"/>
    <b v="1"/>
  </r>
  <r>
    <s v="S-b7ef4c"/>
    <s v="A-5ed98d"/>
    <d v="2024-11-25T00:00:00"/>
    <m/>
    <x v="1"/>
    <n v="28"/>
    <n v="1372"/>
    <n v="16464"/>
    <x v="0"/>
    <b v="0"/>
    <b v="0"/>
    <b v="0"/>
    <x v="0"/>
    <b v="0"/>
  </r>
  <r>
    <s v="S-9f0371"/>
    <s v="A-313be3"/>
    <d v="2024-07-03T00:00:00"/>
    <m/>
    <x v="0"/>
    <n v="47"/>
    <n v="0"/>
    <n v="0"/>
    <x v="1"/>
    <b v="0"/>
    <b v="0"/>
    <b v="0"/>
    <x v="1"/>
    <b v="1"/>
  </r>
  <r>
    <s v="S-d914d8"/>
    <s v="A-ee42db"/>
    <d v="2023-06-30T00:00:00"/>
    <m/>
    <x v="1"/>
    <n v="13"/>
    <n v="0"/>
    <n v="0"/>
    <x v="1"/>
    <b v="0"/>
    <b v="1"/>
    <b v="0"/>
    <x v="0"/>
    <b v="1"/>
  </r>
  <r>
    <s v="S-67c131"/>
    <s v="A-432483"/>
    <d v="2024-09-02T00:00:00"/>
    <d v="2024-09-15T00:00:00"/>
    <x v="1"/>
    <n v="13"/>
    <n v="637"/>
    <n v="7644"/>
    <x v="0"/>
    <b v="0"/>
    <b v="0"/>
    <b v="1"/>
    <x v="1"/>
    <b v="1"/>
  </r>
  <r>
    <s v="S-263c1e"/>
    <s v="A-a8b49c"/>
    <d v="2023-12-26T00:00:00"/>
    <m/>
    <x v="1"/>
    <n v="16"/>
    <n v="0"/>
    <n v="0"/>
    <x v="1"/>
    <b v="0"/>
    <b v="0"/>
    <b v="0"/>
    <x v="0"/>
    <b v="1"/>
  </r>
  <r>
    <s v="S-76b964"/>
    <s v="A-39868b"/>
    <d v="2024-10-11T00:00:00"/>
    <m/>
    <x v="1"/>
    <n v="9"/>
    <n v="441"/>
    <n v="5292"/>
    <x v="0"/>
    <b v="1"/>
    <b v="0"/>
    <b v="0"/>
    <x v="0"/>
    <b v="0"/>
  </r>
  <r>
    <s v="S-d4d459"/>
    <s v="A-2e4581"/>
    <d v="2024-12-19T00:00:00"/>
    <m/>
    <x v="0"/>
    <n v="29"/>
    <n v="5771"/>
    <n v="69252"/>
    <x v="0"/>
    <b v="0"/>
    <b v="0"/>
    <b v="0"/>
    <x v="0"/>
    <b v="1"/>
  </r>
  <r>
    <s v="S-b45a10"/>
    <s v="A-313be3"/>
    <d v="2024-08-14T00:00:00"/>
    <m/>
    <x v="1"/>
    <n v="56"/>
    <n v="2744"/>
    <n v="32928"/>
    <x v="0"/>
    <b v="0"/>
    <b v="0"/>
    <b v="0"/>
    <x v="0"/>
    <b v="0"/>
  </r>
  <r>
    <s v="S-1b0848"/>
    <s v="A-dcc3f1"/>
    <d v="2024-01-17T00:00:00"/>
    <m/>
    <x v="1"/>
    <n v="51"/>
    <n v="2499"/>
    <n v="29988"/>
    <x v="0"/>
    <b v="0"/>
    <b v="0"/>
    <b v="0"/>
    <x v="0"/>
    <b v="1"/>
  </r>
  <r>
    <s v="S-00ab51"/>
    <s v="A-ae052e"/>
    <d v="2024-03-31T00:00:00"/>
    <m/>
    <x v="1"/>
    <n v="39"/>
    <n v="1911"/>
    <n v="22932"/>
    <x v="0"/>
    <b v="1"/>
    <b v="0"/>
    <b v="0"/>
    <x v="0"/>
    <b v="1"/>
  </r>
  <r>
    <s v="S-1ccdd4"/>
    <s v="A-54d94a"/>
    <d v="2024-10-21T00:00:00"/>
    <m/>
    <x v="1"/>
    <n v="27"/>
    <n v="1323"/>
    <n v="15876"/>
    <x v="0"/>
    <b v="0"/>
    <b v="0"/>
    <b v="0"/>
    <x v="0"/>
    <b v="1"/>
  </r>
  <r>
    <s v="S-302119"/>
    <s v="A-e1462e"/>
    <d v="2023-04-03T00:00:00"/>
    <m/>
    <x v="0"/>
    <n v="15"/>
    <n v="2985"/>
    <n v="35820"/>
    <x v="0"/>
    <b v="0"/>
    <b v="1"/>
    <b v="0"/>
    <x v="0"/>
    <b v="1"/>
  </r>
  <r>
    <s v="S-65e749"/>
    <s v="A-2d4502"/>
    <d v="2024-07-14T00:00:00"/>
    <m/>
    <x v="2"/>
    <n v="61"/>
    <n v="1159"/>
    <n v="13908"/>
    <x v="0"/>
    <b v="0"/>
    <b v="0"/>
    <b v="0"/>
    <x v="0"/>
    <b v="0"/>
  </r>
  <r>
    <s v="S-05b1b6"/>
    <s v="A-337bc1"/>
    <d v="2023-11-11T00:00:00"/>
    <m/>
    <x v="0"/>
    <n v="34"/>
    <n v="6766"/>
    <n v="81192"/>
    <x v="0"/>
    <b v="0"/>
    <b v="0"/>
    <b v="0"/>
    <x v="0"/>
    <b v="1"/>
  </r>
  <r>
    <s v="S-f2da7f"/>
    <s v="A-1619f8"/>
    <d v="2024-11-05T00:00:00"/>
    <m/>
    <x v="0"/>
    <n v="29"/>
    <n v="5771"/>
    <n v="69252"/>
    <x v="0"/>
    <b v="0"/>
    <b v="0"/>
    <b v="0"/>
    <x v="0"/>
    <b v="1"/>
  </r>
  <r>
    <s v="S-d71fe9"/>
    <s v="A-d62e02"/>
    <d v="2024-10-11T00:00:00"/>
    <m/>
    <x v="0"/>
    <n v="6"/>
    <n v="1194"/>
    <n v="14328"/>
    <x v="0"/>
    <b v="0"/>
    <b v="0"/>
    <b v="0"/>
    <x v="1"/>
    <b v="1"/>
  </r>
  <r>
    <s v="S-f69fca"/>
    <s v="A-4c38bc"/>
    <d v="2024-07-06T00:00:00"/>
    <m/>
    <x v="2"/>
    <n v="36"/>
    <n v="684"/>
    <n v="8208"/>
    <x v="0"/>
    <b v="0"/>
    <b v="0"/>
    <b v="0"/>
    <x v="1"/>
    <b v="1"/>
  </r>
  <r>
    <s v="S-5b322c"/>
    <s v="A-1f0636"/>
    <d v="2024-07-27T00:00:00"/>
    <m/>
    <x v="2"/>
    <n v="105"/>
    <n v="1995"/>
    <n v="23940"/>
    <x v="0"/>
    <b v="0"/>
    <b v="0"/>
    <b v="0"/>
    <x v="1"/>
    <b v="1"/>
  </r>
  <r>
    <s v="S-392e05"/>
    <s v="A-65a46c"/>
    <d v="2024-03-10T00:00:00"/>
    <m/>
    <x v="2"/>
    <n v="45"/>
    <n v="855"/>
    <n v="10260"/>
    <x v="0"/>
    <b v="0"/>
    <b v="0"/>
    <b v="0"/>
    <x v="1"/>
    <b v="1"/>
  </r>
  <r>
    <s v="S-fd3d2d"/>
    <s v="A-e36807"/>
    <d v="2024-10-06T00:00:00"/>
    <m/>
    <x v="0"/>
    <n v="40"/>
    <n v="0"/>
    <n v="0"/>
    <x v="1"/>
    <b v="0"/>
    <b v="0"/>
    <b v="0"/>
    <x v="0"/>
    <b v="1"/>
  </r>
  <r>
    <s v="S-8ddc89"/>
    <s v="A-bd4513"/>
    <d v="2024-11-27T00:00:00"/>
    <m/>
    <x v="0"/>
    <n v="50"/>
    <n v="9950"/>
    <n v="119400"/>
    <x v="0"/>
    <b v="0"/>
    <b v="0"/>
    <b v="0"/>
    <x v="0"/>
    <b v="1"/>
  </r>
  <r>
    <s v="S-07c0da"/>
    <s v="A-068fc6"/>
    <d v="2024-01-02T00:00:00"/>
    <m/>
    <x v="1"/>
    <n v="35"/>
    <n v="0"/>
    <n v="0"/>
    <x v="1"/>
    <b v="0"/>
    <b v="0"/>
    <b v="0"/>
    <x v="1"/>
    <b v="1"/>
  </r>
  <r>
    <s v="S-d1dbf7"/>
    <s v="A-3b37d9"/>
    <d v="2023-12-02T00:00:00"/>
    <m/>
    <x v="1"/>
    <n v="28"/>
    <n v="0"/>
    <n v="0"/>
    <x v="1"/>
    <b v="0"/>
    <b v="0"/>
    <b v="0"/>
    <x v="0"/>
    <b v="1"/>
  </r>
  <r>
    <s v="S-e57fb8"/>
    <s v="A-96e141"/>
    <d v="2023-10-14T00:00:00"/>
    <m/>
    <x v="0"/>
    <n v="40"/>
    <n v="0"/>
    <n v="0"/>
    <x v="1"/>
    <b v="0"/>
    <b v="0"/>
    <b v="0"/>
    <x v="0"/>
    <b v="1"/>
  </r>
  <r>
    <s v="S-b71cfb"/>
    <s v="A-9123ac"/>
    <d v="2024-05-10T00:00:00"/>
    <m/>
    <x v="0"/>
    <n v="15"/>
    <n v="0"/>
    <n v="0"/>
    <x v="1"/>
    <b v="0"/>
    <b v="1"/>
    <b v="0"/>
    <x v="0"/>
    <b v="1"/>
  </r>
  <r>
    <s v="S-a7da97"/>
    <s v="A-5790f4"/>
    <d v="2024-12-25T00:00:00"/>
    <m/>
    <x v="0"/>
    <n v="63"/>
    <n v="12537"/>
    <n v="150444"/>
    <x v="0"/>
    <b v="0"/>
    <b v="0"/>
    <b v="0"/>
    <x v="1"/>
    <b v="0"/>
  </r>
  <r>
    <s v="S-4b005c"/>
    <s v="A-50f3f7"/>
    <d v="2024-01-05T00:00:00"/>
    <m/>
    <x v="0"/>
    <n v="45"/>
    <n v="8955"/>
    <n v="107460"/>
    <x v="0"/>
    <b v="0"/>
    <b v="0"/>
    <b v="0"/>
    <x v="1"/>
    <b v="1"/>
  </r>
  <r>
    <s v="S-605115"/>
    <s v="A-bd4513"/>
    <d v="2024-12-30T00:00:00"/>
    <m/>
    <x v="2"/>
    <n v="50"/>
    <n v="950"/>
    <n v="11400"/>
    <x v="0"/>
    <b v="0"/>
    <b v="0"/>
    <b v="0"/>
    <x v="1"/>
    <b v="1"/>
  </r>
  <r>
    <s v="S-fcbd92"/>
    <s v="A-7f29a7"/>
    <d v="2024-12-21T00:00:00"/>
    <m/>
    <x v="1"/>
    <n v="41"/>
    <n v="2009"/>
    <n v="24108"/>
    <x v="0"/>
    <b v="0"/>
    <b v="0"/>
    <b v="0"/>
    <x v="0"/>
    <b v="1"/>
  </r>
  <r>
    <s v="S-d9e0d1"/>
    <s v="A-812c5b"/>
    <d v="2024-11-15T00:00:00"/>
    <m/>
    <x v="2"/>
    <n v="55"/>
    <n v="1045"/>
    <n v="12540"/>
    <x v="0"/>
    <b v="0"/>
    <b v="0"/>
    <b v="0"/>
    <x v="1"/>
    <b v="1"/>
  </r>
  <r>
    <s v="S-869978"/>
    <s v="A-443f6f"/>
    <d v="2024-12-24T00:00:00"/>
    <m/>
    <x v="0"/>
    <n v="19"/>
    <n v="3781"/>
    <n v="45372"/>
    <x v="0"/>
    <b v="0"/>
    <b v="0"/>
    <b v="0"/>
    <x v="0"/>
    <b v="0"/>
  </r>
  <r>
    <s v="S-5daabf"/>
    <s v="A-533452"/>
    <d v="2024-12-16T00:00:00"/>
    <m/>
    <x v="0"/>
    <n v="9"/>
    <n v="1791"/>
    <n v="21492"/>
    <x v="0"/>
    <b v="1"/>
    <b v="1"/>
    <b v="0"/>
    <x v="0"/>
    <b v="1"/>
  </r>
  <r>
    <s v="S-c0352b"/>
    <s v="A-cc102e"/>
    <d v="2024-11-06T00:00:00"/>
    <m/>
    <x v="1"/>
    <n v="13"/>
    <n v="637"/>
    <n v="7644"/>
    <x v="0"/>
    <b v="0"/>
    <b v="0"/>
    <b v="0"/>
    <x v="0"/>
    <b v="0"/>
  </r>
  <r>
    <s v="S-a648e7"/>
    <s v="A-3b5cd1"/>
    <d v="2024-01-29T00:00:00"/>
    <m/>
    <x v="2"/>
    <n v="13"/>
    <n v="247"/>
    <n v="2964"/>
    <x v="0"/>
    <b v="0"/>
    <b v="0"/>
    <b v="0"/>
    <x v="1"/>
    <b v="0"/>
  </r>
  <r>
    <s v="S-618471"/>
    <s v="A-bbc346"/>
    <d v="2024-10-20T00:00:00"/>
    <m/>
    <x v="0"/>
    <n v="45"/>
    <n v="8955"/>
    <n v="107460"/>
    <x v="0"/>
    <b v="0"/>
    <b v="0"/>
    <b v="0"/>
    <x v="0"/>
    <b v="1"/>
  </r>
  <r>
    <s v="S-a16038"/>
    <s v="A-d4e0d4"/>
    <d v="2024-11-15T00:00:00"/>
    <m/>
    <x v="1"/>
    <n v="117"/>
    <n v="5733"/>
    <n v="68796"/>
    <x v="0"/>
    <b v="0"/>
    <b v="0"/>
    <b v="0"/>
    <x v="0"/>
    <b v="1"/>
  </r>
  <r>
    <s v="S-b805b2"/>
    <s v="A-d77f4c"/>
    <d v="2024-04-13T00:00:00"/>
    <m/>
    <x v="0"/>
    <n v="8"/>
    <n v="1592"/>
    <n v="19104"/>
    <x v="0"/>
    <b v="0"/>
    <b v="0"/>
    <b v="0"/>
    <x v="1"/>
    <b v="0"/>
  </r>
  <r>
    <s v="S-b04b73"/>
    <s v="A-e1b9cd"/>
    <d v="2023-11-24T00:00:00"/>
    <d v="2024-06-27T00:00:00"/>
    <x v="0"/>
    <n v="40"/>
    <n v="7960"/>
    <n v="95520"/>
    <x v="0"/>
    <b v="0"/>
    <b v="0"/>
    <b v="1"/>
    <x v="0"/>
    <b v="1"/>
  </r>
  <r>
    <s v="S-ed4475"/>
    <s v="A-1f559b"/>
    <d v="2024-06-27T00:00:00"/>
    <m/>
    <x v="1"/>
    <n v="12"/>
    <n v="588"/>
    <n v="7056"/>
    <x v="0"/>
    <b v="0"/>
    <b v="0"/>
    <b v="0"/>
    <x v="1"/>
    <b v="1"/>
  </r>
  <r>
    <s v="S-5a1d20"/>
    <s v="A-f97b9a"/>
    <d v="2024-12-08T00:00:00"/>
    <m/>
    <x v="1"/>
    <n v="16"/>
    <n v="784"/>
    <n v="9408"/>
    <x v="0"/>
    <b v="0"/>
    <b v="0"/>
    <b v="0"/>
    <x v="1"/>
    <b v="1"/>
  </r>
  <r>
    <s v="S-c65456"/>
    <s v="A-a33200"/>
    <d v="2024-09-26T00:00:00"/>
    <m/>
    <x v="1"/>
    <n v="29"/>
    <n v="1421"/>
    <n v="17052"/>
    <x v="0"/>
    <b v="0"/>
    <b v="0"/>
    <b v="0"/>
    <x v="1"/>
    <b v="1"/>
  </r>
  <r>
    <s v="S-7fbc53"/>
    <s v="A-2edab2"/>
    <d v="2024-03-29T00:00:00"/>
    <m/>
    <x v="1"/>
    <n v="17"/>
    <n v="833"/>
    <n v="9996"/>
    <x v="0"/>
    <b v="0"/>
    <b v="0"/>
    <b v="0"/>
    <x v="0"/>
    <b v="0"/>
  </r>
  <r>
    <s v="S-0d33fc"/>
    <s v="A-1b707d"/>
    <d v="2023-11-18T00:00:00"/>
    <m/>
    <x v="0"/>
    <n v="16"/>
    <n v="3184"/>
    <n v="38208"/>
    <x v="0"/>
    <b v="0"/>
    <b v="0"/>
    <b v="0"/>
    <x v="0"/>
    <b v="1"/>
  </r>
  <r>
    <s v="S-db3e30"/>
    <s v="A-40de06"/>
    <d v="2023-11-08T00:00:00"/>
    <m/>
    <x v="2"/>
    <n v="28"/>
    <n v="532"/>
    <n v="6384"/>
    <x v="0"/>
    <b v="0"/>
    <b v="0"/>
    <b v="0"/>
    <x v="1"/>
    <b v="1"/>
  </r>
  <r>
    <s v="S-966ce7"/>
    <s v="A-a1b80b"/>
    <d v="2024-04-01T00:00:00"/>
    <m/>
    <x v="0"/>
    <n v="16"/>
    <n v="3184"/>
    <n v="38208"/>
    <x v="0"/>
    <b v="0"/>
    <b v="0"/>
    <b v="0"/>
    <x v="1"/>
    <b v="1"/>
  </r>
  <r>
    <s v="S-41ea32"/>
    <s v="A-054577"/>
    <d v="2024-10-22T00:00:00"/>
    <d v="2024-12-05T00:00:00"/>
    <x v="2"/>
    <n v="24"/>
    <n v="456"/>
    <n v="5472"/>
    <x v="0"/>
    <b v="0"/>
    <b v="0"/>
    <b v="1"/>
    <x v="0"/>
    <b v="1"/>
  </r>
  <r>
    <s v="S-57800a"/>
    <s v="A-f446b6"/>
    <d v="2024-09-08T00:00:00"/>
    <m/>
    <x v="2"/>
    <n v="5"/>
    <n v="95"/>
    <n v="1140"/>
    <x v="0"/>
    <b v="0"/>
    <b v="0"/>
    <b v="0"/>
    <x v="1"/>
    <b v="1"/>
  </r>
  <r>
    <s v="S-daf6aa"/>
    <s v="A-098560"/>
    <d v="2024-10-27T00:00:00"/>
    <m/>
    <x v="2"/>
    <n v="40"/>
    <n v="760"/>
    <n v="9120"/>
    <x v="0"/>
    <b v="0"/>
    <b v="0"/>
    <b v="0"/>
    <x v="0"/>
    <b v="1"/>
  </r>
  <r>
    <s v="S-615a8a"/>
    <s v="A-bf7919"/>
    <d v="2024-12-31T00:00:00"/>
    <m/>
    <x v="0"/>
    <n v="11"/>
    <n v="0"/>
    <n v="0"/>
    <x v="1"/>
    <b v="0"/>
    <b v="0"/>
    <b v="0"/>
    <x v="1"/>
    <b v="0"/>
  </r>
  <r>
    <s v="S-a892fd"/>
    <s v="A-22f2df"/>
    <d v="2024-12-27T00:00:00"/>
    <m/>
    <x v="1"/>
    <n v="8"/>
    <n v="392"/>
    <n v="4704"/>
    <x v="0"/>
    <b v="0"/>
    <b v="0"/>
    <b v="0"/>
    <x v="0"/>
    <b v="0"/>
  </r>
  <r>
    <s v="S-2b2532"/>
    <s v="A-410e86"/>
    <d v="2024-12-25T00:00:00"/>
    <m/>
    <x v="0"/>
    <n v="24"/>
    <n v="4776"/>
    <n v="57312"/>
    <x v="0"/>
    <b v="0"/>
    <b v="0"/>
    <b v="0"/>
    <x v="0"/>
    <b v="0"/>
  </r>
  <r>
    <s v="S-54daa5"/>
    <s v="A-94f8c9"/>
    <d v="2024-12-17T00:00:00"/>
    <m/>
    <x v="0"/>
    <n v="36"/>
    <n v="7164"/>
    <n v="85968"/>
    <x v="0"/>
    <b v="0"/>
    <b v="0"/>
    <b v="0"/>
    <x v="1"/>
    <b v="1"/>
  </r>
  <r>
    <s v="S-85320b"/>
    <s v="A-71615e"/>
    <d v="2024-08-21T00:00:00"/>
    <m/>
    <x v="0"/>
    <n v="15"/>
    <n v="0"/>
    <n v="0"/>
    <x v="1"/>
    <b v="1"/>
    <b v="0"/>
    <b v="0"/>
    <x v="0"/>
    <b v="1"/>
  </r>
  <r>
    <s v="S-317bed"/>
    <s v="A-53f4e3"/>
    <d v="2024-10-16T00:00:00"/>
    <m/>
    <x v="2"/>
    <n v="18"/>
    <n v="342"/>
    <n v="4104"/>
    <x v="0"/>
    <b v="0"/>
    <b v="0"/>
    <b v="0"/>
    <x v="0"/>
    <b v="0"/>
  </r>
  <r>
    <s v="S-4fc62f"/>
    <s v="A-6c093d"/>
    <d v="2024-12-12T00:00:00"/>
    <m/>
    <x v="0"/>
    <n v="7"/>
    <n v="0"/>
    <n v="0"/>
    <x v="1"/>
    <b v="0"/>
    <b v="0"/>
    <b v="0"/>
    <x v="1"/>
    <b v="1"/>
  </r>
  <r>
    <s v="S-fb10b8"/>
    <s v="A-5a92e7"/>
    <d v="2024-07-15T00:00:00"/>
    <m/>
    <x v="1"/>
    <n v="43"/>
    <n v="2107"/>
    <n v="25284"/>
    <x v="0"/>
    <b v="0"/>
    <b v="0"/>
    <b v="0"/>
    <x v="1"/>
    <b v="1"/>
  </r>
  <r>
    <s v="S-0fc72f"/>
    <s v="A-faa28c"/>
    <d v="2024-02-23T00:00:00"/>
    <m/>
    <x v="1"/>
    <n v="65"/>
    <n v="3185"/>
    <n v="38220"/>
    <x v="0"/>
    <b v="1"/>
    <b v="0"/>
    <b v="0"/>
    <x v="1"/>
    <b v="1"/>
  </r>
  <r>
    <s v="S-55834e"/>
    <s v="A-4437e4"/>
    <d v="2024-08-30T00:00:00"/>
    <m/>
    <x v="1"/>
    <n v="4"/>
    <n v="0"/>
    <n v="0"/>
    <x v="1"/>
    <b v="0"/>
    <b v="0"/>
    <b v="0"/>
    <x v="1"/>
    <b v="1"/>
  </r>
  <r>
    <s v="S-09d706"/>
    <s v="A-6e08f3"/>
    <d v="2024-07-20T00:00:00"/>
    <m/>
    <x v="1"/>
    <n v="8"/>
    <n v="392"/>
    <n v="4704"/>
    <x v="0"/>
    <b v="0"/>
    <b v="1"/>
    <b v="0"/>
    <x v="0"/>
    <b v="1"/>
  </r>
  <r>
    <s v="S-738d4a"/>
    <s v="A-71615e"/>
    <d v="2024-12-06T00:00:00"/>
    <m/>
    <x v="1"/>
    <n v="15"/>
    <n v="735"/>
    <n v="8820"/>
    <x v="0"/>
    <b v="0"/>
    <b v="0"/>
    <b v="0"/>
    <x v="1"/>
    <b v="1"/>
  </r>
  <r>
    <s v="S-207191"/>
    <s v="A-726cfa"/>
    <d v="2023-07-15T00:00:00"/>
    <m/>
    <x v="1"/>
    <n v="20"/>
    <n v="980"/>
    <n v="11760"/>
    <x v="0"/>
    <b v="0"/>
    <b v="0"/>
    <b v="0"/>
    <x v="1"/>
    <b v="1"/>
  </r>
  <r>
    <s v="S-ff5ff8"/>
    <s v="A-eb2fdc"/>
    <d v="2024-05-25T00:00:00"/>
    <m/>
    <x v="1"/>
    <n v="31"/>
    <n v="1519"/>
    <n v="18228"/>
    <x v="0"/>
    <b v="0"/>
    <b v="0"/>
    <b v="0"/>
    <x v="1"/>
    <b v="1"/>
  </r>
  <r>
    <s v="S-99c1c7"/>
    <s v="A-fa3095"/>
    <d v="2024-06-04T00:00:00"/>
    <m/>
    <x v="2"/>
    <n v="70"/>
    <n v="1330"/>
    <n v="15960"/>
    <x v="0"/>
    <b v="0"/>
    <b v="0"/>
    <b v="0"/>
    <x v="1"/>
    <b v="1"/>
  </r>
  <r>
    <s v="S-d5aded"/>
    <s v="A-0f6450"/>
    <d v="2024-12-29T00:00:00"/>
    <m/>
    <x v="1"/>
    <n v="28"/>
    <n v="1372"/>
    <n v="16464"/>
    <x v="0"/>
    <b v="0"/>
    <b v="0"/>
    <b v="0"/>
    <x v="0"/>
    <b v="1"/>
  </r>
  <r>
    <s v="S-b1e72a"/>
    <s v="A-adc1f3"/>
    <d v="2024-12-12T00:00:00"/>
    <m/>
    <x v="0"/>
    <n v="12"/>
    <n v="2388"/>
    <n v="28656"/>
    <x v="0"/>
    <b v="0"/>
    <b v="0"/>
    <b v="0"/>
    <x v="0"/>
    <b v="1"/>
  </r>
  <r>
    <s v="S-1898b3"/>
    <s v="A-e1462e"/>
    <d v="2023-07-23T00:00:00"/>
    <m/>
    <x v="2"/>
    <n v="28"/>
    <n v="0"/>
    <n v="0"/>
    <x v="1"/>
    <b v="0"/>
    <b v="0"/>
    <b v="0"/>
    <x v="1"/>
    <b v="1"/>
  </r>
  <r>
    <s v="S-76eded"/>
    <s v="A-ae052e"/>
    <d v="2024-10-24T00:00:00"/>
    <d v="2024-12-11T00:00:00"/>
    <x v="1"/>
    <n v="39"/>
    <n v="1911"/>
    <n v="22932"/>
    <x v="0"/>
    <b v="0"/>
    <b v="0"/>
    <b v="1"/>
    <x v="0"/>
    <b v="1"/>
  </r>
  <r>
    <s v="S-3d2ebb"/>
    <s v="A-716841"/>
    <d v="2024-10-15T00:00:00"/>
    <m/>
    <x v="2"/>
    <n v="45"/>
    <n v="855"/>
    <n v="10260"/>
    <x v="0"/>
    <b v="0"/>
    <b v="0"/>
    <b v="0"/>
    <x v="1"/>
    <b v="1"/>
  </r>
  <r>
    <s v="S-1299be"/>
    <s v="A-f45426"/>
    <d v="2024-10-18T00:00:00"/>
    <m/>
    <x v="2"/>
    <n v="9"/>
    <n v="171"/>
    <n v="2052"/>
    <x v="0"/>
    <b v="0"/>
    <b v="1"/>
    <b v="0"/>
    <x v="0"/>
    <b v="0"/>
  </r>
  <r>
    <s v="S-59d90a"/>
    <s v="A-aa9511"/>
    <d v="2024-08-28T00:00:00"/>
    <d v="2024-11-13T00:00:00"/>
    <x v="1"/>
    <n v="29"/>
    <n v="0"/>
    <n v="0"/>
    <x v="1"/>
    <b v="0"/>
    <b v="0"/>
    <b v="1"/>
    <x v="1"/>
    <b v="1"/>
  </r>
  <r>
    <s v="S-1f505e"/>
    <s v="A-95b24a"/>
    <d v="2023-07-30T00:00:00"/>
    <m/>
    <x v="2"/>
    <n v="38"/>
    <n v="722"/>
    <n v="8664"/>
    <x v="0"/>
    <b v="1"/>
    <b v="0"/>
    <b v="0"/>
    <x v="1"/>
    <b v="1"/>
  </r>
  <r>
    <s v="S-ed1eb5"/>
    <s v="A-726cfa"/>
    <d v="2024-01-08T00:00:00"/>
    <m/>
    <x v="2"/>
    <n v="15"/>
    <n v="285"/>
    <n v="3420"/>
    <x v="0"/>
    <b v="1"/>
    <b v="0"/>
    <b v="0"/>
    <x v="0"/>
    <b v="1"/>
  </r>
  <r>
    <s v="S-950c4e"/>
    <s v="A-ee42db"/>
    <d v="2024-02-20T00:00:00"/>
    <m/>
    <x v="2"/>
    <n v="24"/>
    <n v="456"/>
    <n v="5472"/>
    <x v="0"/>
    <b v="0"/>
    <b v="0"/>
    <b v="0"/>
    <x v="1"/>
    <b v="1"/>
  </r>
  <r>
    <s v="S-d34b17"/>
    <s v="A-9123ac"/>
    <d v="2024-10-21T00:00:00"/>
    <m/>
    <x v="0"/>
    <n v="18"/>
    <n v="3582"/>
    <n v="42984"/>
    <x v="0"/>
    <b v="0"/>
    <b v="0"/>
    <b v="0"/>
    <x v="1"/>
    <b v="1"/>
  </r>
  <r>
    <s v="S-f33b5f"/>
    <s v="A-f97b9a"/>
    <d v="2024-08-22T00:00:00"/>
    <m/>
    <x v="2"/>
    <n v="65"/>
    <n v="0"/>
    <n v="0"/>
    <x v="1"/>
    <b v="0"/>
    <b v="0"/>
    <b v="0"/>
    <x v="1"/>
    <b v="1"/>
  </r>
  <r>
    <s v="S-505db5"/>
    <s v="A-883b7d"/>
    <d v="2024-05-01T00:00:00"/>
    <m/>
    <x v="1"/>
    <n v="53"/>
    <n v="2597"/>
    <n v="31164"/>
    <x v="0"/>
    <b v="0"/>
    <b v="0"/>
    <b v="0"/>
    <x v="0"/>
    <b v="1"/>
  </r>
  <r>
    <s v="S-db56d2"/>
    <s v="A-c1dfe1"/>
    <d v="2023-10-26T00:00:00"/>
    <d v="2024-03-17T00:00:00"/>
    <x v="2"/>
    <n v="26"/>
    <n v="494"/>
    <n v="5928"/>
    <x v="0"/>
    <b v="0"/>
    <b v="0"/>
    <b v="1"/>
    <x v="0"/>
    <b v="0"/>
  </r>
  <r>
    <s v="S-075ffc"/>
    <s v="A-eb7c38"/>
    <d v="2024-09-02T00:00:00"/>
    <d v="2024-12-15T00:00:00"/>
    <x v="0"/>
    <n v="15"/>
    <n v="2985"/>
    <n v="35820"/>
    <x v="0"/>
    <b v="0"/>
    <b v="0"/>
    <b v="1"/>
    <x v="1"/>
    <b v="1"/>
  </r>
  <r>
    <s v="S-b59bff"/>
    <s v="A-cea1f0"/>
    <d v="2024-12-27T00:00:00"/>
    <m/>
    <x v="0"/>
    <n v="8"/>
    <n v="1592"/>
    <n v="19104"/>
    <x v="0"/>
    <b v="0"/>
    <b v="0"/>
    <b v="0"/>
    <x v="1"/>
    <b v="0"/>
  </r>
  <r>
    <s v="S-3ae8d8"/>
    <s v="A-396e5f"/>
    <d v="2024-10-02T00:00:00"/>
    <m/>
    <x v="0"/>
    <n v="7"/>
    <n v="1393"/>
    <n v="16716"/>
    <x v="0"/>
    <b v="1"/>
    <b v="0"/>
    <b v="0"/>
    <x v="0"/>
    <b v="1"/>
  </r>
  <r>
    <s v="S-62b7cf"/>
    <s v="A-4c38bc"/>
    <d v="2024-11-06T00:00:00"/>
    <m/>
    <x v="0"/>
    <n v="36"/>
    <n v="7164"/>
    <n v="85968"/>
    <x v="0"/>
    <b v="1"/>
    <b v="0"/>
    <b v="0"/>
    <x v="1"/>
    <b v="1"/>
  </r>
  <r>
    <s v="S-91ec54"/>
    <s v="A-331424"/>
    <d v="2024-11-04T00:00:00"/>
    <m/>
    <x v="1"/>
    <n v="11"/>
    <n v="0"/>
    <n v="0"/>
    <x v="1"/>
    <b v="0"/>
    <b v="0"/>
    <b v="0"/>
    <x v="0"/>
    <b v="0"/>
  </r>
  <r>
    <s v="S-4f43fd"/>
    <s v="A-fd7ad3"/>
    <d v="2024-12-26T00:00:00"/>
    <m/>
    <x v="2"/>
    <n v="29"/>
    <n v="551"/>
    <n v="6612"/>
    <x v="0"/>
    <b v="0"/>
    <b v="0"/>
    <b v="0"/>
    <x v="0"/>
    <b v="1"/>
  </r>
  <r>
    <s v="S-0dd555"/>
    <s v="A-e7a1e2"/>
    <d v="2024-11-22T00:00:00"/>
    <m/>
    <x v="1"/>
    <n v="33"/>
    <n v="1617"/>
    <n v="19404"/>
    <x v="0"/>
    <b v="0"/>
    <b v="0"/>
    <b v="0"/>
    <x v="1"/>
    <b v="0"/>
  </r>
  <r>
    <s v="S-36f8c0"/>
    <s v="A-19b2c8"/>
    <d v="2023-06-19T00:00:00"/>
    <m/>
    <x v="1"/>
    <n v="33"/>
    <n v="1617"/>
    <n v="19404"/>
    <x v="0"/>
    <b v="0"/>
    <b v="0"/>
    <b v="0"/>
    <x v="1"/>
    <b v="1"/>
  </r>
  <r>
    <s v="S-204d42"/>
    <s v="A-5b4ebb"/>
    <d v="2024-10-22T00:00:00"/>
    <m/>
    <x v="1"/>
    <n v="21"/>
    <n v="1029"/>
    <n v="12348"/>
    <x v="0"/>
    <b v="0"/>
    <b v="0"/>
    <b v="0"/>
    <x v="0"/>
    <b v="1"/>
  </r>
  <r>
    <s v="S-770f21"/>
    <s v="A-a8d89d"/>
    <d v="2024-07-12T00:00:00"/>
    <m/>
    <x v="2"/>
    <n v="35"/>
    <n v="665"/>
    <n v="7980"/>
    <x v="0"/>
    <b v="0"/>
    <b v="0"/>
    <b v="0"/>
    <x v="0"/>
    <b v="1"/>
  </r>
  <r>
    <s v="S-14b7f3"/>
    <s v="A-50bb9f"/>
    <d v="2024-08-09T00:00:00"/>
    <m/>
    <x v="2"/>
    <n v="5"/>
    <n v="95"/>
    <n v="1140"/>
    <x v="0"/>
    <b v="0"/>
    <b v="0"/>
    <b v="0"/>
    <x v="0"/>
    <b v="1"/>
  </r>
  <r>
    <s v="S-34512a"/>
    <s v="A-9289f6"/>
    <d v="2024-11-22T00:00:00"/>
    <m/>
    <x v="1"/>
    <n v="1"/>
    <n v="49"/>
    <n v="588"/>
    <x v="0"/>
    <b v="0"/>
    <b v="0"/>
    <b v="0"/>
    <x v="0"/>
    <b v="1"/>
  </r>
  <r>
    <s v="S-e22519"/>
    <s v="A-f44180"/>
    <d v="2024-06-17T00:00:00"/>
    <m/>
    <x v="1"/>
    <n v="14"/>
    <n v="686"/>
    <n v="8232"/>
    <x v="0"/>
    <b v="0"/>
    <b v="0"/>
    <b v="0"/>
    <x v="0"/>
    <b v="1"/>
  </r>
  <r>
    <s v="S-c419d6"/>
    <s v="A-6e08f3"/>
    <d v="2024-02-16T00:00:00"/>
    <m/>
    <x v="0"/>
    <n v="24"/>
    <n v="4776"/>
    <n v="57312"/>
    <x v="0"/>
    <b v="0"/>
    <b v="0"/>
    <b v="0"/>
    <x v="1"/>
    <b v="0"/>
  </r>
  <r>
    <s v="S-dc9874"/>
    <s v="A-cc102e"/>
    <d v="2024-05-09T00:00:00"/>
    <d v="2024-09-27T00:00:00"/>
    <x v="1"/>
    <n v="42"/>
    <n v="2058"/>
    <n v="24696"/>
    <x v="0"/>
    <b v="0"/>
    <b v="0"/>
    <b v="1"/>
    <x v="1"/>
    <b v="1"/>
  </r>
  <r>
    <s v="S-2d3096"/>
    <s v="A-712533"/>
    <d v="2024-01-19T00:00:00"/>
    <m/>
    <x v="1"/>
    <n v="22"/>
    <n v="1078"/>
    <n v="12936"/>
    <x v="0"/>
    <b v="0"/>
    <b v="0"/>
    <b v="0"/>
    <x v="1"/>
    <b v="1"/>
  </r>
  <r>
    <s v="S-9d727d"/>
    <s v="A-ac85cd"/>
    <d v="2024-12-09T00:00:00"/>
    <d v="2024-12-18T00:00:00"/>
    <x v="2"/>
    <n v="53"/>
    <n v="0"/>
    <n v="0"/>
    <x v="1"/>
    <b v="0"/>
    <b v="0"/>
    <b v="1"/>
    <x v="0"/>
    <b v="1"/>
  </r>
  <r>
    <s v="S-78cb5f"/>
    <s v="A-9badbd"/>
    <d v="2024-12-07T00:00:00"/>
    <m/>
    <x v="0"/>
    <n v="7"/>
    <n v="1393"/>
    <n v="16716"/>
    <x v="0"/>
    <b v="0"/>
    <b v="0"/>
    <b v="0"/>
    <x v="0"/>
    <b v="1"/>
  </r>
  <r>
    <s v="S-3b0fbb"/>
    <s v="A-bd4708"/>
    <d v="2024-10-12T00:00:00"/>
    <m/>
    <x v="1"/>
    <n v="59"/>
    <n v="0"/>
    <n v="0"/>
    <x v="1"/>
    <b v="0"/>
    <b v="0"/>
    <b v="0"/>
    <x v="1"/>
    <b v="0"/>
  </r>
  <r>
    <s v="S-4eabfc"/>
    <s v="A-751bd4"/>
    <d v="2024-09-18T00:00:00"/>
    <m/>
    <x v="2"/>
    <n v="10"/>
    <n v="190"/>
    <n v="2280"/>
    <x v="0"/>
    <b v="0"/>
    <b v="0"/>
    <b v="0"/>
    <x v="0"/>
    <b v="1"/>
  </r>
  <r>
    <s v="S-35752e"/>
    <s v="A-e6afc1"/>
    <d v="2024-05-08T00:00:00"/>
    <m/>
    <x v="1"/>
    <n v="1"/>
    <n v="49"/>
    <n v="588"/>
    <x v="0"/>
    <b v="0"/>
    <b v="0"/>
    <b v="0"/>
    <x v="1"/>
    <b v="1"/>
  </r>
  <r>
    <s v="S-e56037"/>
    <s v="A-2ebb4b"/>
    <d v="2024-05-25T00:00:00"/>
    <m/>
    <x v="1"/>
    <n v="41"/>
    <n v="2009"/>
    <n v="24108"/>
    <x v="0"/>
    <b v="1"/>
    <b v="0"/>
    <b v="0"/>
    <x v="1"/>
    <b v="1"/>
  </r>
  <r>
    <s v="S-c545c8"/>
    <s v="A-c1e51e"/>
    <d v="2024-10-20T00:00:00"/>
    <m/>
    <x v="2"/>
    <n v="7"/>
    <n v="133"/>
    <n v="1596"/>
    <x v="0"/>
    <b v="0"/>
    <b v="1"/>
    <b v="0"/>
    <x v="0"/>
    <b v="1"/>
  </r>
  <r>
    <s v="S-10f143"/>
    <s v="A-6f8ad2"/>
    <d v="2024-08-13T00:00:00"/>
    <m/>
    <x v="2"/>
    <n v="8"/>
    <n v="152"/>
    <n v="1824"/>
    <x v="0"/>
    <b v="0"/>
    <b v="0"/>
    <b v="0"/>
    <x v="0"/>
    <b v="1"/>
  </r>
  <r>
    <s v="S-8669e4"/>
    <s v="A-6dee43"/>
    <d v="2024-08-11T00:00:00"/>
    <d v="2024-10-23T00:00:00"/>
    <x v="1"/>
    <n v="55"/>
    <n v="2695"/>
    <n v="32340"/>
    <x v="0"/>
    <b v="0"/>
    <b v="0"/>
    <b v="1"/>
    <x v="1"/>
    <b v="0"/>
  </r>
  <r>
    <s v="S-0337da"/>
    <s v="A-098560"/>
    <d v="2024-09-02T00:00:00"/>
    <m/>
    <x v="0"/>
    <n v="29"/>
    <n v="5771"/>
    <n v="69252"/>
    <x v="0"/>
    <b v="0"/>
    <b v="0"/>
    <b v="0"/>
    <x v="0"/>
    <b v="1"/>
  </r>
  <r>
    <s v="S-fe77d4"/>
    <s v="A-fda07f"/>
    <d v="2024-12-01T00:00:00"/>
    <m/>
    <x v="1"/>
    <n v="16"/>
    <n v="784"/>
    <n v="9408"/>
    <x v="0"/>
    <b v="1"/>
    <b v="0"/>
    <b v="0"/>
    <x v="0"/>
    <b v="1"/>
  </r>
  <r>
    <s v="S-ac2157"/>
    <s v="A-5a184f"/>
    <d v="2024-04-14T00:00:00"/>
    <m/>
    <x v="0"/>
    <n v="14"/>
    <n v="2786"/>
    <n v="33432"/>
    <x v="0"/>
    <b v="0"/>
    <b v="0"/>
    <b v="0"/>
    <x v="0"/>
    <b v="1"/>
  </r>
  <r>
    <s v="S-f180b5"/>
    <s v="A-86cdb4"/>
    <d v="2024-10-13T00:00:00"/>
    <m/>
    <x v="2"/>
    <n v="17"/>
    <n v="323"/>
    <n v="3876"/>
    <x v="0"/>
    <b v="0"/>
    <b v="0"/>
    <b v="0"/>
    <x v="0"/>
    <b v="1"/>
  </r>
  <r>
    <s v="S-8442d1"/>
    <s v="A-82d8a6"/>
    <d v="2024-12-22T00:00:00"/>
    <d v="2024-12-24T00:00:00"/>
    <x v="0"/>
    <n v="21"/>
    <n v="0"/>
    <n v="0"/>
    <x v="1"/>
    <b v="0"/>
    <b v="0"/>
    <b v="1"/>
    <x v="0"/>
    <b v="1"/>
  </r>
  <r>
    <s v="S-f3e5f9"/>
    <s v="A-a09355"/>
    <d v="2024-12-09T00:00:00"/>
    <m/>
    <x v="1"/>
    <n v="26"/>
    <n v="1274"/>
    <n v="15288"/>
    <x v="0"/>
    <b v="0"/>
    <b v="0"/>
    <b v="0"/>
    <x v="0"/>
    <b v="1"/>
  </r>
  <r>
    <s v="S-6b1de8"/>
    <s v="A-6843f2"/>
    <d v="2024-12-27T00:00:00"/>
    <m/>
    <x v="2"/>
    <n v="21"/>
    <n v="399"/>
    <n v="4788"/>
    <x v="0"/>
    <b v="0"/>
    <b v="0"/>
    <b v="0"/>
    <x v="0"/>
    <b v="1"/>
  </r>
  <r>
    <s v="S-c7621b"/>
    <s v="A-ced9aa"/>
    <d v="2024-11-23T00:00:00"/>
    <d v="2024-11-25T00:00:00"/>
    <x v="2"/>
    <n v="19"/>
    <n v="361"/>
    <n v="4332"/>
    <x v="0"/>
    <b v="0"/>
    <b v="0"/>
    <b v="1"/>
    <x v="1"/>
    <b v="1"/>
  </r>
  <r>
    <s v="S-973625"/>
    <s v="A-794a0b"/>
    <d v="2023-12-18T00:00:00"/>
    <m/>
    <x v="2"/>
    <n v="23"/>
    <n v="437"/>
    <n v="5244"/>
    <x v="0"/>
    <b v="0"/>
    <b v="0"/>
    <b v="0"/>
    <x v="1"/>
    <b v="0"/>
  </r>
  <r>
    <s v="S-7425f9"/>
    <s v="A-3d957b"/>
    <d v="2024-07-30T00:00:00"/>
    <m/>
    <x v="1"/>
    <n v="29"/>
    <n v="1421"/>
    <n v="17052"/>
    <x v="0"/>
    <b v="1"/>
    <b v="0"/>
    <b v="0"/>
    <x v="0"/>
    <b v="1"/>
  </r>
  <r>
    <s v="S-9d8ac4"/>
    <s v="A-313be3"/>
    <d v="2024-09-29T00:00:00"/>
    <m/>
    <x v="2"/>
    <n v="47"/>
    <n v="0"/>
    <n v="0"/>
    <x v="1"/>
    <b v="0"/>
    <b v="0"/>
    <b v="0"/>
    <x v="1"/>
    <b v="1"/>
  </r>
  <r>
    <s v="S-1a20b6"/>
    <s v="A-1e6fc3"/>
    <d v="2024-04-01T00:00:00"/>
    <m/>
    <x v="1"/>
    <n v="5"/>
    <n v="245"/>
    <n v="2940"/>
    <x v="0"/>
    <b v="0"/>
    <b v="0"/>
    <b v="0"/>
    <x v="0"/>
    <b v="1"/>
  </r>
  <r>
    <s v="S-a3791c"/>
    <s v="A-c4ea60"/>
    <d v="2024-12-17T00:00:00"/>
    <m/>
    <x v="0"/>
    <n v="18"/>
    <n v="3582"/>
    <n v="42984"/>
    <x v="0"/>
    <b v="0"/>
    <b v="0"/>
    <b v="0"/>
    <x v="0"/>
    <b v="1"/>
  </r>
  <r>
    <s v="S-f9cb96"/>
    <s v="A-fd9422"/>
    <d v="2024-05-09T00:00:00"/>
    <m/>
    <x v="0"/>
    <n v="58"/>
    <n v="11542"/>
    <n v="138504"/>
    <x v="0"/>
    <b v="1"/>
    <b v="0"/>
    <b v="0"/>
    <x v="1"/>
    <b v="1"/>
  </r>
  <r>
    <s v="S-5450af"/>
    <s v="A-b48f73"/>
    <d v="2024-12-13T00:00:00"/>
    <m/>
    <x v="0"/>
    <n v="80"/>
    <n v="15920"/>
    <n v="191040"/>
    <x v="0"/>
    <b v="0"/>
    <b v="0"/>
    <b v="0"/>
    <x v="1"/>
    <b v="0"/>
  </r>
  <r>
    <s v="S-641794"/>
    <s v="A-fd9422"/>
    <d v="2024-05-08T00:00:00"/>
    <m/>
    <x v="1"/>
    <n v="58"/>
    <n v="0"/>
    <n v="0"/>
    <x v="1"/>
    <b v="0"/>
    <b v="0"/>
    <b v="0"/>
    <x v="1"/>
    <b v="1"/>
  </r>
  <r>
    <s v="S-7fb77e"/>
    <s v="A-91e948"/>
    <d v="2023-11-10T00:00:00"/>
    <m/>
    <x v="1"/>
    <n v="41"/>
    <n v="2009"/>
    <n v="24108"/>
    <x v="0"/>
    <b v="1"/>
    <b v="0"/>
    <b v="0"/>
    <x v="1"/>
    <b v="1"/>
  </r>
  <r>
    <s v="S-30008c"/>
    <s v="A-cc98bc"/>
    <d v="2024-05-26T00:00:00"/>
    <m/>
    <x v="1"/>
    <n v="54"/>
    <n v="2646"/>
    <n v="31752"/>
    <x v="0"/>
    <b v="1"/>
    <b v="0"/>
    <b v="0"/>
    <x v="1"/>
    <b v="1"/>
  </r>
  <r>
    <s v="S-e8f8c0"/>
    <s v="A-cab532"/>
    <d v="2023-05-27T00:00:00"/>
    <m/>
    <x v="0"/>
    <n v="25"/>
    <n v="4975"/>
    <n v="59700"/>
    <x v="0"/>
    <b v="0"/>
    <b v="0"/>
    <b v="0"/>
    <x v="0"/>
    <b v="1"/>
  </r>
  <r>
    <s v="S-9828eb"/>
    <s v="A-cb6cc6"/>
    <d v="2024-10-01T00:00:00"/>
    <m/>
    <x v="1"/>
    <n v="25"/>
    <n v="1225"/>
    <n v="14700"/>
    <x v="0"/>
    <b v="0"/>
    <b v="0"/>
    <b v="0"/>
    <x v="0"/>
    <b v="1"/>
  </r>
  <r>
    <s v="S-d75e1f"/>
    <s v="A-922109"/>
    <d v="2024-11-29T00:00:00"/>
    <m/>
    <x v="0"/>
    <n v="4"/>
    <n v="796"/>
    <n v="9552"/>
    <x v="0"/>
    <b v="0"/>
    <b v="0"/>
    <b v="0"/>
    <x v="0"/>
    <b v="0"/>
  </r>
  <r>
    <s v="S-7077ab"/>
    <s v="A-fda07f"/>
    <d v="2024-12-30T00:00:00"/>
    <m/>
    <x v="2"/>
    <n v="14"/>
    <n v="266"/>
    <n v="3192"/>
    <x v="0"/>
    <b v="0"/>
    <b v="0"/>
    <b v="0"/>
    <x v="0"/>
    <b v="1"/>
  </r>
  <r>
    <s v="S-aa751f"/>
    <s v="A-86fc1d"/>
    <d v="2024-10-16T00:00:00"/>
    <m/>
    <x v="2"/>
    <n v="37"/>
    <n v="703"/>
    <n v="8436"/>
    <x v="0"/>
    <b v="0"/>
    <b v="0"/>
    <b v="0"/>
    <x v="0"/>
    <b v="1"/>
  </r>
  <r>
    <s v="S-08a3ca"/>
    <s v="A-c45b23"/>
    <d v="2024-09-07T00:00:00"/>
    <m/>
    <x v="1"/>
    <n v="25"/>
    <n v="0"/>
    <n v="0"/>
    <x v="1"/>
    <b v="0"/>
    <b v="0"/>
    <b v="0"/>
    <x v="1"/>
    <b v="1"/>
  </r>
  <r>
    <s v="S-886184"/>
    <s v="A-7c83a1"/>
    <d v="2024-09-20T00:00:00"/>
    <m/>
    <x v="0"/>
    <n v="17"/>
    <n v="0"/>
    <n v="0"/>
    <x v="1"/>
    <b v="0"/>
    <b v="0"/>
    <b v="0"/>
    <x v="1"/>
    <b v="1"/>
  </r>
  <r>
    <s v="S-46a7eb"/>
    <s v="A-e19ff6"/>
    <d v="2024-10-05T00:00:00"/>
    <m/>
    <x v="0"/>
    <n v="43"/>
    <n v="0"/>
    <n v="0"/>
    <x v="1"/>
    <b v="0"/>
    <b v="0"/>
    <b v="0"/>
    <x v="0"/>
    <b v="1"/>
  </r>
  <r>
    <s v="S-482e5b"/>
    <s v="A-427b69"/>
    <d v="2024-09-07T00:00:00"/>
    <m/>
    <x v="1"/>
    <n v="18"/>
    <n v="882"/>
    <n v="10584"/>
    <x v="0"/>
    <b v="0"/>
    <b v="0"/>
    <b v="0"/>
    <x v="1"/>
    <b v="1"/>
  </r>
  <r>
    <s v="S-632acf"/>
    <s v="A-331424"/>
    <d v="2024-08-28T00:00:00"/>
    <m/>
    <x v="0"/>
    <n v="11"/>
    <n v="2189"/>
    <n v="26268"/>
    <x v="0"/>
    <b v="0"/>
    <b v="0"/>
    <b v="0"/>
    <x v="0"/>
    <b v="1"/>
  </r>
  <r>
    <s v="S-712e69"/>
    <s v="A-0f3e88"/>
    <d v="2024-11-24T00:00:00"/>
    <m/>
    <x v="2"/>
    <n v="17"/>
    <n v="323"/>
    <n v="3876"/>
    <x v="0"/>
    <b v="0"/>
    <b v="0"/>
    <b v="0"/>
    <x v="1"/>
    <b v="1"/>
  </r>
  <r>
    <s v="S-f8d74d"/>
    <s v="A-7641d3"/>
    <d v="2024-05-21T00:00:00"/>
    <m/>
    <x v="0"/>
    <n v="14"/>
    <n v="2786"/>
    <n v="33432"/>
    <x v="0"/>
    <b v="0"/>
    <b v="0"/>
    <b v="0"/>
    <x v="0"/>
    <b v="0"/>
  </r>
  <r>
    <s v="S-c2c197"/>
    <s v="A-029f69"/>
    <d v="2024-09-15T00:00:00"/>
    <d v="2024-09-19T00:00:00"/>
    <x v="2"/>
    <n v="15"/>
    <n v="285"/>
    <n v="3420"/>
    <x v="0"/>
    <b v="0"/>
    <b v="0"/>
    <b v="1"/>
    <x v="0"/>
    <b v="0"/>
  </r>
  <r>
    <s v="S-e2981a"/>
    <s v="A-7f4db3"/>
    <d v="2024-11-06T00:00:00"/>
    <m/>
    <x v="0"/>
    <n v="18"/>
    <n v="3582"/>
    <n v="42984"/>
    <x v="0"/>
    <b v="0"/>
    <b v="0"/>
    <b v="0"/>
    <x v="1"/>
    <b v="1"/>
  </r>
  <r>
    <s v="S-fae195"/>
    <s v="A-a7bd4b"/>
    <d v="2023-10-31T00:00:00"/>
    <m/>
    <x v="2"/>
    <n v="22"/>
    <n v="418"/>
    <n v="5016"/>
    <x v="0"/>
    <b v="1"/>
    <b v="0"/>
    <b v="0"/>
    <x v="1"/>
    <b v="0"/>
  </r>
  <r>
    <s v="S-a8a1e8"/>
    <s v="A-f92792"/>
    <d v="2024-08-25T00:00:00"/>
    <m/>
    <x v="0"/>
    <n v="35"/>
    <n v="6965"/>
    <n v="83580"/>
    <x v="0"/>
    <b v="0"/>
    <b v="0"/>
    <b v="0"/>
    <x v="0"/>
    <b v="1"/>
  </r>
  <r>
    <s v="S-d471c6"/>
    <s v="A-a6d261"/>
    <d v="2024-07-16T00:00:00"/>
    <m/>
    <x v="2"/>
    <n v="9"/>
    <n v="171"/>
    <n v="2052"/>
    <x v="0"/>
    <b v="0"/>
    <b v="0"/>
    <b v="0"/>
    <x v="0"/>
    <b v="1"/>
  </r>
  <r>
    <s v="S-465825"/>
    <s v="A-e2cd1b"/>
    <d v="2024-11-20T00:00:00"/>
    <m/>
    <x v="2"/>
    <n v="18"/>
    <n v="342"/>
    <n v="4104"/>
    <x v="0"/>
    <b v="1"/>
    <b v="0"/>
    <b v="0"/>
    <x v="0"/>
    <b v="1"/>
  </r>
  <r>
    <s v="S-c59b3b"/>
    <s v="A-781cc0"/>
    <d v="2024-09-18T00:00:00"/>
    <m/>
    <x v="0"/>
    <n v="12"/>
    <n v="2388"/>
    <n v="28656"/>
    <x v="0"/>
    <b v="0"/>
    <b v="0"/>
    <b v="0"/>
    <x v="1"/>
    <b v="1"/>
  </r>
  <r>
    <s v="S-7e8bd4"/>
    <s v="A-ac14bb"/>
    <d v="2024-03-26T00:00:00"/>
    <m/>
    <x v="2"/>
    <n v="27"/>
    <n v="513"/>
    <n v="6156"/>
    <x v="0"/>
    <b v="0"/>
    <b v="0"/>
    <b v="0"/>
    <x v="0"/>
    <b v="1"/>
  </r>
  <r>
    <s v="S-92ae0a"/>
    <s v="A-91e948"/>
    <d v="2024-07-11T00:00:00"/>
    <m/>
    <x v="0"/>
    <n v="41"/>
    <n v="8159"/>
    <n v="97908"/>
    <x v="0"/>
    <b v="1"/>
    <b v="0"/>
    <b v="0"/>
    <x v="0"/>
    <b v="1"/>
  </r>
  <r>
    <s v="S-180859"/>
    <s v="A-d4ac0e"/>
    <d v="2024-08-06T00:00:00"/>
    <m/>
    <x v="2"/>
    <n v="18"/>
    <n v="342"/>
    <n v="4104"/>
    <x v="0"/>
    <b v="0"/>
    <b v="0"/>
    <b v="0"/>
    <x v="0"/>
    <b v="1"/>
  </r>
  <r>
    <s v="S-3c8e09"/>
    <s v="A-e351e1"/>
    <d v="2024-10-01T00:00:00"/>
    <m/>
    <x v="2"/>
    <n v="33"/>
    <n v="627"/>
    <n v="7524"/>
    <x v="0"/>
    <b v="0"/>
    <b v="0"/>
    <b v="0"/>
    <x v="0"/>
    <b v="1"/>
  </r>
  <r>
    <s v="S-306a99"/>
    <s v="A-3a5ad8"/>
    <d v="2024-03-31T00:00:00"/>
    <m/>
    <x v="2"/>
    <n v="9"/>
    <n v="0"/>
    <n v="0"/>
    <x v="1"/>
    <b v="0"/>
    <b v="0"/>
    <b v="0"/>
    <x v="0"/>
    <b v="1"/>
  </r>
  <r>
    <s v="S-0bdf55"/>
    <s v="A-7dacce"/>
    <d v="2024-09-18T00:00:00"/>
    <m/>
    <x v="0"/>
    <n v="13"/>
    <n v="2587"/>
    <n v="31044"/>
    <x v="0"/>
    <b v="0"/>
    <b v="0"/>
    <b v="0"/>
    <x v="1"/>
    <b v="0"/>
  </r>
  <r>
    <s v="S-cc771c"/>
    <s v="A-81edc3"/>
    <d v="2024-06-08T00:00:00"/>
    <m/>
    <x v="1"/>
    <n v="41"/>
    <n v="2009"/>
    <n v="24108"/>
    <x v="0"/>
    <b v="1"/>
    <b v="0"/>
    <b v="0"/>
    <x v="0"/>
    <b v="0"/>
  </r>
  <r>
    <s v="S-af6284"/>
    <s v="A-30b4ca"/>
    <d v="2024-05-27T00:00:00"/>
    <m/>
    <x v="0"/>
    <n v="86"/>
    <n v="17114"/>
    <n v="205368"/>
    <x v="0"/>
    <b v="0"/>
    <b v="0"/>
    <b v="0"/>
    <x v="1"/>
    <b v="1"/>
  </r>
  <r>
    <s v="S-e92512"/>
    <s v="A-0dbdc6"/>
    <d v="2024-03-13T00:00:00"/>
    <m/>
    <x v="2"/>
    <n v="30"/>
    <n v="570"/>
    <n v="6840"/>
    <x v="0"/>
    <b v="0"/>
    <b v="0"/>
    <b v="0"/>
    <x v="0"/>
    <b v="1"/>
  </r>
  <r>
    <s v="S-87d801"/>
    <s v="A-443b7c"/>
    <d v="2024-09-16T00:00:00"/>
    <m/>
    <x v="1"/>
    <n v="5"/>
    <n v="245"/>
    <n v="2940"/>
    <x v="0"/>
    <b v="0"/>
    <b v="0"/>
    <b v="0"/>
    <x v="0"/>
    <b v="1"/>
  </r>
  <r>
    <s v="S-74bda1"/>
    <s v="A-dfbd31"/>
    <d v="2024-06-17T00:00:00"/>
    <m/>
    <x v="2"/>
    <n v="14"/>
    <n v="0"/>
    <n v="0"/>
    <x v="1"/>
    <b v="0"/>
    <b v="0"/>
    <b v="0"/>
    <x v="1"/>
    <b v="0"/>
  </r>
  <r>
    <s v="S-fcb954"/>
    <s v="A-45ce7a"/>
    <d v="2024-03-19T00:00:00"/>
    <m/>
    <x v="0"/>
    <n v="16"/>
    <n v="3184"/>
    <n v="38208"/>
    <x v="0"/>
    <b v="0"/>
    <b v="0"/>
    <b v="0"/>
    <x v="1"/>
    <b v="1"/>
  </r>
  <r>
    <s v="S-a44d30"/>
    <s v="A-e08cd3"/>
    <d v="2024-10-31T00:00:00"/>
    <m/>
    <x v="0"/>
    <n v="67"/>
    <n v="13333"/>
    <n v="159996"/>
    <x v="0"/>
    <b v="0"/>
    <b v="0"/>
    <b v="0"/>
    <x v="0"/>
    <b v="1"/>
  </r>
  <r>
    <s v="S-a4a6c9"/>
    <s v="A-86fc1d"/>
    <d v="2024-08-16T00:00:00"/>
    <m/>
    <x v="0"/>
    <n v="28"/>
    <n v="5572"/>
    <n v="66864"/>
    <x v="0"/>
    <b v="1"/>
    <b v="0"/>
    <b v="0"/>
    <x v="0"/>
    <b v="1"/>
  </r>
  <r>
    <s v="S-ff2510"/>
    <s v="A-80eeb6"/>
    <d v="2024-09-14T00:00:00"/>
    <m/>
    <x v="1"/>
    <n v="46"/>
    <n v="0"/>
    <n v="0"/>
    <x v="1"/>
    <b v="1"/>
    <b v="1"/>
    <b v="0"/>
    <x v="1"/>
    <b v="1"/>
  </r>
  <r>
    <s v="S-1c54b6"/>
    <s v="A-0f6450"/>
    <d v="2024-12-31T00:00:00"/>
    <m/>
    <x v="0"/>
    <n v="28"/>
    <n v="5572"/>
    <n v="66864"/>
    <x v="0"/>
    <b v="0"/>
    <b v="0"/>
    <b v="0"/>
    <x v="0"/>
    <b v="0"/>
  </r>
  <r>
    <s v="S-90a14e"/>
    <s v="A-503d5a"/>
    <d v="2024-03-30T00:00:00"/>
    <m/>
    <x v="1"/>
    <n v="4"/>
    <n v="196"/>
    <n v="2352"/>
    <x v="0"/>
    <b v="0"/>
    <b v="0"/>
    <b v="0"/>
    <x v="1"/>
    <b v="0"/>
  </r>
  <r>
    <s v="S-b4cd75"/>
    <s v="A-cc102e"/>
    <d v="2024-09-23T00:00:00"/>
    <m/>
    <x v="0"/>
    <n v="13"/>
    <n v="2587"/>
    <n v="31044"/>
    <x v="0"/>
    <b v="0"/>
    <b v="0"/>
    <b v="0"/>
    <x v="0"/>
    <b v="0"/>
  </r>
  <r>
    <s v="S-10bf4d"/>
    <s v="A-ce66f8"/>
    <d v="2023-08-24T00:00:00"/>
    <m/>
    <x v="2"/>
    <n v="29"/>
    <n v="551"/>
    <n v="6612"/>
    <x v="0"/>
    <b v="0"/>
    <b v="0"/>
    <b v="0"/>
    <x v="0"/>
    <b v="1"/>
  </r>
  <r>
    <s v="S-7e8699"/>
    <s v="A-e89151"/>
    <d v="2024-11-14T00:00:00"/>
    <m/>
    <x v="1"/>
    <n v="31"/>
    <n v="1519"/>
    <n v="18228"/>
    <x v="0"/>
    <b v="0"/>
    <b v="0"/>
    <b v="0"/>
    <x v="0"/>
    <b v="1"/>
  </r>
  <r>
    <s v="S-726749"/>
    <s v="A-43a9e3"/>
    <d v="2024-02-22T00:00:00"/>
    <m/>
    <x v="1"/>
    <n v="18"/>
    <n v="882"/>
    <n v="10584"/>
    <x v="0"/>
    <b v="1"/>
    <b v="0"/>
    <b v="0"/>
    <x v="1"/>
    <b v="1"/>
  </r>
  <r>
    <s v="S-d2932e"/>
    <s v="A-ac9111"/>
    <d v="2024-08-26T00:00:00"/>
    <m/>
    <x v="0"/>
    <n v="21"/>
    <n v="4179"/>
    <n v="50148"/>
    <x v="0"/>
    <b v="0"/>
    <b v="0"/>
    <b v="0"/>
    <x v="1"/>
    <b v="0"/>
  </r>
  <r>
    <s v="S-72a3e2"/>
    <s v="A-3c1a3f"/>
    <d v="2024-10-26T00:00:00"/>
    <m/>
    <x v="2"/>
    <n v="7"/>
    <n v="133"/>
    <n v="1596"/>
    <x v="0"/>
    <b v="0"/>
    <b v="0"/>
    <b v="0"/>
    <x v="1"/>
    <b v="0"/>
  </r>
  <r>
    <s v="S-763b53"/>
    <s v="A-592832"/>
    <d v="2024-12-22T00:00:00"/>
    <m/>
    <x v="2"/>
    <n v="18"/>
    <n v="342"/>
    <n v="4104"/>
    <x v="0"/>
    <b v="0"/>
    <b v="0"/>
    <b v="0"/>
    <x v="1"/>
    <b v="0"/>
  </r>
  <r>
    <s v="S-8b4074"/>
    <s v="A-d922bf"/>
    <d v="2024-12-10T00:00:00"/>
    <m/>
    <x v="0"/>
    <n v="9"/>
    <n v="1791"/>
    <n v="21492"/>
    <x v="0"/>
    <b v="0"/>
    <b v="0"/>
    <b v="0"/>
    <x v="1"/>
    <b v="1"/>
  </r>
  <r>
    <s v="S-37d427"/>
    <s v="A-eb2fdc"/>
    <d v="2024-04-06T00:00:00"/>
    <m/>
    <x v="2"/>
    <n v="31"/>
    <n v="589"/>
    <n v="7068"/>
    <x v="0"/>
    <b v="0"/>
    <b v="0"/>
    <b v="0"/>
    <x v="0"/>
    <b v="1"/>
  </r>
  <r>
    <s v="S-1784ce"/>
    <s v="A-a0ca4e"/>
    <d v="2024-09-25T00:00:00"/>
    <m/>
    <x v="1"/>
    <n v="49"/>
    <n v="2401"/>
    <n v="28812"/>
    <x v="0"/>
    <b v="0"/>
    <b v="0"/>
    <b v="0"/>
    <x v="1"/>
    <b v="1"/>
  </r>
  <r>
    <s v="S-c913f8"/>
    <s v="A-82d8a6"/>
    <d v="2024-12-03T00:00:00"/>
    <m/>
    <x v="0"/>
    <n v="68"/>
    <n v="13532"/>
    <n v="162384"/>
    <x v="0"/>
    <b v="0"/>
    <b v="0"/>
    <b v="0"/>
    <x v="0"/>
    <b v="1"/>
  </r>
  <r>
    <s v="S-67acc8"/>
    <s v="A-f9cc74"/>
    <d v="2024-11-09T00:00:00"/>
    <m/>
    <x v="1"/>
    <n v="30"/>
    <n v="0"/>
    <n v="0"/>
    <x v="1"/>
    <b v="0"/>
    <b v="0"/>
    <b v="0"/>
    <x v="0"/>
    <b v="1"/>
  </r>
  <r>
    <s v="S-1a93b8"/>
    <s v="A-5a92e7"/>
    <d v="2024-10-03T00:00:00"/>
    <m/>
    <x v="0"/>
    <n v="19"/>
    <n v="0"/>
    <n v="0"/>
    <x v="1"/>
    <b v="0"/>
    <b v="0"/>
    <b v="0"/>
    <x v="1"/>
    <b v="0"/>
  </r>
  <r>
    <s v="S-cc3f3d"/>
    <s v="A-94f8c9"/>
    <d v="2024-10-19T00:00:00"/>
    <m/>
    <x v="0"/>
    <n v="17"/>
    <n v="3383"/>
    <n v="40596"/>
    <x v="0"/>
    <b v="0"/>
    <b v="0"/>
    <b v="0"/>
    <x v="1"/>
    <b v="0"/>
  </r>
  <r>
    <s v="S-66bae1"/>
    <s v="A-812c5b"/>
    <d v="2024-10-22T00:00:00"/>
    <m/>
    <x v="2"/>
    <n v="55"/>
    <n v="1045"/>
    <n v="12540"/>
    <x v="0"/>
    <b v="0"/>
    <b v="0"/>
    <b v="0"/>
    <x v="0"/>
    <b v="1"/>
  </r>
  <r>
    <s v="S-0aed9e"/>
    <s v="A-22d9d2"/>
    <d v="2024-06-29T00:00:00"/>
    <m/>
    <x v="1"/>
    <n v="8"/>
    <n v="392"/>
    <n v="4704"/>
    <x v="0"/>
    <b v="0"/>
    <b v="0"/>
    <b v="0"/>
    <x v="1"/>
    <b v="1"/>
  </r>
  <r>
    <s v="S-fa92c5"/>
    <s v="A-443b7c"/>
    <d v="2024-10-01T00:00:00"/>
    <m/>
    <x v="1"/>
    <n v="84"/>
    <n v="4116"/>
    <n v="49392"/>
    <x v="0"/>
    <b v="0"/>
    <b v="0"/>
    <b v="0"/>
    <x v="0"/>
    <b v="1"/>
  </r>
  <r>
    <s v="S-fee9c9"/>
    <s v="A-779e4e"/>
    <d v="2024-07-02T00:00:00"/>
    <m/>
    <x v="0"/>
    <n v="6"/>
    <n v="1194"/>
    <n v="14328"/>
    <x v="0"/>
    <b v="0"/>
    <b v="0"/>
    <b v="0"/>
    <x v="1"/>
    <b v="0"/>
  </r>
  <r>
    <s v="S-2d0d53"/>
    <s v="A-fe79a5"/>
    <d v="2024-09-06T00:00:00"/>
    <m/>
    <x v="0"/>
    <n v="23"/>
    <n v="4577"/>
    <n v="54924"/>
    <x v="0"/>
    <b v="0"/>
    <b v="0"/>
    <b v="0"/>
    <x v="1"/>
    <b v="1"/>
  </r>
  <r>
    <s v="S-e0a991"/>
    <s v="A-9affe6"/>
    <d v="2023-04-06T00:00:00"/>
    <m/>
    <x v="0"/>
    <n v="7"/>
    <n v="1393"/>
    <n v="16716"/>
    <x v="0"/>
    <b v="0"/>
    <b v="0"/>
    <b v="0"/>
    <x v="0"/>
    <b v="1"/>
  </r>
  <r>
    <s v="S-58b1a2"/>
    <s v="A-67be94"/>
    <d v="2024-06-20T00:00:00"/>
    <m/>
    <x v="0"/>
    <n v="52"/>
    <n v="10348"/>
    <n v="124176"/>
    <x v="0"/>
    <b v="0"/>
    <b v="0"/>
    <b v="0"/>
    <x v="0"/>
    <b v="1"/>
  </r>
  <r>
    <s v="S-f6a70a"/>
    <s v="A-2446e3"/>
    <d v="2024-10-06T00:00:00"/>
    <m/>
    <x v="0"/>
    <n v="27"/>
    <n v="5373"/>
    <n v="64476"/>
    <x v="0"/>
    <b v="1"/>
    <b v="0"/>
    <b v="0"/>
    <x v="1"/>
    <b v="1"/>
  </r>
  <r>
    <s v="S-9c9700"/>
    <s v="A-0f6450"/>
    <d v="2024-12-31T00:00:00"/>
    <m/>
    <x v="2"/>
    <n v="28"/>
    <n v="532"/>
    <n v="6384"/>
    <x v="0"/>
    <b v="0"/>
    <b v="0"/>
    <b v="0"/>
    <x v="1"/>
    <b v="1"/>
  </r>
  <r>
    <s v="S-65ec6b"/>
    <s v="A-ac14bb"/>
    <d v="2024-03-15T00:00:00"/>
    <d v="2024-10-20T00:00:00"/>
    <x v="0"/>
    <n v="35"/>
    <n v="6965"/>
    <n v="83580"/>
    <x v="0"/>
    <b v="0"/>
    <b v="0"/>
    <b v="1"/>
    <x v="0"/>
    <b v="1"/>
  </r>
  <r>
    <s v="S-99a404"/>
    <s v="A-139c3b"/>
    <d v="2024-12-20T00:00:00"/>
    <m/>
    <x v="2"/>
    <n v="10"/>
    <n v="190"/>
    <n v="2280"/>
    <x v="0"/>
    <b v="0"/>
    <b v="0"/>
    <b v="0"/>
    <x v="1"/>
    <b v="1"/>
  </r>
  <r>
    <s v="S-532502"/>
    <s v="A-a09355"/>
    <d v="2024-11-14T00:00:00"/>
    <m/>
    <x v="2"/>
    <n v="14"/>
    <n v="266"/>
    <n v="3192"/>
    <x v="0"/>
    <b v="0"/>
    <b v="0"/>
    <b v="0"/>
    <x v="0"/>
    <b v="1"/>
  </r>
  <r>
    <s v="S-77befa"/>
    <s v="A-7e0a10"/>
    <d v="2023-11-29T00:00:00"/>
    <m/>
    <x v="2"/>
    <n v="46"/>
    <n v="874"/>
    <n v="10488"/>
    <x v="0"/>
    <b v="0"/>
    <b v="0"/>
    <b v="0"/>
    <x v="0"/>
    <b v="0"/>
  </r>
  <r>
    <s v="S-aa78ed"/>
    <s v="A-6e08f3"/>
    <d v="2024-02-29T00:00:00"/>
    <m/>
    <x v="1"/>
    <n v="18"/>
    <n v="0"/>
    <n v="0"/>
    <x v="1"/>
    <b v="1"/>
    <b v="0"/>
    <b v="0"/>
    <x v="0"/>
    <b v="0"/>
  </r>
  <r>
    <s v="S-e781ba"/>
    <s v="A-53f4e3"/>
    <d v="2024-06-17T00:00:00"/>
    <m/>
    <x v="1"/>
    <n v="19"/>
    <n v="931"/>
    <n v="11172"/>
    <x v="0"/>
    <b v="0"/>
    <b v="0"/>
    <b v="0"/>
    <x v="0"/>
    <b v="0"/>
  </r>
  <r>
    <s v="S-61fa27"/>
    <s v="A-5a3eb9"/>
    <d v="2024-10-30T00:00:00"/>
    <m/>
    <x v="2"/>
    <n v="21"/>
    <n v="399"/>
    <n v="4788"/>
    <x v="0"/>
    <b v="0"/>
    <b v="0"/>
    <b v="0"/>
    <x v="1"/>
    <b v="0"/>
  </r>
  <r>
    <s v="S-4f5c94"/>
    <s v="A-6dee43"/>
    <d v="2023-10-22T00:00:00"/>
    <m/>
    <x v="2"/>
    <n v="6"/>
    <n v="114"/>
    <n v="1368"/>
    <x v="0"/>
    <b v="0"/>
    <b v="0"/>
    <b v="0"/>
    <x v="1"/>
    <b v="1"/>
  </r>
  <r>
    <s v="S-4a0cb3"/>
    <s v="A-a1b80b"/>
    <d v="2024-05-16T00:00:00"/>
    <d v="2024-08-04T00:00:00"/>
    <x v="0"/>
    <n v="22"/>
    <n v="0"/>
    <n v="0"/>
    <x v="1"/>
    <b v="0"/>
    <b v="0"/>
    <b v="1"/>
    <x v="0"/>
    <b v="1"/>
  </r>
  <r>
    <s v="S-77c880"/>
    <s v="A-40906c"/>
    <d v="2024-12-01T00:00:00"/>
    <m/>
    <x v="1"/>
    <n v="92"/>
    <n v="4508"/>
    <n v="54096"/>
    <x v="0"/>
    <b v="0"/>
    <b v="0"/>
    <b v="0"/>
    <x v="1"/>
    <b v="1"/>
  </r>
  <r>
    <s v="S-f8ee6e"/>
    <s v="A-ed510f"/>
    <d v="2023-04-19T00:00:00"/>
    <m/>
    <x v="0"/>
    <n v="42"/>
    <n v="0"/>
    <n v="0"/>
    <x v="1"/>
    <b v="0"/>
    <b v="0"/>
    <b v="0"/>
    <x v="0"/>
    <b v="1"/>
  </r>
  <r>
    <s v="S-c7b793"/>
    <s v="A-90a8c8"/>
    <d v="2024-11-07T00:00:00"/>
    <m/>
    <x v="1"/>
    <n v="23"/>
    <n v="1127"/>
    <n v="13524"/>
    <x v="0"/>
    <b v="0"/>
    <b v="0"/>
    <b v="0"/>
    <x v="0"/>
    <b v="1"/>
  </r>
  <r>
    <s v="S-e7f571"/>
    <s v="A-9affe6"/>
    <d v="2023-06-06T00:00:00"/>
    <d v="2024-12-11T00:00:00"/>
    <x v="2"/>
    <n v="7"/>
    <n v="133"/>
    <n v="1596"/>
    <x v="0"/>
    <b v="0"/>
    <b v="0"/>
    <b v="1"/>
    <x v="0"/>
    <b v="1"/>
  </r>
  <r>
    <s v="S-611bf8"/>
    <s v="A-df10db"/>
    <d v="2023-09-08T00:00:00"/>
    <m/>
    <x v="0"/>
    <n v="2"/>
    <n v="398"/>
    <n v="4776"/>
    <x v="0"/>
    <b v="0"/>
    <b v="0"/>
    <b v="0"/>
    <x v="1"/>
    <b v="1"/>
  </r>
  <r>
    <s v="S-f3979e"/>
    <s v="A-9c18c4"/>
    <d v="2023-12-15T00:00:00"/>
    <m/>
    <x v="1"/>
    <n v="11"/>
    <n v="539"/>
    <n v="6468"/>
    <x v="0"/>
    <b v="0"/>
    <b v="0"/>
    <b v="0"/>
    <x v="1"/>
    <b v="1"/>
  </r>
  <r>
    <s v="S-409beb"/>
    <s v="A-7988d1"/>
    <d v="2024-03-12T00:00:00"/>
    <m/>
    <x v="2"/>
    <n v="33"/>
    <n v="0"/>
    <n v="0"/>
    <x v="1"/>
    <b v="0"/>
    <b v="0"/>
    <b v="0"/>
    <x v="1"/>
    <b v="1"/>
  </r>
  <r>
    <s v="S-0896bc"/>
    <s v="A-9779ad"/>
    <d v="2024-12-16T00:00:00"/>
    <m/>
    <x v="0"/>
    <n v="40"/>
    <n v="7960"/>
    <n v="95520"/>
    <x v="0"/>
    <b v="0"/>
    <b v="0"/>
    <b v="0"/>
    <x v="0"/>
    <b v="0"/>
  </r>
  <r>
    <s v="S-e09e04"/>
    <s v="A-fda07f"/>
    <d v="2024-08-24T00:00:00"/>
    <m/>
    <x v="0"/>
    <n v="14"/>
    <n v="2786"/>
    <n v="33432"/>
    <x v="0"/>
    <b v="1"/>
    <b v="0"/>
    <b v="0"/>
    <x v="1"/>
    <b v="1"/>
  </r>
  <r>
    <s v="S-293a1f"/>
    <s v="A-40de06"/>
    <d v="2024-05-17T00:00:00"/>
    <m/>
    <x v="1"/>
    <n v="28"/>
    <n v="1372"/>
    <n v="16464"/>
    <x v="0"/>
    <b v="0"/>
    <b v="0"/>
    <b v="0"/>
    <x v="0"/>
    <b v="0"/>
  </r>
  <r>
    <s v="S-b56884"/>
    <s v="A-c1dfe1"/>
    <d v="2024-07-26T00:00:00"/>
    <m/>
    <x v="0"/>
    <n v="41"/>
    <n v="8159"/>
    <n v="97908"/>
    <x v="0"/>
    <b v="0"/>
    <b v="0"/>
    <b v="0"/>
    <x v="1"/>
    <b v="1"/>
  </r>
  <r>
    <s v="S-5f8ad0"/>
    <s v="A-dfbd31"/>
    <d v="2024-08-08T00:00:00"/>
    <m/>
    <x v="2"/>
    <n v="24"/>
    <n v="456"/>
    <n v="5472"/>
    <x v="0"/>
    <b v="0"/>
    <b v="0"/>
    <b v="0"/>
    <x v="1"/>
    <b v="1"/>
  </r>
  <r>
    <s v="S-713c12"/>
    <s v="A-8ed5dd"/>
    <d v="2024-11-27T00:00:00"/>
    <m/>
    <x v="2"/>
    <n v="15"/>
    <n v="285"/>
    <n v="3420"/>
    <x v="0"/>
    <b v="0"/>
    <b v="1"/>
    <b v="0"/>
    <x v="0"/>
    <b v="1"/>
  </r>
  <r>
    <s v="S-e74ca1"/>
    <s v="A-59f724"/>
    <d v="2024-08-24T00:00:00"/>
    <m/>
    <x v="2"/>
    <n v="3"/>
    <n v="0"/>
    <n v="0"/>
    <x v="1"/>
    <b v="0"/>
    <b v="0"/>
    <b v="0"/>
    <x v="0"/>
    <b v="0"/>
  </r>
  <r>
    <s v="S-b6a35b"/>
    <s v="A-59f724"/>
    <d v="2024-05-08T00:00:00"/>
    <m/>
    <x v="1"/>
    <n v="19"/>
    <n v="931"/>
    <n v="11172"/>
    <x v="0"/>
    <b v="0"/>
    <b v="0"/>
    <b v="0"/>
    <x v="0"/>
    <b v="1"/>
  </r>
  <r>
    <s v="S-711528"/>
    <s v="A-a7bd4b"/>
    <d v="2024-09-25T00:00:00"/>
    <m/>
    <x v="2"/>
    <n v="18"/>
    <n v="342"/>
    <n v="4104"/>
    <x v="0"/>
    <b v="0"/>
    <b v="0"/>
    <b v="0"/>
    <x v="0"/>
    <b v="1"/>
  </r>
  <r>
    <s v="S-101401"/>
    <s v="A-08e34e"/>
    <d v="2024-12-05T00:00:00"/>
    <m/>
    <x v="1"/>
    <n v="58"/>
    <n v="2842"/>
    <n v="34104"/>
    <x v="0"/>
    <b v="0"/>
    <b v="0"/>
    <b v="0"/>
    <x v="0"/>
    <b v="1"/>
  </r>
  <r>
    <s v="S-155934"/>
    <s v="A-4a4c2d"/>
    <d v="2024-04-16T00:00:00"/>
    <m/>
    <x v="1"/>
    <n v="54"/>
    <n v="0"/>
    <n v="0"/>
    <x v="1"/>
    <b v="0"/>
    <b v="0"/>
    <b v="0"/>
    <x v="1"/>
    <b v="1"/>
  </r>
  <r>
    <s v="S-535bd1"/>
    <s v="A-d792a6"/>
    <d v="2023-03-18T00:00:00"/>
    <m/>
    <x v="1"/>
    <n v="9"/>
    <n v="0"/>
    <n v="0"/>
    <x v="1"/>
    <b v="0"/>
    <b v="0"/>
    <b v="0"/>
    <x v="0"/>
    <b v="0"/>
  </r>
  <r>
    <s v="S-42bbe0"/>
    <s v="A-2e3bad"/>
    <d v="2024-10-09T00:00:00"/>
    <m/>
    <x v="2"/>
    <n v="61"/>
    <n v="0"/>
    <n v="0"/>
    <x v="1"/>
    <b v="0"/>
    <b v="0"/>
    <b v="0"/>
    <x v="1"/>
    <b v="1"/>
  </r>
  <r>
    <s v="S-09076d"/>
    <s v="A-87aa7b"/>
    <d v="2024-12-23T00:00:00"/>
    <m/>
    <x v="1"/>
    <n v="51"/>
    <n v="2499"/>
    <n v="29988"/>
    <x v="0"/>
    <b v="1"/>
    <b v="0"/>
    <b v="0"/>
    <x v="0"/>
    <b v="1"/>
  </r>
  <r>
    <s v="S-d302e2"/>
    <s v="A-bd4708"/>
    <d v="2024-08-31T00:00:00"/>
    <m/>
    <x v="0"/>
    <n v="37"/>
    <n v="7363"/>
    <n v="88356"/>
    <x v="0"/>
    <b v="0"/>
    <b v="0"/>
    <b v="0"/>
    <x v="1"/>
    <b v="1"/>
  </r>
  <r>
    <s v="S-f9a56a"/>
    <s v="A-0be015"/>
    <d v="2024-11-19T00:00:00"/>
    <m/>
    <x v="2"/>
    <n v="24"/>
    <n v="456"/>
    <n v="5472"/>
    <x v="0"/>
    <b v="0"/>
    <b v="0"/>
    <b v="0"/>
    <x v="0"/>
    <b v="0"/>
  </r>
  <r>
    <s v="S-f783b6"/>
    <s v="A-2d4502"/>
    <d v="2024-08-31T00:00:00"/>
    <m/>
    <x v="0"/>
    <n v="7"/>
    <n v="1393"/>
    <n v="16716"/>
    <x v="0"/>
    <b v="0"/>
    <b v="0"/>
    <b v="0"/>
    <x v="0"/>
    <b v="1"/>
  </r>
  <r>
    <s v="S-6d9705"/>
    <s v="A-726cfa"/>
    <d v="2024-03-25T00:00:00"/>
    <m/>
    <x v="0"/>
    <n v="11"/>
    <n v="2189"/>
    <n v="26268"/>
    <x v="0"/>
    <b v="0"/>
    <b v="0"/>
    <b v="0"/>
    <x v="1"/>
    <b v="1"/>
  </r>
  <r>
    <s v="S-93ab2d"/>
    <s v="A-f17767"/>
    <d v="2023-05-02T00:00:00"/>
    <m/>
    <x v="2"/>
    <n v="2"/>
    <n v="38"/>
    <n v="456"/>
    <x v="0"/>
    <b v="0"/>
    <b v="0"/>
    <b v="0"/>
    <x v="1"/>
    <b v="1"/>
  </r>
  <r>
    <s v="S-617065"/>
    <s v="A-a45270"/>
    <d v="2024-10-01T00:00:00"/>
    <m/>
    <x v="0"/>
    <n v="3"/>
    <n v="597"/>
    <n v="7164"/>
    <x v="0"/>
    <b v="1"/>
    <b v="0"/>
    <b v="0"/>
    <x v="1"/>
    <b v="1"/>
  </r>
  <r>
    <s v="S-329803"/>
    <s v="A-1f0ac7"/>
    <d v="2024-04-29T00:00:00"/>
    <m/>
    <x v="2"/>
    <n v="34"/>
    <n v="646"/>
    <n v="7752"/>
    <x v="0"/>
    <b v="0"/>
    <b v="0"/>
    <b v="0"/>
    <x v="0"/>
    <b v="0"/>
  </r>
  <r>
    <s v="S-677801"/>
    <s v="A-80eeb6"/>
    <d v="2024-05-02T00:00:00"/>
    <m/>
    <x v="0"/>
    <n v="89"/>
    <n v="17711"/>
    <n v="212532"/>
    <x v="0"/>
    <b v="0"/>
    <b v="0"/>
    <b v="0"/>
    <x v="0"/>
    <b v="1"/>
  </r>
  <r>
    <s v="S-3092cb"/>
    <s v="A-6a4e2d"/>
    <d v="2023-08-03T00:00:00"/>
    <m/>
    <x v="0"/>
    <n v="22"/>
    <n v="4378"/>
    <n v="52536"/>
    <x v="0"/>
    <b v="0"/>
    <b v="0"/>
    <b v="0"/>
    <x v="1"/>
    <b v="1"/>
  </r>
  <r>
    <s v="S-f9469c"/>
    <s v="A-781cc0"/>
    <d v="2024-09-04T00:00:00"/>
    <m/>
    <x v="0"/>
    <n v="12"/>
    <n v="2388"/>
    <n v="28656"/>
    <x v="0"/>
    <b v="1"/>
    <b v="0"/>
    <b v="0"/>
    <x v="0"/>
    <b v="1"/>
  </r>
  <r>
    <s v="S-c13970"/>
    <s v="A-59f724"/>
    <d v="2024-06-27T00:00:00"/>
    <m/>
    <x v="2"/>
    <n v="36"/>
    <n v="684"/>
    <n v="8208"/>
    <x v="0"/>
    <b v="0"/>
    <b v="0"/>
    <b v="0"/>
    <x v="0"/>
    <b v="1"/>
  </r>
  <r>
    <s v="S-c1c6ca"/>
    <s v="A-856b1e"/>
    <d v="2024-02-03T00:00:00"/>
    <m/>
    <x v="1"/>
    <n v="36"/>
    <n v="1764"/>
    <n v="21168"/>
    <x v="0"/>
    <b v="0"/>
    <b v="0"/>
    <b v="0"/>
    <x v="0"/>
    <b v="1"/>
  </r>
  <r>
    <s v="S-966a44"/>
    <s v="A-f5641b"/>
    <d v="2024-04-21T00:00:00"/>
    <d v="2024-07-22T00:00:00"/>
    <x v="0"/>
    <n v="31"/>
    <n v="6169"/>
    <n v="74028"/>
    <x v="0"/>
    <b v="1"/>
    <b v="1"/>
    <b v="1"/>
    <x v="0"/>
    <b v="1"/>
  </r>
  <r>
    <s v="S-aef0c5"/>
    <s v="A-e1b9cd"/>
    <d v="2024-05-22T00:00:00"/>
    <m/>
    <x v="2"/>
    <n v="40"/>
    <n v="760"/>
    <n v="9120"/>
    <x v="0"/>
    <b v="0"/>
    <b v="0"/>
    <b v="0"/>
    <x v="0"/>
    <b v="1"/>
  </r>
  <r>
    <s v="S-6ca9be"/>
    <s v="A-e888d1"/>
    <d v="2023-05-11T00:00:00"/>
    <m/>
    <x v="2"/>
    <n v="54"/>
    <n v="1026"/>
    <n v="12312"/>
    <x v="0"/>
    <b v="0"/>
    <b v="0"/>
    <b v="0"/>
    <x v="1"/>
    <b v="1"/>
  </r>
  <r>
    <s v="S-f7b2fc"/>
    <s v="A-f446b6"/>
    <d v="2024-07-25T00:00:00"/>
    <d v="2024-10-13T00:00:00"/>
    <x v="0"/>
    <n v="13"/>
    <n v="2587"/>
    <n v="31044"/>
    <x v="0"/>
    <b v="0"/>
    <b v="0"/>
    <b v="1"/>
    <x v="0"/>
    <b v="1"/>
  </r>
  <r>
    <s v="S-9c414f"/>
    <s v="A-0a282f"/>
    <d v="2024-12-27T00:00:00"/>
    <m/>
    <x v="1"/>
    <n v="2"/>
    <n v="98"/>
    <n v="1176"/>
    <x v="0"/>
    <b v="0"/>
    <b v="0"/>
    <b v="0"/>
    <x v="1"/>
    <b v="1"/>
  </r>
  <r>
    <s v="S-4b9226"/>
    <s v="A-798a3f"/>
    <d v="2024-10-11T00:00:00"/>
    <m/>
    <x v="0"/>
    <n v="13"/>
    <n v="2587"/>
    <n v="31044"/>
    <x v="0"/>
    <b v="0"/>
    <b v="0"/>
    <b v="0"/>
    <x v="0"/>
    <b v="0"/>
  </r>
  <r>
    <s v="S-72fa62"/>
    <s v="A-4c56c9"/>
    <d v="2024-09-03T00:00:00"/>
    <m/>
    <x v="0"/>
    <n v="27"/>
    <n v="5373"/>
    <n v="64476"/>
    <x v="0"/>
    <b v="0"/>
    <b v="0"/>
    <b v="0"/>
    <x v="1"/>
    <b v="1"/>
  </r>
  <r>
    <s v="S-4fe9b6"/>
    <s v="A-8bde0c"/>
    <d v="2024-12-19T00:00:00"/>
    <d v="2024-12-30T00:00:00"/>
    <x v="1"/>
    <n v="25"/>
    <n v="1225"/>
    <n v="14700"/>
    <x v="0"/>
    <b v="0"/>
    <b v="0"/>
    <b v="1"/>
    <x v="1"/>
    <b v="1"/>
  </r>
  <r>
    <s v="S-7c635b"/>
    <s v="A-92a333"/>
    <d v="2023-08-15T00:00:00"/>
    <m/>
    <x v="0"/>
    <n v="33"/>
    <n v="6567"/>
    <n v="78804"/>
    <x v="0"/>
    <b v="0"/>
    <b v="0"/>
    <b v="0"/>
    <x v="1"/>
    <b v="1"/>
  </r>
  <r>
    <s v="S-c158df"/>
    <s v="A-fa2041"/>
    <d v="2024-10-27T00:00:00"/>
    <m/>
    <x v="0"/>
    <n v="18"/>
    <n v="3582"/>
    <n v="42984"/>
    <x v="0"/>
    <b v="0"/>
    <b v="0"/>
    <b v="0"/>
    <x v="0"/>
    <b v="1"/>
  </r>
  <r>
    <s v="S-b49c0a"/>
    <s v="A-db5e9e"/>
    <d v="2024-12-05T00:00:00"/>
    <m/>
    <x v="1"/>
    <n v="23"/>
    <n v="1127"/>
    <n v="13524"/>
    <x v="0"/>
    <b v="0"/>
    <b v="0"/>
    <b v="0"/>
    <x v="0"/>
    <b v="0"/>
  </r>
  <r>
    <s v="S-42822d"/>
    <s v="A-443f6f"/>
    <d v="2024-12-15T00:00:00"/>
    <m/>
    <x v="1"/>
    <n v="25"/>
    <n v="1225"/>
    <n v="14700"/>
    <x v="0"/>
    <b v="0"/>
    <b v="0"/>
    <b v="0"/>
    <x v="1"/>
    <b v="1"/>
  </r>
  <r>
    <s v="S-432401"/>
    <s v="A-c7ffc2"/>
    <d v="2023-05-25T00:00:00"/>
    <m/>
    <x v="1"/>
    <n v="132"/>
    <n v="6468"/>
    <n v="77616"/>
    <x v="0"/>
    <b v="0"/>
    <b v="0"/>
    <b v="0"/>
    <x v="0"/>
    <b v="1"/>
  </r>
  <r>
    <s v="S-71fc3d"/>
    <s v="A-ccb686"/>
    <d v="2024-12-06T00:00:00"/>
    <m/>
    <x v="0"/>
    <n v="10"/>
    <n v="1990"/>
    <n v="23880"/>
    <x v="0"/>
    <b v="0"/>
    <b v="0"/>
    <b v="0"/>
    <x v="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A7969-F1E8-455A-9855-EBB7E3198C5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D22" firstHeaderRow="1" firstDataRow="2" firstDataCol="1"/>
  <pivotFields count="14"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g MRR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D9102-833B-4764-B2AE-BE516AA39E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9" firstHeaderRow="1" firstDataRow="1" firstDataCol="1"/>
  <pivotFields count="13">
    <pivotField showAll="0"/>
    <pivotField showAll="0"/>
    <pivotField axis="axisRow" showAll="0" sortType="de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numFmtId="1"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2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churn percent" fld="11" subtotal="average" baseField="2" baseItem="1" numFmtId="10"/>
  </dataFields>
  <formats count="6">
    <format dxfId="10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2" count="1">
            <x v="2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2" count="1">
            <x v="4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  <format dxfId="5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E7721-8EE2-43F5-BE27-27D57E9D8EA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:D12" firstHeaderRow="0" firstDataRow="1" firstDataCol="1" rowPageCount="1" colPageCount="1"/>
  <pivotFields count="14"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0" hier="-1"/>
  </pageFields>
  <dataFields count="3">
    <dataField name="Total MRR" fld="6" baseField="0" baseItem="0"/>
    <dataField name="Total Subs" fld="6" subtotal="count" baseField="4" baseItem="0"/>
    <dataField name="Avg MRR" fld="6" subtotal="average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4D8EE-C46B-457C-B102-1333633DDA45}" name="Table2" displayName="Table2" ref="A1:B24" totalsRowShown="0">
  <autoFilter ref="A1:B24" xr:uid="{67A4D8EE-C46B-457C-B102-1333633DDA45}"/>
  <tableColumns count="2">
    <tableColumn id="1" xr3:uid="{2B94EFC2-3156-4A1A-BF39-DEB0A6A850A6}" name="month"/>
    <tableColumn id="2" xr3:uid="{93D92356-1967-48E4-8F70-879A6238AF57}" name="churn_ev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6C6BE-01D2-48DF-A217-72CF518817F4}" name="Table1" displayName="Table1" ref="A4:G24" totalsRowShown="0">
  <autoFilter ref="A4:G24" xr:uid="{A106C6BE-01D2-48DF-A217-72CF518817F4}"/>
  <tableColumns count="7">
    <tableColumn id="1" xr3:uid="{5BAB7299-A49E-40C5-8DED-BCBC40F686DC}" name="account_id"/>
    <tableColumn id="2" xr3:uid="{0A80F8E2-EC4E-466D-B24E-67F481C6C358}" name="industry"/>
    <tableColumn id="3" xr3:uid="{F3771994-D6AC-4F47-BA72-ECDDD45D59C5}" name="plan_tier"/>
    <tableColumn id="4" xr3:uid="{03D4EC5A-4478-46BB-A5FE-E5230AE54BB0}" name="total_tickets"/>
    <tableColumn id="5" xr3:uid="{24E8CA08-2A69-4079-B3D6-8C47126CA84D}" name="avg_satisfaction"/>
    <tableColumn id="6" xr3:uid="{6D8AB8A5-892F-47BD-B213-151C25A18C6D}" name="total_mrr"/>
    <tableColumn id="7" xr3:uid="{099EF676-FA2F-40D0-B37D-DF53237BAECA}" name="risk level" dataDxfId="4">
      <calculatedColumnFormula>IF(E5&lt;2.5,"HIGH",IF(E5&lt;3.5,"MEDIUM","WATCH"))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01D7-D7DE-4F72-9025-F636817BD109}">
  <dimension ref="A1:P13"/>
  <sheetViews>
    <sheetView workbookViewId="0">
      <selection activeCell="J9" sqref="J9"/>
    </sheetView>
  </sheetViews>
  <sheetFormatPr defaultRowHeight="14.4" x14ac:dyDescent="0.3"/>
  <sheetData>
    <row r="1" spans="1:16" ht="31.2" x14ac:dyDescent="0.6">
      <c r="A1" s="24" t="s">
        <v>6084</v>
      </c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3">
      <c r="H2" s="23"/>
      <c r="I2" s="23"/>
      <c r="J2" s="23"/>
      <c r="K2" s="23"/>
      <c r="L2" s="23"/>
      <c r="M2" s="23"/>
      <c r="N2" s="23"/>
      <c r="O2" s="23"/>
      <c r="P2" s="23"/>
    </row>
    <row r="5" spans="1:16" ht="18" x14ac:dyDescent="0.35">
      <c r="A5" s="25" t="s">
        <v>6085</v>
      </c>
    </row>
    <row r="7" spans="1:16" ht="18" x14ac:dyDescent="0.35">
      <c r="A7" s="26" t="s">
        <v>6086</v>
      </c>
    </row>
    <row r="9" spans="1:16" ht="18" x14ac:dyDescent="0.35">
      <c r="A9" s="26" t="s">
        <v>6087</v>
      </c>
    </row>
    <row r="10" spans="1:16" ht="13.2" customHeight="1" x14ac:dyDescent="0.3">
      <c r="A10" s="27"/>
      <c r="C10" s="27"/>
      <c r="D10" s="27"/>
      <c r="E10" s="27"/>
      <c r="F10" s="27"/>
      <c r="G10" s="27"/>
    </row>
    <row r="11" spans="1:16" ht="18" x14ac:dyDescent="0.35">
      <c r="A11" s="26" t="s">
        <v>6088</v>
      </c>
    </row>
    <row r="13" spans="1:16" ht="18" x14ac:dyDescent="0.35">
      <c r="A13" s="26" t="s">
        <v>6089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9D1-792C-44EF-A477-1F1EC48DFE39}">
  <dimension ref="A1:L501"/>
  <sheetViews>
    <sheetView workbookViewId="0">
      <pane ySplit="1" topLeftCell="A2" activePane="bottomLeft" state="frozen"/>
      <selection pane="bottomLeft" sqref="A1:L501"/>
    </sheetView>
  </sheetViews>
  <sheetFormatPr defaultRowHeight="14.4" x14ac:dyDescent="0.3"/>
  <cols>
    <col min="1" max="1" width="15" customWidth="1"/>
    <col min="2" max="2" width="12.5546875" customWidth="1"/>
    <col min="3" max="3" width="11" customWidth="1"/>
    <col min="4" max="4" width="9.33203125" customWidth="1"/>
    <col min="5" max="5" width="14.77734375" style="1" customWidth="1"/>
    <col min="6" max="6" width="11.33203125" customWidth="1"/>
    <col min="11" max="11" width="12.66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1030</v>
      </c>
      <c r="L1" s="10" t="s">
        <v>1034</v>
      </c>
    </row>
    <row r="2" spans="1:12" x14ac:dyDescent="0.3">
      <c r="A2" s="4" t="s">
        <v>10</v>
      </c>
      <c r="B2" s="4" t="s">
        <v>11</v>
      </c>
      <c r="C2" s="4" t="s">
        <v>12</v>
      </c>
      <c r="D2" s="4" t="s">
        <v>13</v>
      </c>
      <c r="E2" s="5">
        <v>45581</v>
      </c>
      <c r="F2" s="4" t="s">
        <v>14</v>
      </c>
      <c r="G2" s="4" t="s">
        <v>15</v>
      </c>
      <c r="H2" s="6">
        <v>9</v>
      </c>
      <c r="I2" s="4" t="b">
        <v>0</v>
      </c>
      <c r="J2" s="4" t="b">
        <v>0</v>
      </c>
      <c r="K2" s="4" t="str">
        <f>IF(J2=TRUE,"Churned","Active")</f>
        <v>Active</v>
      </c>
      <c r="L2" s="4">
        <f>IF(J2=TRUE,1,0)</f>
        <v>0</v>
      </c>
    </row>
    <row r="3" spans="1:12" x14ac:dyDescent="0.3">
      <c r="A3" s="4" t="s">
        <v>16</v>
      </c>
      <c r="B3" s="4" t="s">
        <v>17</v>
      </c>
      <c r="C3" s="4" t="s">
        <v>18</v>
      </c>
      <c r="D3" s="4" t="s">
        <v>19</v>
      </c>
      <c r="E3" s="5">
        <v>45155</v>
      </c>
      <c r="F3" s="4" t="s">
        <v>20</v>
      </c>
      <c r="G3" s="4" t="s">
        <v>15</v>
      </c>
      <c r="H3" s="6">
        <v>18</v>
      </c>
      <c r="I3" s="4" t="b">
        <v>0</v>
      </c>
      <c r="J3" s="4" t="b">
        <v>1</v>
      </c>
      <c r="K3" s="4" t="str">
        <f t="shared" ref="K3:K66" si="0">IF(J3=TRUE,"Churned","Active")</f>
        <v>Churned</v>
      </c>
      <c r="L3" s="4">
        <f t="shared" ref="L3:L66" si="1">IF(J3=TRUE,1,0)</f>
        <v>1</v>
      </c>
    </row>
    <row r="4" spans="1:12" x14ac:dyDescent="0.3">
      <c r="A4" s="4" t="s">
        <v>21</v>
      </c>
      <c r="B4" s="4" t="s">
        <v>22</v>
      </c>
      <c r="C4" s="4" t="s">
        <v>23</v>
      </c>
      <c r="D4" s="4" t="s">
        <v>13</v>
      </c>
      <c r="E4" s="5">
        <v>45531</v>
      </c>
      <c r="F4" s="4" t="s">
        <v>24</v>
      </c>
      <c r="G4" s="4" t="s">
        <v>15</v>
      </c>
      <c r="H4" s="6">
        <v>1</v>
      </c>
      <c r="I4" s="4" t="b">
        <v>0</v>
      </c>
      <c r="J4" s="4" t="b">
        <v>0</v>
      </c>
      <c r="K4" s="4" t="str">
        <f t="shared" si="0"/>
        <v>Active</v>
      </c>
      <c r="L4" s="4">
        <f t="shared" si="1"/>
        <v>0</v>
      </c>
    </row>
    <row r="5" spans="1:12" x14ac:dyDescent="0.3">
      <c r="A5" s="4" t="s">
        <v>25</v>
      </c>
      <c r="B5" s="4" t="s">
        <v>26</v>
      </c>
      <c r="C5" s="4" t="s">
        <v>27</v>
      </c>
      <c r="D5" s="4" t="s">
        <v>28</v>
      </c>
      <c r="E5" s="5">
        <v>45165</v>
      </c>
      <c r="F5" s="4" t="s">
        <v>20</v>
      </c>
      <c r="G5" s="4" t="s">
        <v>15</v>
      </c>
      <c r="H5" s="6">
        <v>24</v>
      </c>
      <c r="I5" s="4" t="b">
        <v>1</v>
      </c>
      <c r="J5" s="4" t="b">
        <v>0</v>
      </c>
      <c r="K5" s="4" t="str">
        <f t="shared" si="0"/>
        <v>Active</v>
      </c>
      <c r="L5" s="4">
        <f t="shared" si="1"/>
        <v>0</v>
      </c>
    </row>
    <row r="6" spans="1:12" x14ac:dyDescent="0.3">
      <c r="A6" s="4" t="s">
        <v>29</v>
      </c>
      <c r="B6" s="4" t="s">
        <v>30</v>
      </c>
      <c r="C6" s="4" t="s">
        <v>27</v>
      </c>
      <c r="D6" s="4" t="s">
        <v>13</v>
      </c>
      <c r="E6" s="5">
        <v>45592</v>
      </c>
      <c r="F6" s="4" t="s">
        <v>31</v>
      </c>
      <c r="G6" s="4" t="s">
        <v>32</v>
      </c>
      <c r="H6" s="6">
        <v>35</v>
      </c>
      <c r="I6" s="4" t="b">
        <v>0</v>
      </c>
      <c r="J6" s="4" t="b">
        <v>1</v>
      </c>
      <c r="K6" s="4" t="str">
        <f t="shared" si="0"/>
        <v>Churned</v>
      </c>
      <c r="L6" s="4">
        <f t="shared" si="1"/>
        <v>1</v>
      </c>
    </row>
    <row r="7" spans="1:12" x14ac:dyDescent="0.3">
      <c r="A7" s="4" t="s">
        <v>33</v>
      </c>
      <c r="B7" s="4" t="s">
        <v>34</v>
      </c>
      <c r="C7" s="4" t="s">
        <v>12</v>
      </c>
      <c r="D7" s="4" t="s">
        <v>19</v>
      </c>
      <c r="E7" s="5">
        <v>45211</v>
      </c>
      <c r="F7" s="4" t="s">
        <v>35</v>
      </c>
      <c r="G7" s="4" t="s">
        <v>32</v>
      </c>
      <c r="H7" s="6">
        <v>4</v>
      </c>
      <c r="I7" s="4" t="b">
        <v>0</v>
      </c>
      <c r="J7" s="4" t="b">
        <v>0</v>
      </c>
      <c r="K7" s="4" t="str">
        <f t="shared" si="0"/>
        <v>Active</v>
      </c>
      <c r="L7" s="4">
        <f t="shared" si="1"/>
        <v>0</v>
      </c>
    </row>
    <row r="8" spans="1:12" x14ac:dyDescent="0.3">
      <c r="A8" s="4" t="s">
        <v>36</v>
      </c>
      <c r="B8" s="4" t="s">
        <v>37</v>
      </c>
      <c r="C8" s="4" t="s">
        <v>38</v>
      </c>
      <c r="D8" s="4" t="s">
        <v>13</v>
      </c>
      <c r="E8" s="5">
        <v>45359</v>
      </c>
      <c r="F8" s="4" t="s">
        <v>35</v>
      </c>
      <c r="G8" s="4" t="s">
        <v>39</v>
      </c>
      <c r="H8" s="6">
        <v>11</v>
      </c>
      <c r="I8" s="4" t="b">
        <v>0</v>
      </c>
      <c r="J8" s="4" t="b">
        <v>0</v>
      </c>
      <c r="K8" s="4" t="str">
        <f t="shared" si="0"/>
        <v>Active</v>
      </c>
      <c r="L8" s="4">
        <f t="shared" si="1"/>
        <v>0</v>
      </c>
    </row>
    <row r="9" spans="1:12" x14ac:dyDescent="0.3">
      <c r="A9" s="4" t="s">
        <v>40</v>
      </c>
      <c r="B9" s="4" t="s">
        <v>41</v>
      </c>
      <c r="C9" s="4" t="s">
        <v>12</v>
      </c>
      <c r="D9" s="4" t="s">
        <v>13</v>
      </c>
      <c r="E9" s="5">
        <v>45031</v>
      </c>
      <c r="F9" s="4" t="s">
        <v>14</v>
      </c>
      <c r="G9" s="4" t="s">
        <v>39</v>
      </c>
      <c r="H9" s="6">
        <v>3</v>
      </c>
      <c r="I9" s="4" t="b">
        <v>0</v>
      </c>
      <c r="J9" s="4" t="b">
        <v>0</v>
      </c>
      <c r="K9" s="4" t="str">
        <f t="shared" si="0"/>
        <v>Active</v>
      </c>
      <c r="L9" s="4">
        <f t="shared" si="1"/>
        <v>0</v>
      </c>
    </row>
    <row r="10" spans="1:12" x14ac:dyDescent="0.3">
      <c r="A10" s="4" t="s">
        <v>42</v>
      </c>
      <c r="B10" s="4" t="s">
        <v>43</v>
      </c>
      <c r="C10" s="4" t="s">
        <v>38</v>
      </c>
      <c r="D10" s="4" t="s">
        <v>44</v>
      </c>
      <c r="E10" s="5">
        <v>45545</v>
      </c>
      <c r="F10" s="4" t="s">
        <v>31</v>
      </c>
      <c r="G10" s="4" t="s">
        <v>32</v>
      </c>
      <c r="H10" s="6">
        <v>12</v>
      </c>
      <c r="I10" s="4" t="b">
        <v>0</v>
      </c>
      <c r="J10" s="4" t="b">
        <v>1</v>
      </c>
      <c r="K10" s="4" t="str">
        <f t="shared" si="0"/>
        <v>Churned</v>
      </c>
      <c r="L10" s="4">
        <f t="shared" si="1"/>
        <v>1</v>
      </c>
    </row>
    <row r="11" spans="1:12" x14ac:dyDescent="0.3">
      <c r="A11" s="4" t="s">
        <v>45</v>
      </c>
      <c r="B11" s="4" t="s">
        <v>46</v>
      </c>
      <c r="C11" s="4" t="s">
        <v>23</v>
      </c>
      <c r="D11" s="4" t="s">
        <v>13</v>
      </c>
      <c r="E11" s="5">
        <v>45054</v>
      </c>
      <c r="F11" s="4" t="s">
        <v>14</v>
      </c>
      <c r="G11" s="4" t="s">
        <v>32</v>
      </c>
      <c r="H11" s="6">
        <v>14</v>
      </c>
      <c r="I11" s="4" t="b">
        <v>0</v>
      </c>
      <c r="J11" s="4" t="b">
        <v>1</v>
      </c>
      <c r="K11" s="4" t="str">
        <f t="shared" si="0"/>
        <v>Churned</v>
      </c>
      <c r="L11" s="4">
        <f t="shared" si="1"/>
        <v>1</v>
      </c>
    </row>
    <row r="12" spans="1:12" x14ac:dyDescent="0.3">
      <c r="A12" s="4" t="s">
        <v>47</v>
      </c>
      <c r="B12" s="4" t="s">
        <v>48</v>
      </c>
      <c r="C12" s="4" t="s">
        <v>38</v>
      </c>
      <c r="D12" s="4" t="s">
        <v>13</v>
      </c>
      <c r="E12" s="5">
        <v>45560</v>
      </c>
      <c r="F12" s="4" t="s">
        <v>24</v>
      </c>
      <c r="G12" s="4" t="s">
        <v>15</v>
      </c>
      <c r="H12" s="6">
        <v>18</v>
      </c>
      <c r="I12" s="4" t="b">
        <v>0</v>
      </c>
      <c r="J12" s="4" t="b">
        <v>1</v>
      </c>
      <c r="K12" s="4" t="str">
        <f t="shared" si="0"/>
        <v>Churned</v>
      </c>
      <c r="L12" s="4">
        <f t="shared" si="1"/>
        <v>1</v>
      </c>
    </row>
    <row r="13" spans="1:12" x14ac:dyDescent="0.3">
      <c r="A13" s="4" t="s">
        <v>49</v>
      </c>
      <c r="B13" s="4" t="s">
        <v>50</v>
      </c>
      <c r="C13" s="4" t="s">
        <v>18</v>
      </c>
      <c r="D13" s="4" t="s">
        <v>19</v>
      </c>
      <c r="E13" s="5">
        <v>45604</v>
      </c>
      <c r="F13" s="4" t="s">
        <v>24</v>
      </c>
      <c r="G13" s="4" t="s">
        <v>15</v>
      </c>
      <c r="H13" s="6">
        <v>59</v>
      </c>
      <c r="I13" s="4" t="b">
        <v>0</v>
      </c>
      <c r="J13" s="4" t="b">
        <v>0</v>
      </c>
      <c r="K13" s="4" t="str">
        <f t="shared" si="0"/>
        <v>Active</v>
      </c>
      <c r="L13" s="4">
        <f t="shared" si="1"/>
        <v>0</v>
      </c>
    </row>
    <row r="14" spans="1:12" x14ac:dyDescent="0.3">
      <c r="A14" s="4" t="s">
        <v>51</v>
      </c>
      <c r="B14" s="4" t="s">
        <v>52</v>
      </c>
      <c r="C14" s="4" t="s">
        <v>23</v>
      </c>
      <c r="D14" s="4" t="s">
        <v>13</v>
      </c>
      <c r="E14" s="5">
        <v>45030</v>
      </c>
      <c r="F14" s="4" t="s">
        <v>14</v>
      </c>
      <c r="G14" s="4" t="s">
        <v>15</v>
      </c>
      <c r="H14" s="6">
        <v>7</v>
      </c>
      <c r="I14" s="4" t="b">
        <v>1</v>
      </c>
      <c r="J14" s="4" t="b">
        <v>0</v>
      </c>
      <c r="K14" s="4" t="str">
        <f t="shared" si="0"/>
        <v>Active</v>
      </c>
      <c r="L14" s="4">
        <f t="shared" si="1"/>
        <v>0</v>
      </c>
    </row>
    <row r="15" spans="1:12" x14ac:dyDescent="0.3">
      <c r="A15" s="4" t="s">
        <v>53</v>
      </c>
      <c r="B15" s="4" t="s">
        <v>54</v>
      </c>
      <c r="C15" s="4" t="s">
        <v>38</v>
      </c>
      <c r="D15" s="4" t="s">
        <v>13</v>
      </c>
      <c r="E15" s="5">
        <v>45306</v>
      </c>
      <c r="F15" s="4" t="s">
        <v>14</v>
      </c>
      <c r="G15" s="4" t="s">
        <v>32</v>
      </c>
      <c r="H15" s="6">
        <v>11</v>
      </c>
      <c r="I15" s="4" t="b">
        <v>1</v>
      </c>
      <c r="J15" s="4" t="b">
        <v>0</v>
      </c>
      <c r="K15" s="4" t="str">
        <f t="shared" si="0"/>
        <v>Active</v>
      </c>
      <c r="L15" s="4">
        <f t="shared" si="1"/>
        <v>0</v>
      </c>
    </row>
    <row r="16" spans="1:12" x14ac:dyDescent="0.3">
      <c r="A16" s="4" t="s">
        <v>55</v>
      </c>
      <c r="B16" s="4" t="s">
        <v>56</v>
      </c>
      <c r="C16" s="4" t="s">
        <v>12</v>
      </c>
      <c r="D16" s="4" t="s">
        <v>28</v>
      </c>
      <c r="E16" s="5">
        <v>45626</v>
      </c>
      <c r="F16" s="4" t="s">
        <v>35</v>
      </c>
      <c r="G16" s="4" t="s">
        <v>32</v>
      </c>
      <c r="H16" s="6">
        <v>1</v>
      </c>
      <c r="I16" s="4" t="b">
        <v>0</v>
      </c>
      <c r="J16" s="4" t="b">
        <v>0</v>
      </c>
      <c r="K16" s="4" t="str">
        <f t="shared" si="0"/>
        <v>Active</v>
      </c>
      <c r="L16" s="4">
        <f t="shared" si="1"/>
        <v>0</v>
      </c>
    </row>
    <row r="17" spans="1:12" x14ac:dyDescent="0.3">
      <c r="A17" s="4" t="s">
        <v>57</v>
      </c>
      <c r="B17" s="4" t="s">
        <v>58</v>
      </c>
      <c r="C17" s="4" t="s">
        <v>18</v>
      </c>
      <c r="D17" s="4" t="s">
        <v>13</v>
      </c>
      <c r="E17" s="5">
        <v>45177</v>
      </c>
      <c r="F17" s="4" t="s">
        <v>14</v>
      </c>
      <c r="G17" s="4" t="s">
        <v>32</v>
      </c>
      <c r="H17" s="6">
        <v>21</v>
      </c>
      <c r="I17" s="4" t="b">
        <v>0</v>
      </c>
      <c r="J17" s="4" t="b">
        <v>0</v>
      </c>
      <c r="K17" s="4" t="str">
        <f t="shared" si="0"/>
        <v>Active</v>
      </c>
      <c r="L17" s="4">
        <f t="shared" si="1"/>
        <v>0</v>
      </c>
    </row>
    <row r="18" spans="1:12" x14ac:dyDescent="0.3">
      <c r="A18" s="4" t="s">
        <v>59</v>
      </c>
      <c r="B18" s="4" t="s">
        <v>60</v>
      </c>
      <c r="C18" s="4" t="s">
        <v>27</v>
      </c>
      <c r="D18" s="4" t="s">
        <v>13</v>
      </c>
      <c r="E18" s="5">
        <v>45631</v>
      </c>
      <c r="F18" s="4" t="s">
        <v>14</v>
      </c>
      <c r="G18" s="4" t="s">
        <v>15</v>
      </c>
      <c r="H18" s="6">
        <v>15</v>
      </c>
      <c r="I18" s="4" t="b">
        <v>0</v>
      </c>
      <c r="J18" s="4" t="b">
        <v>0</v>
      </c>
      <c r="K18" s="4" t="str">
        <f t="shared" si="0"/>
        <v>Active</v>
      </c>
      <c r="L18" s="4">
        <f t="shared" si="1"/>
        <v>0</v>
      </c>
    </row>
    <row r="19" spans="1:12" x14ac:dyDescent="0.3">
      <c r="A19" s="4" t="s">
        <v>61</v>
      </c>
      <c r="B19" s="4" t="s">
        <v>62</v>
      </c>
      <c r="C19" s="4" t="s">
        <v>12</v>
      </c>
      <c r="D19" s="4" t="s">
        <v>44</v>
      </c>
      <c r="E19" s="5">
        <v>45161</v>
      </c>
      <c r="F19" s="4" t="s">
        <v>31</v>
      </c>
      <c r="G19" s="4" t="s">
        <v>39</v>
      </c>
      <c r="H19" s="6">
        <v>29</v>
      </c>
      <c r="I19" s="4" t="b">
        <v>0</v>
      </c>
      <c r="J19" s="4" t="b">
        <v>0</v>
      </c>
      <c r="K19" s="4" t="str">
        <f t="shared" si="0"/>
        <v>Active</v>
      </c>
      <c r="L19" s="4">
        <f t="shared" si="1"/>
        <v>0</v>
      </c>
    </row>
    <row r="20" spans="1:12" x14ac:dyDescent="0.3">
      <c r="A20" s="4" t="s">
        <v>63</v>
      </c>
      <c r="B20" s="4" t="s">
        <v>64</v>
      </c>
      <c r="C20" s="4" t="s">
        <v>18</v>
      </c>
      <c r="D20" s="4" t="s">
        <v>65</v>
      </c>
      <c r="E20" s="5">
        <v>44994</v>
      </c>
      <c r="F20" s="4" t="s">
        <v>20</v>
      </c>
      <c r="G20" s="4" t="s">
        <v>32</v>
      </c>
      <c r="H20" s="6">
        <v>18</v>
      </c>
      <c r="I20" s="4" t="b">
        <v>0</v>
      </c>
      <c r="J20" s="4" t="b">
        <v>1</v>
      </c>
      <c r="K20" s="4" t="str">
        <f t="shared" si="0"/>
        <v>Churned</v>
      </c>
      <c r="L20" s="4">
        <f t="shared" si="1"/>
        <v>1</v>
      </c>
    </row>
    <row r="21" spans="1:12" x14ac:dyDescent="0.3">
      <c r="A21" s="4" t="s">
        <v>66</v>
      </c>
      <c r="B21" s="4" t="s">
        <v>67</v>
      </c>
      <c r="C21" s="4" t="s">
        <v>18</v>
      </c>
      <c r="D21" s="4" t="s">
        <v>28</v>
      </c>
      <c r="E21" s="5">
        <v>45249</v>
      </c>
      <c r="F21" s="4" t="s">
        <v>31</v>
      </c>
      <c r="G21" s="4" t="s">
        <v>32</v>
      </c>
      <c r="H21" s="6">
        <v>4</v>
      </c>
      <c r="I21" s="4" t="b">
        <v>1</v>
      </c>
      <c r="J21" s="4" t="b">
        <v>0</v>
      </c>
      <c r="K21" s="4" t="str">
        <f t="shared" si="0"/>
        <v>Active</v>
      </c>
      <c r="L21" s="4">
        <f t="shared" si="1"/>
        <v>0</v>
      </c>
    </row>
    <row r="22" spans="1:12" x14ac:dyDescent="0.3">
      <c r="A22" s="4" t="s">
        <v>68</v>
      </c>
      <c r="B22" s="4" t="s">
        <v>69</v>
      </c>
      <c r="C22" s="4" t="s">
        <v>18</v>
      </c>
      <c r="D22" s="4" t="s">
        <v>13</v>
      </c>
      <c r="E22" s="5">
        <v>45396</v>
      </c>
      <c r="F22" s="4" t="s">
        <v>35</v>
      </c>
      <c r="G22" s="4" t="s">
        <v>32</v>
      </c>
      <c r="H22" s="6">
        <v>9</v>
      </c>
      <c r="I22" s="4" t="b">
        <v>0</v>
      </c>
      <c r="J22" s="4" t="b">
        <v>0</v>
      </c>
      <c r="K22" s="4" t="str">
        <f t="shared" si="0"/>
        <v>Active</v>
      </c>
      <c r="L22" s="4">
        <f t="shared" si="1"/>
        <v>0</v>
      </c>
    </row>
    <row r="23" spans="1:12" x14ac:dyDescent="0.3">
      <c r="A23" s="4" t="s">
        <v>70</v>
      </c>
      <c r="B23" s="4" t="s">
        <v>71</v>
      </c>
      <c r="C23" s="4" t="s">
        <v>27</v>
      </c>
      <c r="D23" s="4" t="s">
        <v>13</v>
      </c>
      <c r="E23" s="5">
        <v>45501</v>
      </c>
      <c r="F23" s="4" t="s">
        <v>20</v>
      </c>
      <c r="G23" s="4" t="s">
        <v>39</v>
      </c>
      <c r="H23" s="6">
        <v>8</v>
      </c>
      <c r="I23" s="4" t="b">
        <v>0</v>
      </c>
      <c r="J23" s="4" t="b">
        <v>0</v>
      </c>
      <c r="K23" s="4" t="str">
        <f t="shared" si="0"/>
        <v>Active</v>
      </c>
      <c r="L23" s="4">
        <f t="shared" si="1"/>
        <v>0</v>
      </c>
    </row>
    <row r="24" spans="1:12" x14ac:dyDescent="0.3">
      <c r="A24" s="4" t="s">
        <v>72</v>
      </c>
      <c r="B24" s="4" t="s">
        <v>73</v>
      </c>
      <c r="C24" s="4" t="s">
        <v>23</v>
      </c>
      <c r="D24" s="4" t="s">
        <v>13</v>
      </c>
      <c r="E24" s="5">
        <v>45524</v>
      </c>
      <c r="F24" s="4" t="s">
        <v>35</v>
      </c>
      <c r="G24" s="4" t="s">
        <v>32</v>
      </c>
      <c r="H24" s="6">
        <v>3</v>
      </c>
      <c r="I24" s="4" t="b">
        <v>0</v>
      </c>
      <c r="J24" s="4" t="b">
        <v>1</v>
      </c>
      <c r="K24" s="4" t="str">
        <f t="shared" si="0"/>
        <v>Churned</v>
      </c>
      <c r="L24" s="4">
        <f t="shared" si="1"/>
        <v>1</v>
      </c>
    </row>
    <row r="25" spans="1:12" x14ac:dyDescent="0.3">
      <c r="A25" s="4" t="s">
        <v>74</v>
      </c>
      <c r="B25" s="4" t="s">
        <v>75</v>
      </c>
      <c r="C25" s="4" t="s">
        <v>12</v>
      </c>
      <c r="D25" s="4" t="s">
        <v>19</v>
      </c>
      <c r="E25" s="5">
        <v>45432</v>
      </c>
      <c r="F25" s="4" t="s">
        <v>24</v>
      </c>
      <c r="G25" s="4" t="s">
        <v>15</v>
      </c>
      <c r="H25" s="6">
        <v>86</v>
      </c>
      <c r="I25" s="4" t="b">
        <v>0</v>
      </c>
      <c r="J25" s="4" t="b">
        <v>1</v>
      </c>
      <c r="K25" s="4" t="str">
        <f t="shared" si="0"/>
        <v>Churned</v>
      </c>
      <c r="L25" s="4">
        <f t="shared" si="1"/>
        <v>1</v>
      </c>
    </row>
    <row r="26" spans="1:12" x14ac:dyDescent="0.3">
      <c r="A26" s="4" t="s">
        <v>76</v>
      </c>
      <c r="B26" s="4" t="s">
        <v>77</v>
      </c>
      <c r="C26" s="4" t="s">
        <v>18</v>
      </c>
      <c r="D26" s="4" t="s">
        <v>19</v>
      </c>
      <c r="E26" s="5">
        <v>45569</v>
      </c>
      <c r="F26" s="4" t="s">
        <v>31</v>
      </c>
      <c r="G26" s="4" t="s">
        <v>32</v>
      </c>
      <c r="H26" s="6">
        <v>1</v>
      </c>
      <c r="I26" s="4" t="b">
        <v>0</v>
      </c>
      <c r="J26" s="4" t="b">
        <v>0</v>
      </c>
      <c r="K26" s="4" t="str">
        <f t="shared" si="0"/>
        <v>Active</v>
      </c>
      <c r="L26" s="4">
        <f t="shared" si="1"/>
        <v>0</v>
      </c>
    </row>
    <row r="27" spans="1:12" x14ac:dyDescent="0.3">
      <c r="A27" s="4" t="s">
        <v>78</v>
      </c>
      <c r="B27" s="4" t="s">
        <v>79</v>
      </c>
      <c r="C27" s="4" t="s">
        <v>23</v>
      </c>
      <c r="D27" s="4" t="s">
        <v>13</v>
      </c>
      <c r="E27" s="5">
        <v>44992</v>
      </c>
      <c r="F27" s="4" t="s">
        <v>31</v>
      </c>
      <c r="G27" s="4" t="s">
        <v>32</v>
      </c>
      <c r="H27" s="6">
        <v>26</v>
      </c>
      <c r="I27" s="4" t="b">
        <v>0</v>
      </c>
      <c r="J27" s="4" t="b">
        <v>1</v>
      </c>
      <c r="K27" s="4" t="str">
        <f t="shared" si="0"/>
        <v>Churned</v>
      </c>
      <c r="L27" s="4">
        <f t="shared" si="1"/>
        <v>1</v>
      </c>
    </row>
    <row r="28" spans="1:12" x14ac:dyDescent="0.3">
      <c r="A28" s="4" t="s">
        <v>80</v>
      </c>
      <c r="B28" s="4" t="s">
        <v>81</v>
      </c>
      <c r="C28" s="4" t="s">
        <v>27</v>
      </c>
      <c r="D28" s="4" t="s">
        <v>82</v>
      </c>
      <c r="E28" s="5">
        <v>45184</v>
      </c>
      <c r="F28" s="4" t="s">
        <v>24</v>
      </c>
      <c r="G28" s="4" t="s">
        <v>32</v>
      </c>
      <c r="H28" s="6">
        <v>8</v>
      </c>
      <c r="I28" s="4" t="b">
        <v>1</v>
      </c>
      <c r="J28" s="4" t="b">
        <v>0</v>
      </c>
      <c r="K28" s="4" t="str">
        <f t="shared" si="0"/>
        <v>Active</v>
      </c>
      <c r="L28" s="4">
        <f t="shared" si="1"/>
        <v>0</v>
      </c>
    </row>
    <row r="29" spans="1:12" x14ac:dyDescent="0.3">
      <c r="A29" s="4" t="s">
        <v>83</v>
      </c>
      <c r="B29" s="4" t="s">
        <v>84</v>
      </c>
      <c r="C29" s="4" t="s">
        <v>27</v>
      </c>
      <c r="D29" s="4" t="s">
        <v>19</v>
      </c>
      <c r="E29" s="5">
        <v>45044</v>
      </c>
      <c r="F29" s="4" t="s">
        <v>14</v>
      </c>
      <c r="G29" s="4" t="s">
        <v>15</v>
      </c>
      <c r="H29" s="6">
        <v>19</v>
      </c>
      <c r="I29" s="4" t="b">
        <v>0</v>
      </c>
      <c r="J29" s="4" t="b">
        <v>1</v>
      </c>
      <c r="K29" s="4" t="str">
        <f t="shared" si="0"/>
        <v>Churned</v>
      </c>
      <c r="L29" s="4">
        <f t="shared" si="1"/>
        <v>1</v>
      </c>
    </row>
    <row r="30" spans="1:12" x14ac:dyDescent="0.3">
      <c r="A30" s="4" t="s">
        <v>85</v>
      </c>
      <c r="B30" s="4" t="s">
        <v>86</v>
      </c>
      <c r="C30" s="4" t="s">
        <v>23</v>
      </c>
      <c r="D30" s="4" t="s">
        <v>13</v>
      </c>
      <c r="E30" s="5">
        <v>45227</v>
      </c>
      <c r="F30" s="4" t="s">
        <v>24</v>
      </c>
      <c r="G30" s="4" t="s">
        <v>32</v>
      </c>
      <c r="H30" s="6">
        <v>7</v>
      </c>
      <c r="I30" s="4" t="b">
        <v>0</v>
      </c>
      <c r="J30" s="4" t="b">
        <v>0</v>
      </c>
      <c r="K30" s="4" t="str">
        <f t="shared" si="0"/>
        <v>Active</v>
      </c>
      <c r="L30" s="4">
        <f t="shared" si="1"/>
        <v>0</v>
      </c>
    </row>
    <row r="31" spans="1:12" x14ac:dyDescent="0.3">
      <c r="A31" s="4" t="s">
        <v>87</v>
      </c>
      <c r="B31" s="4" t="s">
        <v>88</v>
      </c>
      <c r="C31" s="4" t="s">
        <v>27</v>
      </c>
      <c r="D31" s="4" t="s">
        <v>19</v>
      </c>
      <c r="E31" s="5">
        <v>45196</v>
      </c>
      <c r="F31" s="4" t="s">
        <v>20</v>
      </c>
      <c r="G31" s="4" t="s">
        <v>15</v>
      </c>
      <c r="H31" s="6">
        <v>20</v>
      </c>
      <c r="I31" s="4" t="b">
        <v>0</v>
      </c>
      <c r="J31" s="4" t="b">
        <v>0</v>
      </c>
      <c r="K31" s="4" t="str">
        <f t="shared" si="0"/>
        <v>Active</v>
      </c>
      <c r="L31" s="4">
        <f t="shared" si="1"/>
        <v>0</v>
      </c>
    </row>
    <row r="32" spans="1:12" x14ac:dyDescent="0.3">
      <c r="A32" s="4" t="s">
        <v>89</v>
      </c>
      <c r="B32" s="4" t="s">
        <v>90</v>
      </c>
      <c r="C32" s="4" t="s">
        <v>38</v>
      </c>
      <c r="D32" s="4" t="s">
        <v>44</v>
      </c>
      <c r="E32" s="5">
        <v>45567</v>
      </c>
      <c r="F32" s="4" t="s">
        <v>20</v>
      </c>
      <c r="G32" s="4" t="s">
        <v>32</v>
      </c>
      <c r="H32" s="6">
        <v>2</v>
      </c>
      <c r="I32" s="4" t="b">
        <v>0</v>
      </c>
      <c r="J32" s="4" t="b">
        <v>0</v>
      </c>
      <c r="K32" s="4" t="str">
        <f t="shared" si="0"/>
        <v>Active</v>
      </c>
      <c r="L32" s="4">
        <f t="shared" si="1"/>
        <v>0</v>
      </c>
    </row>
    <row r="33" spans="1:12" x14ac:dyDescent="0.3">
      <c r="A33" s="4" t="s">
        <v>91</v>
      </c>
      <c r="B33" s="4" t="s">
        <v>92</v>
      </c>
      <c r="C33" s="4" t="s">
        <v>18</v>
      </c>
      <c r="D33" s="4" t="s">
        <v>13</v>
      </c>
      <c r="E33" s="5">
        <v>45130</v>
      </c>
      <c r="F33" s="4" t="s">
        <v>35</v>
      </c>
      <c r="G33" s="4" t="s">
        <v>32</v>
      </c>
      <c r="H33" s="6">
        <v>16</v>
      </c>
      <c r="I33" s="4" t="b">
        <v>0</v>
      </c>
      <c r="J33" s="4" t="b">
        <v>0</v>
      </c>
      <c r="K33" s="4" t="str">
        <f t="shared" si="0"/>
        <v>Active</v>
      </c>
      <c r="L33" s="4">
        <f t="shared" si="1"/>
        <v>0</v>
      </c>
    </row>
    <row r="34" spans="1:12" x14ac:dyDescent="0.3">
      <c r="A34" s="4" t="s">
        <v>93</v>
      </c>
      <c r="B34" s="4" t="s">
        <v>94</v>
      </c>
      <c r="C34" s="4" t="s">
        <v>12</v>
      </c>
      <c r="D34" s="4" t="s">
        <v>13</v>
      </c>
      <c r="E34" s="5">
        <v>45470</v>
      </c>
      <c r="F34" s="4" t="s">
        <v>31</v>
      </c>
      <c r="G34" s="4" t="s">
        <v>15</v>
      </c>
      <c r="H34" s="6">
        <v>14</v>
      </c>
      <c r="I34" s="4" t="b">
        <v>0</v>
      </c>
      <c r="J34" s="4" t="b">
        <v>1</v>
      </c>
      <c r="K34" s="4" t="str">
        <f t="shared" si="0"/>
        <v>Churned</v>
      </c>
      <c r="L34" s="4">
        <f t="shared" si="1"/>
        <v>1</v>
      </c>
    </row>
    <row r="35" spans="1:12" x14ac:dyDescent="0.3">
      <c r="A35" s="4" t="s">
        <v>95</v>
      </c>
      <c r="B35" s="4" t="s">
        <v>96</v>
      </c>
      <c r="C35" s="4" t="s">
        <v>38</v>
      </c>
      <c r="D35" s="4" t="s">
        <v>82</v>
      </c>
      <c r="E35" s="5">
        <v>45041</v>
      </c>
      <c r="F35" s="4" t="s">
        <v>14</v>
      </c>
      <c r="G35" s="4" t="s">
        <v>15</v>
      </c>
      <c r="H35" s="6">
        <v>2</v>
      </c>
      <c r="I35" s="4" t="b">
        <v>1</v>
      </c>
      <c r="J35" s="4" t="b">
        <v>0</v>
      </c>
      <c r="K35" s="4" t="str">
        <f t="shared" si="0"/>
        <v>Active</v>
      </c>
      <c r="L35" s="4">
        <f t="shared" si="1"/>
        <v>0</v>
      </c>
    </row>
    <row r="36" spans="1:12" x14ac:dyDescent="0.3">
      <c r="A36" s="4" t="s">
        <v>97</v>
      </c>
      <c r="B36" s="4" t="s">
        <v>98</v>
      </c>
      <c r="C36" s="4" t="s">
        <v>18</v>
      </c>
      <c r="D36" s="4" t="s">
        <v>82</v>
      </c>
      <c r="E36" s="5">
        <v>44986</v>
      </c>
      <c r="F36" s="4" t="s">
        <v>24</v>
      </c>
      <c r="G36" s="4" t="s">
        <v>15</v>
      </c>
      <c r="H36" s="6">
        <v>7</v>
      </c>
      <c r="I36" s="4" t="b">
        <v>0</v>
      </c>
      <c r="J36" s="4" t="b">
        <v>0</v>
      </c>
      <c r="K36" s="4" t="str">
        <f t="shared" si="0"/>
        <v>Active</v>
      </c>
      <c r="L36" s="4">
        <f t="shared" si="1"/>
        <v>0</v>
      </c>
    </row>
    <row r="37" spans="1:12" x14ac:dyDescent="0.3">
      <c r="A37" s="4" t="s">
        <v>99</v>
      </c>
      <c r="B37" s="4" t="s">
        <v>100</v>
      </c>
      <c r="C37" s="4" t="s">
        <v>12</v>
      </c>
      <c r="D37" s="4" t="s">
        <v>101</v>
      </c>
      <c r="E37" s="5">
        <v>45424</v>
      </c>
      <c r="F37" s="4" t="s">
        <v>20</v>
      </c>
      <c r="G37" s="4" t="s">
        <v>15</v>
      </c>
      <c r="H37" s="6">
        <v>5</v>
      </c>
      <c r="I37" s="4" t="b">
        <v>0</v>
      </c>
      <c r="J37" s="4" t="b">
        <v>0</v>
      </c>
      <c r="K37" s="4" t="str">
        <f t="shared" si="0"/>
        <v>Active</v>
      </c>
      <c r="L37" s="4">
        <f t="shared" si="1"/>
        <v>0</v>
      </c>
    </row>
    <row r="38" spans="1:12" x14ac:dyDescent="0.3">
      <c r="A38" s="4" t="s">
        <v>102</v>
      </c>
      <c r="B38" s="4" t="s">
        <v>103</v>
      </c>
      <c r="C38" s="4" t="s">
        <v>23</v>
      </c>
      <c r="D38" s="4" t="s">
        <v>65</v>
      </c>
      <c r="E38" s="5">
        <v>45058</v>
      </c>
      <c r="F38" s="4" t="s">
        <v>35</v>
      </c>
      <c r="G38" s="4" t="s">
        <v>39</v>
      </c>
      <c r="H38" s="6">
        <v>5</v>
      </c>
      <c r="I38" s="4" t="b">
        <v>1</v>
      </c>
      <c r="J38" s="4" t="b">
        <v>0</v>
      </c>
      <c r="K38" s="4" t="str">
        <f t="shared" si="0"/>
        <v>Active</v>
      </c>
      <c r="L38" s="4">
        <f t="shared" si="1"/>
        <v>0</v>
      </c>
    </row>
    <row r="39" spans="1:12" x14ac:dyDescent="0.3">
      <c r="A39" s="4" t="s">
        <v>104</v>
      </c>
      <c r="B39" s="4" t="s">
        <v>105</v>
      </c>
      <c r="C39" s="4" t="s">
        <v>27</v>
      </c>
      <c r="D39" s="4" t="s">
        <v>13</v>
      </c>
      <c r="E39" s="5">
        <v>45467</v>
      </c>
      <c r="F39" s="4" t="s">
        <v>35</v>
      </c>
      <c r="G39" s="4" t="s">
        <v>32</v>
      </c>
      <c r="H39" s="6">
        <v>3</v>
      </c>
      <c r="I39" s="4" t="b">
        <v>0</v>
      </c>
      <c r="J39" s="4" t="b">
        <v>0</v>
      </c>
      <c r="K39" s="4" t="str">
        <f t="shared" si="0"/>
        <v>Active</v>
      </c>
      <c r="L39" s="4">
        <f t="shared" si="1"/>
        <v>0</v>
      </c>
    </row>
    <row r="40" spans="1:12" x14ac:dyDescent="0.3">
      <c r="A40" s="4" t="s">
        <v>106</v>
      </c>
      <c r="B40" s="4" t="s">
        <v>107</v>
      </c>
      <c r="C40" s="4" t="s">
        <v>18</v>
      </c>
      <c r="D40" s="4" t="s">
        <v>19</v>
      </c>
      <c r="E40" s="5">
        <v>45633</v>
      </c>
      <c r="F40" s="4" t="s">
        <v>31</v>
      </c>
      <c r="G40" s="4" t="s">
        <v>32</v>
      </c>
      <c r="H40" s="6">
        <v>20</v>
      </c>
      <c r="I40" s="4" t="b">
        <v>0</v>
      </c>
      <c r="J40" s="4" t="b">
        <v>0</v>
      </c>
      <c r="K40" s="4" t="str">
        <f t="shared" si="0"/>
        <v>Active</v>
      </c>
      <c r="L40" s="4">
        <f t="shared" si="1"/>
        <v>0</v>
      </c>
    </row>
    <row r="41" spans="1:12" x14ac:dyDescent="0.3">
      <c r="A41" s="4" t="s">
        <v>108</v>
      </c>
      <c r="B41" s="4" t="s">
        <v>109</v>
      </c>
      <c r="C41" s="4" t="s">
        <v>38</v>
      </c>
      <c r="D41" s="4" t="s">
        <v>13</v>
      </c>
      <c r="E41" s="5">
        <v>45592</v>
      </c>
      <c r="F41" s="4" t="s">
        <v>20</v>
      </c>
      <c r="G41" s="4" t="s">
        <v>39</v>
      </c>
      <c r="H41" s="6">
        <v>4</v>
      </c>
      <c r="I41" s="4" t="b">
        <v>0</v>
      </c>
      <c r="J41" s="4" t="b">
        <v>0</v>
      </c>
      <c r="K41" s="4" t="str">
        <f t="shared" si="0"/>
        <v>Active</v>
      </c>
      <c r="L41" s="4">
        <f t="shared" si="1"/>
        <v>0</v>
      </c>
    </row>
    <row r="42" spans="1:12" x14ac:dyDescent="0.3">
      <c r="A42" s="4" t="s">
        <v>110</v>
      </c>
      <c r="B42" s="4" t="s">
        <v>111</v>
      </c>
      <c r="C42" s="4" t="s">
        <v>18</v>
      </c>
      <c r="D42" s="4" t="s">
        <v>13</v>
      </c>
      <c r="E42" s="5">
        <v>45050</v>
      </c>
      <c r="F42" s="4" t="s">
        <v>14</v>
      </c>
      <c r="G42" s="4" t="s">
        <v>15</v>
      </c>
      <c r="H42" s="6">
        <v>32</v>
      </c>
      <c r="I42" s="4" t="b">
        <v>0</v>
      </c>
      <c r="J42" s="4" t="b">
        <v>0</v>
      </c>
      <c r="K42" s="4" t="str">
        <f t="shared" si="0"/>
        <v>Active</v>
      </c>
      <c r="L42" s="4">
        <f t="shared" si="1"/>
        <v>0</v>
      </c>
    </row>
    <row r="43" spans="1:12" x14ac:dyDescent="0.3">
      <c r="A43" s="4" t="s">
        <v>112</v>
      </c>
      <c r="B43" s="4" t="s">
        <v>113</v>
      </c>
      <c r="C43" s="4" t="s">
        <v>27</v>
      </c>
      <c r="D43" s="4" t="s">
        <v>13</v>
      </c>
      <c r="E43" s="5">
        <v>45529</v>
      </c>
      <c r="F43" s="4" t="s">
        <v>35</v>
      </c>
      <c r="G43" s="4" t="s">
        <v>15</v>
      </c>
      <c r="H43" s="6">
        <v>2</v>
      </c>
      <c r="I43" s="4" t="b">
        <v>0</v>
      </c>
      <c r="J43" s="4" t="b">
        <v>0</v>
      </c>
      <c r="K43" s="4" t="str">
        <f t="shared" si="0"/>
        <v>Active</v>
      </c>
      <c r="L43" s="4">
        <f t="shared" si="1"/>
        <v>0</v>
      </c>
    </row>
    <row r="44" spans="1:12" x14ac:dyDescent="0.3">
      <c r="A44" s="4" t="s">
        <v>114</v>
      </c>
      <c r="B44" s="4" t="s">
        <v>115</v>
      </c>
      <c r="C44" s="4" t="s">
        <v>12</v>
      </c>
      <c r="D44" s="4" t="s">
        <v>13</v>
      </c>
      <c r="E44" s="5">
        <v>44999</v>
      </c>
      <c r="F44" s="4" t="s">
        <v>24</v>
      </c>
      <c r="G44" s="4" t="s">
        <v>39</v>
      </c>
      <c r="H44" s="6">
        <v>34</v>
      </c>
      <c r="I44" s="4" t="b">
        <v>0</v>
      </c>
      <c r="J44" s="4" t="b">
        <v>1</v>
      </c>
      <c r="K44" s="4" t="str">
        <f t="shared" si="0"/>
        <v>Churned</v>
      </c>
      <c r="L44" s="4">
        <f t="shared" si="1"/>
        <v>1</v>
      </c>
    </row>
    <row r="45" spans="1:12" x14ac:dyDescent="0.3">
      <c r="A45" s="4" t="s">
        <v>116</v>
      </c>
      <c r="B45" s="4" t="s">
        <v>117</v>
      </c>
      <c r="C45" s="4" t="s">
        <v>27</v>
      </c>
      <c r="D45" s="4" t="s">
        <v>13</v>
      </c>
      <c r="E45" s="5">
        <v>44999</v>
      </c>
      <c r="F45" s="4" t="s">
        <v>31</v>
      </c>
      <c r="G45" s="4" t="s">
        <v>15</v>
      </c>
      <c r="H45" s="6">
        <v>14</v>
      </c>
      <c r="I45" s="4" t="b">
        <v>0</v>
      </c>
      <c r="J45" s="4" t="b">
        <v>0</v>
      </c>
      <c r="K45" s="4" t="str">
        <f t="shared" si="0"/>
        <v>Active</v>
      </c>
      <c r="L45" s="4">
        <f t="shared" si="1"/>
        <v>0</v>
      </c>
    </row>
    <row r="46" spans="1:12" x14ac:dyDescent="0.3">
      <c r="A46" s="4" t="s">
        <v>118</v>
      </c>
      <c r="B46" s="4" t="s">
        <v>119</v>
      </c>
      <c r="C46" s="4" t="s">
        <v>18</v>
      </c>
      <c r="D46" s="4" t="s">
        <v>19</v>
      </c>
      <c r="E46" s="5">
        <v>45479</v>
      </c>
      <c r="F46" s="4" t="s">
        <v>20</v>
      </c>
      <c r="G46" s="4" t="s">
        <v>32</v>
      </c>
      <c r="H46" s="6">
        <v>2</v>
      </c>
      <c r="I46" s="4" t="b">
        <v>0</v>
      </c>
      <c r="J46" s="4" t="b">
        <v>0</v>
      </c>
      <c r="K46" s="4" t="str">
        <f t="shared" si="0"/>
        <v>Active</v>
      </c>
      <c r="L46" s="4">
        <f t="shared" si="1"/>
        <v>0</v>
      </c>
    </row>
    <row r="47" spans="1:12" x14ac:dyDescent="0.3">
      <c r="A47" s="4" t="s">
        <v>120</v>
      </c>
      <c r="B47" s="4" t="s">
        <v>121</v>
      </c>
      <c r="C47" s="4" t="s">
        <v>18</v>
      </c>
      <c r="D47" s="4" t="s">
        <v>19</v>
      </c>
      <c r="E47" s="5">
        <v>45411</v>
      </c>
      <c r="F47" s="4" t="s">
        <v>31</v>
      </c>
      <c r="G47" s="4" t="s">
        <v>15</v>
      </c>
      <c r="H47" s="6">
        <v>7</v>
      </c>
      <c r="I47" s="4" t="b">
        <v>0</v>
      </c>
      <c r="J47" s="4" t="b">
        <v>0</v>
      </c>
      <c r="K47" s="4" t="str">
        <f t="shared" si="0"/>
        <v>Active</v>
      </c>
      <c r="L47" s="4">
        <f t="shared" si="1"/>
        <v>0</v>
      </c>
    </row>
    <row r="48" spans="1:12" x14ac:dyDescent="0.3">
      <c r="A48" s="4" t="s">
        <v>122</v>
      </c>
      <c r="B48" s="4" t="s">
        <v>123</v>
      </c>
      <c r="C48" s="4" t="s">
        <v>12</v>
      </c>
      <c r="D48" s="4" t="s">
        <v>28</v>
      </c>
      <c r="E48" s="5">
        <v>45023</v>
      </c>
      <c r="F48" s="4" t="s">
        <v>14</v>
      </c>
      <c r="G48" s="4" t="s">
        <v>39</v>
      </c>
      <c r="H48" s="6">
        <v>9</v>
      </c>
      <c r="I48" s="4" t="b">
        <v>0</v>
      </c>
      <c r="J48" s="4" t="b">
        <v>0</v>
      </c>
      <c r="K48" s="4" t="str">
        <f t="shared" si="0"/>
        <v>Active</v>
      </c>
      <c r="L48" s="4">
        <f t="shared" si="1"/>
        <v>0</v>
      </c>
    </row>
    <row r="49" spans="1:12" x14ac:dyDescent="0.3">
      <c r="A49" s="4" t="s">
        <v>124</v>
      </c>
      <c r="B49" s="4" t="s">
        <v>125</v>
      </c>
      <c r="C49" s="4" t="s">
        <v>23</v>
      </c>
      <c r="D49" s="4" t="s">
        <v>82</v>
      </c>
      <c r="E49" s="5">
        <v>45347</v>
      </c>
      <c r="F49" s="4" t="s">
        <v>24</v>
      </c>
      <c r="G49" s="4" t="s">
        <v>32</v>
      </c>
      <c r="H49" s="6">
        <v>5</v>
      </c>
      <c r="I49" s="4" t="b">
        <v>0</v>
      </c>
      <c r="J49" s="4" t="b">
        <v>0</v>
      </c>
      <c r="K49" s="4" t="str">
        <f t="shared" si="0"/>
        <v>Active</v>
      </c>
      <c r="L49" s="4">
        <f t="shared" si="1"/>
        <v>0</v>
      </c>
    </row>
    <row r="50" spans="1:12" x14ac:dyDescent="0.3">
      <c r="A50" s="4" t="s">
        <v>126</v>
      </c>
      <c r="B50" s="4" t="s">
        <v>127</v>
      </c>
      <c r="C50" s="4" t="s">
        <v>12</v>
      </c>
      <c r="D50" s="4" t="s">
        <v>13</v>
      </c>
      <c r="E50" s="5">
        <v>45596</v>
      </c>
      <c r="F50" s="4" t="s">
        <v>14</v>
      </c>
      <c r="G50" s="4" t="s">
        <v>15</v>
      </c>
      <c r="H50" s="6">
        <v>6</v>
      </c>
      <c r="I50" s="4" t="b">
        <v>1</v>
      </c>
      <c r="J50" s="4" t="b">
        <v>0</v>
      </c>
      <c r="K50" s="4" t="str">
        <f t="shared" si="0"/>
        <v>Active</v>
      </c>
      <c r="L50" s="4">
        <f t="shared" si="1"/>
        <v>0</v>
      </c>
    </row>
    <row r="51" spans="1:12" x14ac:dyDescent="0.3">
      <c r="A51" s="4" t="s">
        <v>128</v>
      </c>
      <c r="B51" s="4" t="s">
        <v>129</v>
      </c>
      <c r="C51" s="4" t="s">
        <v>18</v>
      </c>
      <c r="D51" s="4" t="s">
        <v>13</v>
      </c>
      <c r="E51" s="5">
        <v>45181</v>
      </c>
      <c r="F51" s="4" t="s">
        <v>31</v>
      </c>
      <c r="G51" s="4" t="s">
        <v>15</v>
      </c>
      <c r="H51" s="6">
        <v>13</v>
      </c>
      <c r="I51" s="4" t="b">
        <v>1</v>
      </c>
      <c r="J51" s="4" t="b">
        <v>0</v>
      </c>
      <c r="K51" s="4" t="str">
        <f t="shared" si="0"/>
        <v>Active</v>
      </c>
      <c r="L51" s="4">
        <f t="shared" si="1"/>
        <v>0</v>
      </c>
    </row>
    <row r="52" spans="1:12" x14ac:dyDescent="0.3">
      <c r="A52" s="4" t="s">
        <v>130</v>
      </c>
      <c r="B52" s="4" t="s">
        <v>131</v>
      </c>
      <c r="C52" s="4" t="s">
        <v>18</v>
      </c>
      <c r="D52" s="4" t="s">
        <v>13</v>
      </c>
      <c r="E52" s="5">
        <v>45359</v>
      </c>
      <c r="F52" s="4" t="s">
        <v>35</v>
      </c>
      <c r="G52" s="4" t="s">
        <v>15</v>
      </c>
      <c r="H52" s="6">
        <v>47</v>
      </c>
      <c r="I52" s="4" t="b">
        <v>0</v>
      </c>
      <c r="J52" s="4" t="b">
        <v>1</v>
      </c>
      <c r="K52" s="4" t="str">
        <f t="shared" si="0"/>
        <v>Churned</v>
      </c>
      <c r="L52" s="4">
        <f t="shared" si="1"/>
        <v>1</v>
      </c>
    </row>
    <row r="53" spans="1:12" x14ac:dyDescent="0.3">
      <c r="A53" s="4" t="s">
        <v>132</v>
      </c>
      <c r="B53" s="4" t="s">
        <v>133</v>
      </c>
      <c r="C53" s="4" t="s">
        <v>27</v>
      </c>
      <c r="D53" s="4" t="s">
        <v>13</v>
      </c>
      <c r="E53" s="5">
        <v>45380</v>
      </c>
      <c r="F53" s="4" t="s">
        <v>20</v>
      </c>
      <c r="G53" s="4" t="s">
        <v>15</v>
      </c>
      <c r="H53" s="6">
        <v>13</v>
      </c>
      <c r="I53" s="4" t="b">
        <v>0</v>
      </c>
      <c r="J53" s="4" t="b">
        <v>0</v>
      </c>
      <c r="K53" s="4" t="str">
        <f t="shared" si="0"/>
        <v>Active</v>
      </c>
      <c r="L53" s="4">
        <f t="shared" si="1"/>
        <v>0</v>
      </c>
    </row>
    <row r="54" spans="1:12" x14ac:dyDescent="0.3">
      <c r="A54" s="4" t="s">
        <v>134</v>
      </c>
      <c r="B54" s="4" t="s">
        <v>135</v>
      </c>
      <c r="C54" s="4" t="s">
        <v>18</v>
      </c>
      <c r="D54" s="4" t="s">
        <v>13</v>
      </c>
      <c r="E54" s="5">
        <v>45022</v>
      </c>
      <c r="F54" s="4" t="s">
        <v>31</v>
      </c>
      <c r="G54" s="4" t="s">
        <v>39</v>
      </c>
      <c r="H54" s="6">
        <v>22</v>
      </c>
      <c r="I54" s="4" t="b">
        <v>0</v>
      </c>
      <c r="J54" s="4" t="b">
        <v>0</v>
      </c>
      <c r="K54" s="4" t="str">
        <f t="shared" si="0"/>
        <v>Active</v>
      </c>
      <c r="L54" s="4">
        <f t="shared" si="1"/>
        <v>0</v>
      </c>
    </row>
    <row r="55" spans="1:12" x14ac:dyDescent="0.3">
      <c r="A55" s="4" t="s">
        <v>136</v>
      </c>
      <c r="B55" s="4" t="s">
        <v>137</v>
      </c>
      <c r="C55" s="4" t="s">
        <v>23</v>
      </c>
      <c r="D55" s="4" t="s">
        <v>65</v>
      </c>
      <c r="E55" s="5">
        <v>45145</v>
      </c>
      <c r="F55" s="4" t="s">
        <v>35</v>
      </c>
      <c r="G55" s="4" t="s">
        <v>39</v>
      </c>
      <c r="H55" s="6">
        <v>26</v>
      </c>
      <c r="I55" s="4" t="b">
        <v>0</v>
      </c>
      <c r="J55" s="4" t="b">
        <v>0</v>
      </c>
      <c r="K55" s="4" t="str">
        <f t="shared" si="0"/>
        <v>Active</v>
      </c>
      <c r="L55" s="4">
        <f t="shared" si="1"/>
        <v>0</v>
      </c>
    </row>
    <row r="56" spans="1:12" x14ac:dyDescent="0.3">
      <c r="A56" s="4" t="s">
        <v>138</v>
      </c>
      <c r="B56" s="4" t="s">
        <v>139</v>
      </c>
      <c r="C56" s="4" t="s">
        <v>23</v>
      </c>
      <c r="D56" s="4" t="s">
        <v>13</v>
      </c>
      <c r="E56" s="5">
        <v>44929</v>
      </c>
      <c r="F56" s="4" t="s">
        <v>31</v>
      </c>
      <c r="G56" s="4" t="s">
        <v>39</v>
      </c>
      <c r="H56" s="6">
        <v>20</v>
      </c>
      <c r="I56" s="4" t="b">
        <v>0</v>
      </c>
      <c r="J56" s="4" t="b">
        <v>1</v>
      </c>
      <c r="K56" s="4" t="str">
        <f t="shared" si="0"/>
        <v>Churned</v>
      </c>
      <c r="L56" s="4">
        <f t="shared" si="1"/>
        <v>1</v>
      </c>
    </row>
    <row r="57" spans="1:12" x14ac:dyDescent="0.3">
      <c r="A57" s="4" t="s">
        <v>140</v>
      </c>
      <c r="B57" s="4" t="s">
        <v>141</v>
      </c>
      <c r="C57" s="4" t="s">
        <v>27</v>
      </c>
      <c r="D57" s="4" t="s">
        <v>28</v>
      </c>
      <c r="E57" s="5">
        <v>45360</v>
      </c>
      <c r="F57" s="4" t="s">
        <v>31</v>
      </c>
      <c r="G57" s="4" t="s">
        <v>15</v>
      </c>
      <c r="H57" s="6">
        <v>36</v>
      </c>
      <c r="I57" s="4" t="b">
        <v>0</v>
      </c>
      <c r="J57" s="4" t="b">
        <v>1</v>
      </c>
      <c r="K57" s="4" t="str">
        <f t="shared" si="0"/>
        <v>Churned</v>
      </c>
      <c r="L57" s="4">
        <f t="shared" si="1"/>
        <v>1</v>
      </c>
    </row>
    <row r="58" spans="1:12" x14ac:dyDescent="0.3">
      <c r="A58" s="4" t="s">
        <v>142</v>
      </c>
      <c r="B58" s="4" t="s">
        <v>143</v>
      </c>
      <c r="C58" s="4" t="s">
        <v>38</v>
      </c>
      <c r="D58" s="4" t="s">
        <v>13</v>
      </c>
      <c r="E58" s="5">
        <v>45121</v>
      </c>
      <c r="F58" s="4" t="s">
        <v>24</v>
      </c>
      <c r="G58" s="4" t="s">
        <v>32</v>
      </c>
      <c r="H58" s="6">
        <v>1</v>
      </c>
      <c r="I58" s="4" t="b">
        <v>0</v>
      </c>
      <c r="J58" s="4" t="b">
        <v>0</v>
      </c>
      <c r="K58" s="4" t="str">
        <f t="shared" si="0"/>
        <v>Active</v>
      </c>
      <c r="L58" s="4">
        <f t="shared" si="1"/>
        <v>0</v>
      </c>
    </row>
    <row r="59" spans="1:12" x14ac:dyDescent="0.3">
      <c r="A59" s="4" t="s">
        <v>144</v>
      </c>
      <c r="B59" s="4" t="s">
        <v>145</v>
      </c>
      <c r="C59" s="4" t="s">
        <v>12</v>
      </c>
      <c r="D59" s="4" t="s">
        <v>19</v>
      </c>
      <c r="E59" s="5">
        <v>45482</v>
      </c>
      <c r="F59" s="4" t="s">
        <v>24</v>
      </c>
      <c r="G59" s="4" t="s">
        <v>15</v>
      </c>
      <c r="H59" s="6">
        <v>1</v>
      </c>
      <c r="I59" s="4" t="b">
        <v>0</v>
      </c>
      <c r="J59" s="4" t="b">
        <v>0</v>
      </c>
      <c r="K59" s="4" t="str">
        <f t="shared" si="0"/>
        <v>Active</v>
      </c>
      <c r="L59" s="4">
        <f t="shared" si="1"/>
        <v>0</v>
      </c>
    </row>
    <row r="60" spans="1:12" x14ac:dyDescent="0.3">
      <c r="A60" s="4" t="s">
        <v>146</v>
      </c>
      <c r="B60" s="4" t="s">
        <v>147</v>
      </c>
      <c r="C60" s="4" t="s">
        <v>23</v>
      </c>
      <c r="D60" s="4" t="s">
        <v>13</v>
      </c>
      <c r="E60" s="5">
        <v>45525</v>
      </c>
      <c r="F60" s="4" t="s">
        <v>20</v>
      </c>
      <c r="G60" s="4" t="s">
        <v>15</v>
      </c>
      <c r="H60" s="6">
        <v>20</v>
      </c>
      <c r="I60" s="4" t="b">
        <v>0</v>
      </c>
      <c r="J60" s="4" t="b">
        <v>0</v>
      </c>
      <c r="K60" s="4" t="str">
        <f t="shared" si="0"/>
        <v>Active</v>
      </c>
      <c r="L60" s="4">
        <f t="shared" si="1"/>
        <v>0</v>
      </c>
    </row>
    <row r="61" spans="1:12" x14ac:dyDescent="0.3">
      <c r="A61" s="4" t="s">
        <v>148</v>
      </c>
      <c r="B61" s="4" t="s">
        <v>149</v>
      </c>
      <c r="C61" s="4" t="s">
        <v>27</v>
      </c>
      <c r="D61" s="4" t="s">
        <v>13</v>
      </c>
      <c r="E61" s="5">
        <v>44985</v>
      </c>
      <c r="F61" s="4" t="s">
        <v>35</v>
      </c>
      <c r="G61" s="4" t="s">
        <v>15</v>
      </c>
      <c r="H61" s="6">
        <v>9</v>
      </c>
      <c r="I61" s="4" t="b">
        <v>0</v>
      </c>
      <c r="J61" s="4" t="b">
        <v>1</v>
      </c>
      <c r="K61" s="4" t="str">
        <f t="shared" si="0"/>
        <v>Churned</v>
      </c>
      <c r="L61" s="4">
        <f t="shared" si="1"/>
        <v>1</v>
      </c>
    </row>
    <row r="62" spans="1:12" x14ac:dyDescent="0.3">
      <c r="A62" s="4" t="s">
        <v>150</v>
      </c>
      <c r="B62" s="4" t="s">
        <v>151</v>
      </c>
      <c r="C62" s="4" t="s">
        <v>12</v>
      </c>
      <c r="D62" s="4" t="s">
        <v>28</v>
      </c>
      <c r="E62" s="5">
        <v>45536</v>
      </c>
      <c r="F62" s="4" t="s">
        <v>35</v>
      </c>
      <c r="G62" s="4" t="s">
        <v>39</v>
      </c>
      <c r="H62" s="6">
        <v>8</v>
      </c>
      <c r="I62" s="4" t="b">
        <v>1</v>
      </c>
      <c r="J62" s="4" t="b">
        <v>0</v>
      </c>
      <c r="K62" s="4" t="str">
        <f t="shared" si="0"/>
        <v>Active</v>
      </c>
      <c r="L62" s="4">
        <f t="shared" si="1"/>
        <v>0</v>
      </c>
    </row>
    <row r="63" spans="1:12" x14ac:dyDescent="0.3">
      <c r="A63" s="4" t="s">
        <v>152</v>
      </c>
      <c r="B63" s="4" t="s">
        <v>153</v>
      </c>
      <c r="C63" s="4" t="s">
        <v>27</v>
      </c>
      <c r="D63" s="4" t="s">
        <v>13</v>
      </c>
      <c r="E63" s="5">
        <v>45049</v>
      </c>
      <c r="F63" s="4" t="s">
        <v>20</v>
      </c>
      <c r="G63" s="4" t="s">
        <v>15</v>
      </c>
      <c r="H63" s="6">
        <v>41</v>
      </c>
      <c r="I63" s="4" t="b">
        <v>0</v>
      </c>
      <c r="J63" s="4" t="b">
        <v>0</v>
      </c>
      <c r="K63" s="4" t="str">
        <f t="shared" si="0"/>
        <v>Active</v>
      </c>
      <c r="L63" s="4">
        <f t="shared" si="1"/>
        <v>0</v>
      </c>
    </row>
    <row r="64" spans="1:12" x14ac:dyDescent="0.3">
      <c r="A64" s="4" t="s">
        <v>154</v>
      </c>
      <c r="B64" s="4" t="s">
        <v>155</v>
      </c>
      <c r="C64" s="4" t="s">
        <v>12</v>
      </c>
      <c r="D64" s="4" t="s">
        <v>13</v>
      </c>
      <c r="E64" s="5">
        <v>45561</v>
      </c>
      <c r="F64" s="4" t="s">
        <v>20</v>
      </c>
      <c r="G64" s="4" t="s">
        <v>32</v>
      </c>
      <c r="H64" s="6">
        <v>33</v>
      </c>
      <c r="I64" s="4" t="b">
        <v>0</v>
      </c>
      <c r="J64" s="4" t="b">
        <v>0</v>
      </c>
      <c r="K64" s="4" t="str">
        <f t="shared" si="0"/>
        <v>Active</v>
      </c>
      <c r="L64" s="4">
        <f t="shared" si="1"/>
        <v>0</v>
      </c>
    </row>
    <row r="65" spans="1:12" x14ac:dyDescent="0.3">
      <c r="A65" s="4" t="s">
        <v>156</v>
      </c>
      <c r="B65" s="4" t="s">
        <v>157</v>
      </c>
      <c r="C65" s="4" t="s">
        <v>38</v>
      </c>
      <c r="D65" s="4" t="s">
        <v>65</v>
      </c>
      <c r="E65" s="5">
        <v>45462</v>
      </c>
      <c r="F65" s="4" t="s">
        <v>35</v>
      </c>
      <c r="G65" s="4" t="s">
        <v>32</v>
      </c>
      <c r="H65" s="6">
        <v>5</v>
      </c>
      <c r="I65" s="4" t="b">
        <v>1</v>
      </c>
      <c r="J65" s="4" t="b">
        <v>0</v>
      </c>
      <c r="K65" s="4" t="str">
        <f t="shared" si="0"/>
        <v>Active</v>
      </c>
      <c r="L65" s="4">
        <f t="shared" si="1"/>
        <v>0</v>
      </c>
    </row>
    <row r="66" spans="1:12" x14ac:dyDescent="0.3">
      <c r="A66" s="4" t="s">
        <v>158</v>
      </c>
      <c r="B66" s="4" t="s">
        <v>159</v>
      </c>
      <c r="C66" s="4" t="s">
        <v>18</v>
      </c>
      <c r="D66" s="4" t="s">
        <v>13</v>
      </c>
      <c r="E66" s="5">
        <v>45248</v>
      </c>
      <c r="F66" s="4" t="s">
        <v>35</v>
      </c>
      <c r="G66" s="4" t="s">
        <v>32</v>
      </c>
      <c r="H66" s="6">
        <v>46</v>
      </c>
      <c r="I66" s="4" t="b">
        <v>0</v>
      </c>
      <c r="J66" s="4" t="b">
        <v>0</v>
      </c>
      <c r="K66" s="4" t="str">
        <f t="shared" si="0"/>
        <v>Active</v>
      </c>
      <c r="L66" s="4">
        <f t="shared" si="1"/>
        <v>0</v>
      </c>
    </row>
    <row r="67" spans="1:12" x14ac:dyDescent="0.3">
      <c r="A67" s="4" t="s">
        <v>160</v>
      </c>
      <c r="B67" s="4" t="s">
        <v>161</v>
      </c>
      <c r="C67" s="4" t="s">
        <v>38</v>
      </c>
      <c r="D67" s="4" t="s">
        <v>13</v>
      </c>
      <c r="E67" s="5">
        <v>45587</v>
      </c>
      <c r="F67" s="4" t="s">
        <v>24</v>
      </c>
      <c r="G67" s="4" t="s">
        <v>15</v>
      </c>
      <c r="H67" s="6">
        <v>8</v>
      </c>
      <c r="I67" s="4" t="b">
        <v>0</v>
      </c>
      <c r="J67" s="4" t="b">
        <v>0</v>
      </c>
      <c r="K67" s="4" t="str">
        <f t="shared" ref="K67:K130" si="2">IF(J67=TRUE,"Churned","Active")</f>
        <v>Active</v>
      </c>
      <c r="L67" s="4">
        <f t="shared" ref="L67:L130" si="3">IF(J67=TRUE,1,0)</f>
        <v>0</v>
      </c>
    </row>
    <row r="68" spans="1:12" x14ac:dyDescent="0.3">
      <c r="A68" s="4" t="s">
        <v>162</v>
      </c>
      <c r="B68" s="4" t="s">
        <v>163</v>
      </c>
      <c r="C68" s="4" t="s">
        <v>27</v>
      </c>
      <c r="D68" s="4" t="s">
        <v>101</v>
      </c>
      <c r="E68" s="5">
        <v>45396</v>
      </c>
      <c r="F68" s="4" t="s">
        <v>24</v>
      </c>
      <c r="G68" s="4" t="s">
        <v>15</v>
      </c>
      <c r="H68" s="6">
        <v>43</v>
      </c>
      <c r="I68" s="4" t="b">
        <v>0</v>
      </c>
      <c r="J68" s="4" t="b">
        <v>0</v>
      </c>
      <c r="K68" s="4" t="str">
        <f t="shared" si="2"/>
        <v>Active</v>
      </c>
      <c r="L68" s="4">
        <f t="shared" si="3"/>
        <v>0</v>
      </c>
    </row>
    <row r="69" spans="1:12" x14ac:dyDescent="0.3">
      <c r="A69" s="4" t="s">
        <v>164</v>
      </c>
      <c r="B69" s="4" t="s">
        <v>165</v>
      </c>
      <c r="C69" s="4" t="s">
        <v>18</v>
      </c>
      <c r="D69" s="4" t="s">
        <v>13</v>
      </c>
      <c r="E69" s="5">
        <v>45477</v>
      </c>
      <c r="F69" s="4" t="s">
        <v>35</v>
      </c>
      <c r="G69" s="4" t="s">
        <v>39</v>
      </c>
      <c r="H69" s="6">
        <v>1</v>
      </c>
      <c r="I69" s="4" t="b">
        <v>0</v>
      </c>
      <c r="J69" s="4" t="b">
        <v>0</v>
      </c>
      <c r="K69" s="4" t="str">
        <f t="shared" si="2"/>
        <v>Active</v>
      </c>
      <c r="L69" s="4">
        <f t="shared" si="3"/>
        <v>0</v>
      </c>
    </row>
    <row r="70" spans="1:12" x14ac:dyDescent="0.3">
      <c r="A70" s="4" t="s">
        <v>166</v>
      </c>
      <c r="B70" s="4" t="s">
        <v>167</v>
      </c>
      <c r="C70" s="4" t="s">
        <v>18</v>
      </c>
      <c r="D70" s="4" t="s">
        <v>13</v>
      </c>
      <c r="E70" s="5">
        <v>44997</v>
      </c>
      <c r="F70" s="4" t="s">
        <v>35</v>
      </c>
      <c r="G70" s="4" t="s">
        <v>39</v>
      </c>
      <c r="H70" s="6">
        <v>18</v>
      </c>
      <c r="I70" s="4" t="b">
        <v>1</v>
      </c>
      <c r="J70" s="4" t="b">
        <v>1</v>
      </c>
      <c r="K70" s="4" t="str">
        <f t="shared" si="2"/>
        <v>Churned</v>
      </c>
      <c r="L70" s="4">
        <f t="shared" si="3"/>
        <v>1</v>
      </c>
    </row>
    <row r="71" spans="1:12" x14ac:dyDescent="0.3">
      <c r="A71" s="4" t="s">
        <v>168</v>
      </c>
      <c r="B71" s="4" t="s">
        <v>169</v>
      </c>
      <c r="C71" s="4" t="s">
        <v>38</v>
      </c>
      <c r="D71" s="4" t="s">
        <v>28</v>
      </c>
      <c r="E71" s="5">
        <v>45483</v>
      </c>
      <c r="F71" s="4" t="s">
        <v>20</v>
      </c>
      <c r="G71" s="4" t="s">
        <v>15</v>
      </c>
      <c r="H71" s="6">
        <v>21</v>
      </c>
      <c r="I71" s="4" t="b">
        <v>1</v>
      </c>
      <c r="J71" s="4" t="b">
        <v>1</v>
      </c>
      <c r="K71" s="4" t="str">
        <f t="shared" si="2"/>
        <v>Churned</v>
      </c>
      <c r="L71" s="4">
        <f t="shared" si="3"/>
        <v>1</v>
      </c>
    </row>
    <row r="72" spans="1:12" x14ac:dyDescent="0.3">
      <c r="A72" s="4" t="s">
        <v>170</v>
      </c>
      <c r="B72" s="4" t="s">
        <v>171</v>
      </c>
      <c r="C72" s="4" t="s">
        <v>27</v>
      </c>
      <c r="D72" s="4" t="s">
        <v>13</v>
      </c>
      <c r="E72" s="5">
        <v>45610</v>
      </c>
      <c r="F72" s="4" t="s">
        <v>24</v>
      </c>
      <c r="G72" s="4" t="s">
        <v>15</v>
      </c>
      <c r="H72" s="6">
        <v>15</v>
      </c>
      <c r="I72" s="4" t="b">
        <v>0</v>
      </c>
      <c r="J72" s="4" t="b">
        <v>0</v>
      </c>
      <c r="K72" s="4" t="str">
        <f t="shared" si="2"/>
        <v>Active</v>
      </c>
      <c r="L72" s="4">
        <f t="shared" si="3"/>
        <v>0</v>
      </c>
    </row>
    <row r="73" spans="1:12" x14ac:dyDescent="0.3">
      <c r="A73" s="4" t="s">
        <v>172</v>
      </c>
      <c r="B73" s="4" t="s">
        <v>173</v>
      </c>
      <c r="C73" s="4" t="s">
        <v>12</v>
      </c>
      <c r="D73" s="4" t="s">
        <v>82</v>
      </c>
      <c r="E73" s="5">
        <v>45197</v>
      </c>
      <c r="F73" s="4" t="s">
        <v>20</v>
      </c>
      <c r="G73" s="4" t="s">
        <v>15</v>
      </c>
      <c r="H73" s="6">
        <v>5</v>
      </c>
      <c r="I73" s="4" t="b">
        <v>0</v>
      </c>
      <c r="J73" s="4" t="b">
        <v>0</v>
      </c>
      <c r="K73" s="4" t="str">
        <f t="shared" si="2"/>
        <v>Active</v>
      </c>
      <c r="L73" s="4">
        <f t="shared" si="3"/>
        <v>0</v>
      </c>
    </row>
    <row r="74" spans="1:12" x14ac:dyDescent="0.3">
      <c r="A74" s="4" t="s">
        <v>174</v>
      </c>
      <c r="B74" s="4" t="s">
        <v>175</v>
      </c>
      <c r="C74" s="4" t="s">
        <v>38</v>
      </c>
      <c r="D74" s="4" t="s">
        <v>28</v>
      </c>
      <c r="E74" s="5">
        <v>45205</v>
      </c>
      <c r="F74" s="4" t="s">
        <v>14</v>
      </c>
      <c r="G74" s="4" t="s">
        <v>15</v>
      </c>
      <c r="H74" s="6">
        <v>7</v>
      </c>
      <c r="I74" s="4" t="b">
        <v>0</v>
      </c>
      <c r="J74" s="4" t="b">
        <v>0</v>
      </c>
      <c r="K74" s="4" t="str">
        <f t="shared" si="2"/>
        <v>Active</v>
      </c>
      <c r="L74" s="4">
        <f t="shared" si="3"/>
        <v>0</v>
      </c>
    </row>
    <row r="75" spans="1:12" x14ac:dyDescent="0.3">
      <c r="A75" s="4" t="s">
        <v>176</v>
      </c>
      <c r="B75" s="4" t="s">
        <v>177</v>
      </c>
      <c r="C75" s="4" t="s">
        <v>38</v>
      </c>
      <c r="D75" s="4" t="s">
        <v>13</v>
      </c>
      <c r="E75" s="5">
        <v>45630</v>
      </c>
      <c r="F75" s="4" t="s">
        <v>14</v>
      </c>
      <c r="G75" s="4" t="s">
        <v>15</v>
      </c>
      <c r="H75" s="6">
        <v>37</v>
      </c>
      <c r="I75" s="4" t="b">
        <v>0</v>
      </c>
      <c r="J75" s="4" t="b">
        <v>0</v>
      </c>
      <c r="K75" s="4" t="str">
        <f t="shared" si="2"/>
        <v>Active</v>
      </c>
      <c r="L75" s="4">
        <f t="shared" si="3"/>
        <v>0</v>
      </c>
    </row>
    <row r="76" spans="1:12" x14ac:dyDescent="0.3">
      <c r="A76" s="4" t="s">
        <v>178</v>
      </c>
      <c r="B76" s="4" t="s">
        <v>179</v>
      </c>
      <c r="C76" s="4" t="s">
        <v>23</v>
      </c>
      <c r="D76" s="4" t="s">
        <v>44</v>
      </c>
      <c r="E76" s="5">
        <v>45021</v>
      </c>
      <c r="F76" s="4" t="s">
        <v>24</v>
      </c>
      <c r="G76" s="4" t="s">
        <v>15</v>
      </c>
      <c r="H76" s="6">
        <v>1</v>
      </c>
      <c r="I76" s="4" t="b">
        <v>0</v>
      </c>
      <c r="J76" s="4" t="b">
        <v>0</v>
      </c>
      <c r="K76" s="4" t="str">
        <f t="shared" si="2"/>
        <v>Active</v>
      </c>
      <c r="L76" s="4">
        <f t="shared" si="3"/>
        <v>0</v>
      </c>
    </row>
    <row r="77" spans="1:12" x14ac:dyDescent="0.3">
      <c r="A77" s="4" t="s">
        <v>180</v>
      </c>
      <c r="B77" s="4" t="s">
        <v>181</v>
      </c>
      <c r="C77" s="4" t="s">
        <v>18</v>
      </c>
      <c r="D77" s="4" t="s">
        <v>28</v>
      </c>
      <c r="E77" s="5">
        <v>45268</v>
      </c>
      <c r="F77" s="4" t="s">
        <v>14</v>
      </c>
      <c r="G77" s="4" t="s">
        <v>15</v>
      </c>
      <c r="H77" s="6">
        <v>5</v>
      </c>
      <c r="I77" s="4" t="b">
        <v>0</v>
      </c>
      <c r="J77" s="4" t="b">
        <v>0</v>
      </c>
      <c r="K77" s="4" t="str">
        <f t="shared" si="2"/>
        <v>Active</v>
      </c>
      <c r="L77" s="4">
        <f t="shared" si="3"/>
        <v>0</v>
      </c>
    </row>
    <row r="78" spans="1:12" x14ac:dyDescent="0.3">
      <c r="A78" s="4" t="s">
        <v>182</v>
      </c>
      <c r="B78" s="4" t="s">
        <v>183</v>
      </c>
      <c r="C78" s="4" t="s">
        <v>27</v>
      </c>
      <c r="D78" s="4" t="s">
        <v>19</v>
      </c>
      <c r="E78" s="5">
        <v>45379</v>
      </c>
      <c r="F78" s="4" t="s">
        <v>20</v>
      </c>
      <c r="G78" s="4" t="s">
        <v>15</v>
      </c>
      <c r="H78" s="6">
        <v>44</v>
      </c>
      <c r="I78" s="4" t="b">
        <v>0</v>
      </c>
      <c r="J78" s="4" t="b">
        <v>0</v>
      </c>
      <c r="K78" s="4" t="str">
        <f t="shared" si="2"/>
        <v>Active</v>
      </c>
      <c r="L78" s="4">
        <f t="shared" si="3"/>
        <v>0</v>
      </c>
    </row>
    <row r="79" spans="1:12" x14ac:dyDescent="0.3">
      <c r="A79" s="4" t="s">
        <v>184</v>
      </c>
      <c r="B79" s="4" t="s">
        <v>185</v>
      </c>
      <c r="C79" s="4" t="s">
        <v>12</v>
      </c>
      <c r="D79" s="4" t="s">
        <v>65</v>
      </c>
      <c r="E79" s="5">
        <v>45041</v>
      </c>
      <c r="F79" s="4" t="s">
        <v>35</v>
      </c>
      <c r="G79" s="4" t="s">
        <v>32</v>
      </c>
      <c r="H79" s="6">
        <v>13</v>
      </c>
      <c r="I79" s="4" t="b">
        <v>0</v>
      </c>
      <c r="J79" s="4" t="b">
        <v>0</v>
      </c>
      <c r="K79" s="4" t="str">
        <f t="shared" si="2"/>
        <v>Active</v>
      </c>
      <c r="L79" s="4">
        <f t="shared" si="3"/>
        <v>0</v>
      </c>
    </row>
    <row r="80" spans="1:12" x14ac:dyDescent="0.3">
      <c r="A80" s="4" t="s">
        <v>186</v>
      </c>
      <c r="B80" s="4" t="s">
        <v>187</v>
      </c>
      <c r="C80" s="4" t="s">
        <v>38</v>
      </c>
      <c r="D80" s="4" t="s">
        <v>13</v>
      </c>
      <c r="E80" s="5">
        <v>44963</v>
      </c>
      <c r="F80" s="4" t="s">
        <v>35</v>
      </c>
      <c r="G80" s="4" t="s">
        <v>39</v>
      </c>
      <c r="H80" s="6">
        <v>4</v>
      </c>
      <c r="I80" s="4" t="b">
        <v>0</v>
      </c>
      <c r="J80" s="4" t="b">
        <v>0</v>
      </c>
      <c r="K80" s="4" t="str">
        <f t="shared" si="2"/>
        <v>Active</v>
      </c>
      <c r="L80" s="4">
        <f t="shared" si="3"/>
        <v>0</v>
      </c>
    </row>
    <row r="81" spans="1:12" x14ac:dyDescent="0.3">
      <c r="A81" s="4" t="s">
        <v>188</v>
      </c>
      <c r="B81" s="4" t="s">
        <v>189</v>
      </c>
      <c r="C81" s="4" t="s">
        <v>12</v>
      </c>
      <c r="D81" s="4" t="s">
        <v>13</v>
      </c>
      <c r="E81" s="5">
        <v>45057</v>
      </c>
      <c r="F81" s="4" t="s">
        <v>24</v>
      </c>
      <c r="G81" s="4" t="s">
        <v>39</v>
      </c>
      <c r="H81" s="6">
        <v>1</v>
      </c>
      <c r="I81" s="4" t="b">
        <v>0</v>
      </c>
      <c r="J81" s="4" t="b">
        <v>1</v>
      </c>
      <c r="K81" s="4" t="str">
        <f t="shared" si="2"/>
        <v>Churned</v>
      </c>
      <c r="L81" s="4">
        <f t="shared" si="3"/>
        <v>1</v>
      </c>
    </row>
    <row r="82" spans="1:12" x14ac:dyDescent="0.3">
      <c r="A82" s="4" t="s">
        <v>190</v>
      </c>
      <c r="B82" s="4" t="s">
        <v>191</v>
      </c>
      <c r="C82" s="4" t="s">
        <v>18</v>
      </c>
      <c r="D82" s="4" t="s">
        <v>28</v>
      </c>
      <c r="E82" s="5">
        <v>45142</v>
      </c>
      <c r="F82" s="4" t="s">
        <v>14</v>
      </c>
      <c r="G82" s="4" t="s">
        <v>32</v>
      </c>
      <c r="H82" s="6">
        <v>56</v>
      </c>
      <c r="I82" s="4" t="b">
        <v>0</v>
      </c>
      <c r="J82" s="4" t="b">
        <v>0</v>
      </c>
      <c r="K82" s="4" t="str">
        <f t="shared" si="2"/>
        <v>Active</v>
      </c>
      <c r="L82" s="4">
        <f t="shared" si="3"/>
        <v>0</v>
      </c>
    </row>
    <row r="83" spans="1:12" x14ac:dyDescent="0.3">
      <c r="A83" s="4" t="s">
        <v>192</v>
      </c>
      <c r="B83" s="4" t="s">
        <v>193</v>
      </c>
      <c r="C83" s="4" t="s">
        <v>27</v>
      </c>
      <c r="D83" s="4" t="s">
        <v>19</v>
      </c>
      <c r="E83" s="5">
        <v>45343</v>
      </c>
      <c r="F83" s="4" t="s">
        <v>35</v>
      </c>
      <c r="G83" s="4" t="s">
        <v>15</v>
      </c>
      <c r="H83" s="6">
        <v>9</v>
      </c>
      <c r="I83" s="4" t="b">
        <v>1</v>
      </c>
      <c r="J83" s="4" t="b">
        <v>0</v>
      </c>
      <c r="K83" s="4" t="str">
        <f t="shared" si="2"/>
        <v>Active</v>
      </c>
      <c r="L83" s="4">
        <f t="shared" si="3"/>
        <v>0</v>
      </c>
    </row>
    <row r="84" spans="1:12" x14ac:dyDescent="0.3">
      <c r="A84" s="4" t="s">
        <v>194</v>
      </c>
      <c r="B84" s="4" t="s">
        <v>195</v>
      </c>
      <c r="C84" s="4" t="s">
        <v>23</v>
      </c>
      <c r="D84" s="4" t="s">
        <v>13</v>
      </c>
      <c r="E84" s="5">
        <v>45108</v>
      </c>
      <c r="F84" s="4" t="s">
        <v>14</v>
      </c>
      <c r="G84" s="4" t="s">
        <v>39</v>
      </c>
      <c r="H84" s="6">
        <v>11</v>
      </c>
      <c r="I84" s="4" t="b">
        <v>0</v>
      </c>
      <c r="J84" s="4" t="b">
        <v>0</v>
      </c>
      <c r="K84" s="4" t="str">
        <f t="shared" si="2"/>
        <v>Active</v>
      </c>
      <c r="L84" s="4">
        <f t="shared" si="3"/>
        <v>0</v>
      </c>
    </row>
    <row r="85" spans="1:12" x14ac:dyDescent="0.3">
      <c r="A85" s="4" t="s">
        <v>196</v>
      </c>
      <c r="B85" s="4" t="s">
        <v>197</v>
      </c>
      <c r="C85" s="4" t="s">
        <v>18</v>
      </c>
      <c r="D85" s="4" t="s">
        <v>13</v>
      </c>
      <c r="E85" s="5">
        <v>45612</v>
      </c>
      <c r="F85" s="4" t="s">
        <v>24</v>
      </c>
      <c r="G85" s="4" t="s">
        <v>39</v>
      </c>
      <c r="H85" s="6">
        <v>38</v>
      </c>
      <c r="I85" s="4" t="b">
        <v>0</v>
      </c>
      <c r="J85" s="4" t="b">
        <v>0</v>
      </c>
      <c r="K85" s="4" t="str">
        <f t="shared" si="2"/>
        <v>Active</v>
      </c>
      <c r="L85" s="4">
        <f t="shared" si="3"/>
        <v>0</v>
      </c>
    </row>
    <row r="86" spans="1:12" x14ac:dyDescent="0.3">
      <c r="A86" s="4" t="s">
        <v>198</v>
      </c>
      <c r="B86" s="4" t="s">
        <v>199</v>
      </c>
      <c r="C86" s="4" t="s">
        <v>23</v>
      </c>
      <c r="D86" s="4" t="s">
        <v>13</v>
      </c>
      <c r="E86" s="5">
        <v>44966</v>
      </c>
      <c r="F86" s="4" t="s">
        <v>31</v>
      </c>
      <c r="G86" s="4" t="s">
        <v>39</v>
      </c>
      <c r="H86" s="6">
        <v>38</v>
      </c>
      <c r="I86" s="4" t="b">
        <v>0</v>
      </c>
      <c r="J86" s="4" t="b">
        <v>1</v>
      </c>
      <c r="K86" s="4" t="str">
        <f t="shared" si="2"/>
        <v>Churned</v>
      </c>
      <c r="L86" s="4">
        <f t="shared" si="3"/>
        <v>1</v>
      </c>
    </row>
    <row r="87" spans="1:12" x14ac:dyDescent="0.3">
      <c r="A87" s="4" t="s">
        <v>200</v>
      </c>
      <c r="B87" s="4" t="s">
        <v>201</v>
      </c>
      <c r="C87" s="4" t="s">
        <v>18</v>
      </c>
      <c r="D87" s="4" t="s">
        <v>13</v>
      </c>
      <c r="E87" s="5">
        <v>45239</v>
      </c>
      <c r="F87" s="4" t="s">
        <v>35</v>
      </c>
      <c r="G87" s="4" t="s">
        <v>39</v>
      </c>
      <c r="H87" s="6">
        <v>16</v>
      </c>
      <c r="I87" s="4" t="b">
        <v>0</v>
      </c>
      <c r="J87" s="4" t="b">
        <v>0</v>
      </c>
      <c r="K87" s="4" t="str">
        <f t="shared" si="2"/>
        <v>Active</v>
      </c>
      <c r="L87" s="4">
        <f t="shared" si="3"/>
        <v>0</v>
      </c>
    </row>
    <row r="88" spans="1:12" x14ac:dyDescent="0.3">
      <c r="A88" s="4" t="s">
        <v>202</v>
      </c>
      <c r="B88" s="4" t="s">
        <v>203</v>
      </c>
      <c r="C88" s="4" t="s">
        <v>38</v>
      </c>
      <c r="D88" s="4" t="s">
        <v>82</v>
      </c>
      <c r="E88" s="5">
        <v>45263</v>
      </c>
      <c r="F88" s="4" t="s">
        <v>14</v>
      </c>
      <c r="G88" s="4" t="s">
        <v>39</v>
      </c>
      <c r="H88" s="6">
        <v>16</v>
      </c>
      <c r="I88" s="4" t="b">
        <v>1</v>
      </c>
      <c r="J88" s="4" t="b">
        <v>0</v>
      </c>
      <c r="K88" s="4" t="str">
        <f t="shared" si="2"/>
        <v>Active</v>
      </c>
      <c r="L88" s="4">
        <f t="shared" si="3"/>
        <v>0</v>
      </c>
    </row>
    <row r="89" spans="1:12" x14ac:dyDescent="0.3">
      <c r="A89" s="4" t="s">
        <v>204</v>
      </c>
      <c r="B89" s="4" t="s">
        <v>205</v>
      </c>
      <c r="C89" s="4" t="s">
        <v>27</v>
      </c>
      <c r="D89" s="4" t="s">
        <v>13</v>
      </c>
      <c r="E89" s="5">
        <v>45583</v>
      </c>
      <c r="F89" s="4" t="s">
        <v>20</v>
      </c>
      <c r="G89" s="4" t="s">
        <v>39</v>
      </c>
      <c r="H89" s="6">
        <v>92</v>
      </c>
      <c r="I89" s="4" t="b">
        <v>1</v>
      </c>
      <c r="J89" s="4" t="b">
        <v>0</v>
      </c>
      <c r="K89" s="4" t="str">
        <f t="shared" si="2"/>
        <v>Active</v>
      </c>
      <c r="L89" s="4">
        <f t="shared" si="3"/>
        <v>0</v>
      </c>
    </row>
    <row r="90" spans="1:12" x14ac:dyDescent="0.3">
      <c r="A90" s="4" t="s">
        <v>206</v>
      </c>
      <c r="B90" s="4" t="s">
        <v>207</v>
      </c>
      <c r="C90" s="4" t="s">
        <v>12</v>
      </c>
      <c r="D90" s="4" t="s">
        <v>82</v>
      </c>
      <c r="E90" s="5">
        <v>44955</v>
      </c>
      <c r="F90" s="4" t="s">
        <v>14</v>
      </c>
      <c r="G90" s="4" t="s">
        <v>15</v>
      </c>
      <c r="H90" s="6">
        <v>41</v>
      </c>
      <c r="I90" s="4" t="b">
        <v>0</v>
      </c>
      <c r="J90" s="4" t="b">
        <v>0</v>
      </c>
      <c r="K90" s="4" t="str">
        <f t="shared" si="2"/>
        <v>Active</v>
      </c>
      <c r="L90" s="4">
        <f t="shared" si="3"/>
        <v>0</v>
      </c>
    </row>
    <row r="91" spans="1:12" x14ac:dyDescent="0.3">
      <c r="A91" s="4" t="s">
        <v>208</v>
      </c>
      <c r="B91" s="4" t="s">
        <v>209</v>
      </c>
      <c r="C91" s="4" t="s">
        <v>38</v>
      </c>
      <c r="D91" s="4" t="s">
        <v>13</v>
      </c>
      <c r="E91" s="5">
        <v>45521</v>
      </c>
      <c r="F91" s="4" t="s">
        <v>20</v>
      </c>
      <c r="G91" s="4" t="s">
        <v>39</v>
      </c>
      <c r="H91" s="6">
        <v>24</v>
      </c>
      <c r="I91" s="4" t="b">
        <v>0</v>
      </c>
      <c r="J91" s="4" t="b">
        <v>0</v>
      </c>
      <c r="K91" s="4" t="str">
        <f t="shared" si="2"/>
        <v>Active</v>
      </c>
      <c r="L91" s="4">
        <f t="shared" si="3"/>
        <v>0</v>
      </c>
    </row>
    <row r="92" spans="1:12" x14ac:dyDescent="0.3">
      <c r="A92" s="4" t="s">
        <v>210</v>
      </c>
      <c r="B92" s="4" t="s">
        <v>211</v>
      </c>
      <c r="C92" s="4" t="s">
        <v>38</v>
      </c>
      <c r="D92" s="4" t="s">
        <v>13</v>
      </c>
      <c r="E92" s="5">
        <v>45280</v>
      </c>
      <c r="F92" s="4" t="s">
        <v>20</v>
      </c>
      <c r="G92" s="4" t="s">
        <v>15</v>
      </c>
      <c r="H92" s="6">
        <v>33</v>
      </c>
      <c r="I92" s="4" t="b">
        <v>0</v>
      </c>
      <c r="J92" s="4" t="b">
        <v>0</v>
      </c>
      <c r="K92" s="4" t="str">
        <f t="shared" si="2"/>
        <v>Active</v>
      </c>
      <c r="L92" s="4">
        <f t="shared" si="3"/>
        <v>0</v>
      </c>
    </row>
    <row r="93" spans="1:12" x14ac:dyDescent="0.3">
      <c r="A93" s="4" t="s">
        <v>212</v>
      </c>
      <c r="B93" s="4" t="s">
        <v>213</v>
      </c>
      <c r="C93" s="4" t="s">
        <v>27</v>
      </c>
      <c r="D93" s="4" t="s">
        <v>13</v>
      </c>
      <c r="E93" s="5">
        <v>45321</v>
      </c>
      <c r="F93" s="4" t="s">
        <v>24</v>
      </c>
      <c r="G93" s="4" t="s">
        <v>32</v>
      </c>
      <c r="H93" s="6">
        <v>48</v>
      </c>
      <c r="I93" s="4" t="b">
        <v>0</v>
      </c>
      <c r="J93" s="4" t="b">
        <v>0</v>
      </c>
      <c r="K93" s="4" t="str">
        <f t="shared" si="2"/>
        <v>Active</v>
      </c>
      <c r="L93" s="4">
        <f t="shared" si="3"/>
        <v>0</v>
      </c>
    </row>
    <row r="94" spans="1:12" x14ac:dyDescent="0.3">
      <c r="A94" s="4" t="s">
        <v>214</v>
      </c>
      <c r="B94" s="4" t="s">
        <v>215</v>
      </c>
      <c r="C94" s="4" t="s">
        <v>12</v>
      </c>
      <c r="D94" s="4" t="s">
        <v>13</v>
      </c>
      <c r="E94" s="5">
        <v>45373</v>
      </c>
      <c r="F94" s="4" t="s">
        <v>20</v>
      </c>
      <c r="G94" s="4" t="s">
        <v>32</v>
      </c>
      <c r="H94" s="6">
        <v>32</v>
      </c>
      <c r="I94" s="4" t="b">
        <v>0</v>
      </c>
      <c r="J94" s="4" t="b">
        <v>0</v>
      </c>
      <c r="K94" s="4" t="str">
        <f t="shared" si="2"/>
        <v>Active</v>
      </c>
      <c r="L94" s="4">
        <f t="shared" si="3"/>
        <v>0</v>
      </c>
    </row>
    <row r="95" spans="1:12" x14ac:dyDescent="0.3">
      <c r="A95" s="4" t="s">
        <v>216</v>
      </c>
      <c r="B95" s="4" t="s">
        <v>217</v>
      </c>
      <c r="C95" s="4" t="s">
        <v>18</v>
      </c>
      <c r="D95" s="4" t="s">
        <v>13</v>
      </c>
      <c r="E95" s="5">
        <v>45613</v>
      </c>
      <c r="F95" s="4" t="s">
        <v>24</v>
      </c>
      <c r="G95" s="4" t="s">
        <v>32</v>
      </c>
      <c r="H95" s="6">
        <v>31</v>
      </c>
      <c r="I95" s="4" t="b">
        <v>0</v>
      </c>
      <c r="J95" s="4" t="b">
        <v>0</v>
      </c>
      <c r="K95" s="4" t="str">
        <f t="shared" si="2"/>
        <v>Active</v>
      </c>
      <c r="L95" s="4">
        <f t="shared" si="3"/>
        <v>0</v>
      </c>
    </row>
    <row r="96" spans="1:12" x14ac:dyDescent="0.3">
      <c r="A96" s="4" t="s">
        <v>218</v>
      </c>
      <c r="B96" s="4" t="s">
        <v>219</v>
      </c>
      <c r="C96" s="4" t="s">
        <v>27</v>
      </c>
      <c r="D96" s="4" t="s">
        <v>13</v>
      </c>
      <c r="E96" s="5">
        <v>45265</v>
      </c>
      <c r="F96" s="4" t="s">
        <v>24</v>
      </c>
      <c r="G96" s="4" t="s">
        <v>32</v>
      </c>
      <c r="H96" s="6">
        <v>9</v>
      </c>
      <c r="I96" s="4" t="b">
        <v>1</v>
      </c>
      <c r="J96" s="4" t="b">
        <v>0</v>
      </c>
      <c r="K96" s="4" t="str">
        <f t="shared" si="2"/>
        <v>Active</v>
      </c>
      <c r="L96" s="4">
        <f t="shared" si="3"/>
        <v>0</v>
      </c>
    </row>
    <row r="97" spans="1:12" x14ac:dyDescent="0.3">
      <c r="A97" s="4" t="s">
        <v>220</v>
      </c>
      <c r="B97" s="4" t="s">
        <v>221</v>
      </c>
      <c r="C97" s="4" t="s">
        <v>27</v>
      </c>
      <c r="D97" s="4" t="s">
        <v>13</v>
      </c>
      <c r="E97" s="5">
        <v>45234</v>
      </c>
      <c r="F97" s="4" t="s">
        <v>31</v>
      </c>
      <c r="G97" s="4" t="s">
        <v>39</v>
      </c>
      <c r="H97" s="6">
        <v>1</v>
      </c>
      <c r="I97" s="4" t="b">
        <v>0</v>
      </c>
      <c r="J97" s="4" t="b">
        <v>0</v>
      </c>
      <c r="K97" s="4" t="str">
        <f t="shared" si="2"/>
        <v>Active</v>
      </c>
      <c r="L97" s="4">
        <f t="shared" si="3"/>
        <v>0</v>
      </c>
    </row>
    <row r="98" spans="1:12" x14ac:dyDescent="0.3">
      <c r="A98" s="4" t="s">
        <v>222</v>
      </c>
      <c r="B98" s="4" t="s">
        <v>223</v>
      </c>
      <c r="C98" s="4" t="s">
        <v>38</v>
      </c>
      <c r="D98" s="4" t="s">
        <v>13</v>
      </c>
      <c r="E98" s="5">
        <v>45339</v>
      </c>
      <c r="F98" s="4" t="s">
        <v>35</v>
      </c>
      <c r="G98" s="4" t="s">
        <v>39</v>
      </c>
      <c r="H98" s="6">
        <v>6</v>
      </c>
      <c r="I98" s="4" t="b">
        <v>0</v>
      </c>
      <c r="J98" s="4" t="b">
        <v>1</v>
      </c>
      <c r="K98" s="4" t="str">
        <f t="shared" si="2"/>
        <v>Churned</v>
      </c>
      <c r="L98" s="4">
        <f t="shared" si="3"/>
        <v>1</v>
      </c>
    </row>
    <row r="99" spans="1:12" x14ac:dyDescent="0.3">
      <c r="A99" s="4" t="s">
        <v>224</v>
      </c>
      <c r="B99" s="4" t="s">
        <v>225</v>
      </c>
      <c r="C99" s="4" t="s">
        <v>23</v>
      </c>
      <c r="D99" s="4" t="s">
        <v>28</v>
      </c>
      <c r="E99" s="5">
        <v>45607</v>
      </c>
      <c r="F99" s="4" t="s">
        <v>35</v>
      </c>
      <c r="G99" s="4" t="s">
        <v>32</v>
      </c>
      <c r="H99" s="6">
        <v>1</v>
      </c>
      <c r="I99" s="4" t="b">
        <v>0</v>
      </c>
      <c r="J99" s="4" t="b">
        <v>0</v>
      </c>
      <c r="K99" s="4" t="str">
        <f t="shared" si="2"/>
        <v>Active</v>
      </c>
      <c r="L99" s="4">
        <f t="shared" si="3"/>
        <v>0</v>
      </c>
    </row>
    <row r="100" spans="1:12" x14ac:dyDescent="0.3">
      <c r="A100" s="4" t="s">
        <v>226</v>
      </c>
      <c r="B100" s="4" t="s">
        <v>227</v>
      </c>
      <c r="C100" s="4" t="s">
        <v>38</v>
      </c>
      <c r="D100" s="4" t="s">
        <v>13</v>
      </c>
      <c r="E100" s="5">
        <v>45509</v>
      </c>
      <c r="F100" s="4" t="s">
        <v>24</v>
      </c>
      <c r="G100" s="4" t="s">
        <v>39</v>
      </c>
      <c r="H100" s="6">
        <v>2</v>
      </c>
      <c r="I100" s="4" t="b">
        <v>0</v>
      </c>
      <c r="J100" s="4" t="b">
        <v>0</v>
      </c>
      <c r="K100" s="4" t="str">
        <f t="shared" si="2"/>
        <v>Active</v>
      </c>
      <c r="L100" s="4">
        <f t="shared" si="3"/>
        <v>0</v>
      </c>
    </row>
    <row r="101" spans="1:12" x14ac:dyDescent="0.3">
      <c r="A101" s="4" t="s">
        <v>228</v>
      </c>
      <c r="B101" s="4" t="s">
        <v>229</v>
      </c>
      <c r="C101" s="4" t="s">
        <v>18</v>
      </c>
      <c r="D101" s="4" t="s">
        <v>13</v>
      </c>
      <c r="E101" s="5">
        <v>45220</v>
      </c>
      <c r="F101" s="4" t="s">
        <v>20</v>
      </c>
      <c r="G101" s="4" t="s">
        <v>32</v>
      </c>
      <c r="H101" s="6">
        <v>4</v>
      </c>
      <c r="I101" s="4" t="b">
        <v>0</v>
      </c>
      <c r="J101" s="4" t="b">
        <v>1</v>
      </c>
      <c r="K101" s="4" t="str">
        <f t="shared" si="2"/>
        <v>Churned</v>
      </c>
      <c r="L101" s="4">
        <f t="shared" si="3"/>
        <v>1</v>
      </c>
    </row>
    <row r="102" spans="1:12" x14ac:dyDescent="0.3">
      <c r="A102" s="4" t="s">
        <v>230</v>
      </c>
      <c r="B102" s="4" t="s">
        <v>231</v>
      </c>
      <c r="C102" s="4" t="s">
        <v>38</v>
      </c>
      <c r="D102" s="4" t="s">
        <v>13</v>
      </c>
      <c r="E102" s="5">
        <v>45597</v>
      </c>
      <c r="F102" s="4" t="s">
        <v>31</v>
      </c>
      <c r="G102" s="4" t="s">
        <v>32</v>
      </c>
      <c r="H102" s="6">
        <v>1</v>
      </c>
      <c r="I102" s="4" t="b">
        <v>0</v>
      </c>
      <c r="J102" s="4" t="b">
        <v>0</v>
      </c>
      <c r="K102" s="4" t="str">
        <f t="shared" si="2"/>
        <v>Active</v>
      </c>
      <c r="L102" s="4">
        <f t="shared" si="3"/>
        <v>0</v>
      </c>
    </row>
    <row r="103" spans="1:12" x14ac:dyDescent="0.3">
      <c r="A103" s="4" t="s">
        <v>232</v>
      </c>
      <c r="B103" s="4" t="s">
        <v>233</v>
      </c>
      <c r="C103" s="4" t="s">
        <v>27</v>
      </c>
      <c r="D103" s="4" t="s">
        <v>13</v>
      </c>
      <c r="E103" s="5">
        <v>45145</v>
      </c>
      <c r="F103" s="4" t="s">
        <v>35</v>
      </c>
      <c r="G103" s="4" t="s">
        <v>32</v>
      </c>
      <c r="H103" s="6">
        <v>20</v>
      </c>
      <c r="I103" s="4" t="b">
        <v>0</v>
      </c>
      <c r="J103" s="4" t="b">
        <v>0</v>
      </c>
      <c r="K103" s="4" t="str">
        <f t="shared" si="2"/>
        <v>Active</v>
      </c>
      <c r="L103" s="4">
        <f t="shared" si="3"/>
        <v>0</v>
      </c>
    </row>
    <row r="104" spans="1:12" x14ac:dyDescent="0.3">
      <c r="A104" s="4" t="s">
        <v>234</v>
      </c>
      <c r="B104" s="4" t="s">
        <v>235</v>
      </c>
      <c r="C104" s="4" t="s">
        <v>38</v>
      </c>
      <c r="D104" s="4" t="s">
        <v>13</v>
      </c>
      <c r="E104" s="5">
        <v>45013</v>
      </c>
      <c r="F104" s="4" t="s">
        <v>20</v>
      </c>
      <c r="G104" s="4" t="s">
        <v>39</v>
      </c>
      <c r="H104" s="6">
        <v>14</v>
      </c>
      <c r="I104" s="4" t="b">
        <v>0</v>
      </c>
      <c r="J104" s="4" t="b">
        <v>0</v>
      </c>
      <c r="K104" s="4" t="str">
        <f t="shared" si="2"/>
        <v>Active</v>
      </c>
      <c r="L104" s="4">
        <f t="shared" si="3"/>
        <v>0</v>
      </c>
    </row>
    <row r="105" spans="1:12" x14ac:dyDescent="0.3">
      <c r="A105" s="4" t="s">
        <v>236</v>
      </c>
      <c r="B105" s="4" t="s">
        <v>237</v>
      </c>
      <c r="C105" s="4" t="s">
        <v>18</v>
      </c>
      <c r="D105" s="4" t="s">
        <v>28</v>
      </c>
      <c r="E105" s="5">
        <v>45022</v>
      </c>
      <c r="F105" s="4" t="s">
        <v>35</v>
      </c>
      <c r="G105" s="4" t="s">
        <v>15</v>
      </c>
      <c r="H105" s="6">
        <v>6</v>
      </c>
      <c r="I105" s="4" t="b">
        <v>0</v>
      </c>
      <c r="J105" s="4" t="b">
        <v>1</v>
      </c>
      <c r="K105" s="4" t="str">
        <f t="shared" si="2"/>
        <v>Churned</v>
      </c>
      <c r="L105" s="4">
        <f t="shared" si="3"/>
        <v>1</v>
      </c>
    </row>
    <row r="106" spans="1:12" x14ac:dyDescent="0.3">
      <c r="A106" s="4" t="s">
        <v>238</v>
      </c>
      <c r="B106" s="4" t="s">
        <v>239</v>
      </c>
      <c r="C106" s="4" t="s">
        <v>12</v>
      </c>
      <c r="D106" s="4" t="s">
        <v>13</v>
      </c>
      <c r="E106" s="5">
        <v>45077</v>
      </c>
      <c r="F106" s="4" t="s">
        <v>31</v>
      </c>
      <c r="G106" s="4" t="s">
        <v>32</v>
      </c>
      <c r="H106" s="6">
        <v>1</v>
      </c>
      <c r="I106" s="4" t="b">
        <v>0</v>
      </c>
      <c r="J106" s="4" t="b">
        <v>0</v>
      </c>
      <c r="K106" s="4" t="str">
        <f t="shared" si="2"/>
        <v>Active</v>
      </c>
      <c r="L106" s="4">
        <f t="shared" si="3"/>
        <v>0</v>
      </c>
    </row>
    <row r="107" spans="1:12" x14ac:dyDescent="0.3">
      <c r="A107" s="4" t="s">
        <v>240</v>
      </c>
      <c r="B107" s="4" t="s">
        <v>241</v>
      </c>
      <c r="C107" s="4" t="s">
        <v>23</v>
      </c>
      <c r="D107" s="4" t="s">
        <v>13</v>
      </c>
      <c r="E107" s="5">
        <v>45001</v>
      </c>
      <c r="F107" s="4" t="s">
        <v>20</v>
      </c>
      <c r="G107" s="4" t="s">
        <v>15</v>
      </c>
      <c r="H107" s="6">
        <v>23</v>
      </c>
      <c r="I107" s="4" t="b">
        <v>0</v>
      </c>
      <c r="J107" s="4" t="b">
        <v>1</v>
      </c>
      <c r="K107" s="4" t="str">
        <f t="shared" si="2"/>
        <v>Churned</v>
      </c>
      <c r="L107" s="4">
        <f t="shared" si="3"/>
        <v>1</v>
      </c>
    </row>
    <row r="108" spans="1:12" x14ac:dyDescent="0.3">
      <c r="A108" s="4" t="s">
        <v>242</v>
      </c>
      <c r="B108" s="4" t="s">
        <v>243</v>
      </c>
      <c r="C108" s="4" t="s">
        <v>23</v>
      </c>
      <c r="D108" s="4" t="s">
        <v>13</v>
      </c>
      <c r="E108" s="5">
        <v>45640</v>
      </c>
      <c r="F108" s="4" t="s">
        <v>35</v>
      </c>
      <c r="G108" s="4" t="s">
        <v>15</v>
      </c>
      <c r="H108" s="6">
        <v>3</v>
      </c>
      <c r="I108" s="4" t="b">
        <v>0</v>
      </c>
      <c r="J108" s="4" t="b">
        <v>0</v>
      </c>
      <c r="K108" s="4" t="str">
        <f t="shared" si="2"/>
        <v>Active</v>
      </c>
      <c r="L108" s="4">
        <f t="shared" si="3"/>
        <v>0</v>
      </c>
    </row>
    <row r="109" spans="1:12" x14ac:dyDescent="0.3">
      <c r="A109" s="4" t="s">
        <v>244</v>
      </c>
      <c r="B109" s="4" t="s">
        <v>245</v>
      </c>
      <c r="C109" s="4" t="s">
        <v>12</v>
      </c>
      <c r="D109" s="4" t="s">
        <v>82</v>
      </c>
      <c r="E109" s="5">
        <v>45598</v>
      </c>
      <c r="F109" s="4" t="s">
        <v>24</v>
      </c>
      <c r="G109" s="4" t="s">
        <v>39</v>
      </c>
      <c r="H109" s="6">
        <v>25</v>
      </c>
      <c r="I109" s="4" t="b">
        <v>0</v>
      </c>
      <c r="J109" s="4" t="b">
        <v>0</v>
      </c>
      <c r="K109" s="4" t="str">
        <f t="shared" si="2"/>
        <v>Active</v>
      </c>
      <c r="L109" s="4">
        <f t="shared" si="3"/>
        <v>0</v>
      </c>
    </row>
    <row r="110" spans="1:12" x14ac:dyDescent="0.3">
      <c r="A110" s="4" t="s">
        <v>246</v>
      </c>
      <c r="B110" s="4" t="s">
        <v>247</v>
      </c>
      <c r="C110" s="4" t="s">
        <v>18</v>
      </c>
      <c r="D110" s="4" t="s">
        <v>44</v>
      </c>
      <c r="E110" s="5">
        <v>45151</v>
      </c>
      <c r="F110" s="4" t="s">
        <v>20</v>
      </c>
      <c r="G110" s="4" t="s">
        <v>39</v>
      </c>
      <c r="H110" s="6">
        <v>61</v>
      </c>
      <c r="I110" s="4" t="b">
        <v>0</v>
      </c>
      <c r="J110" s="4" t="b">
        <v>0</v>
      </c>
      <c r="K110" s="4" t="str">
        <f t="shared" si="2"/>
        <v>Active</v>
      </c>
      <c r="L110" s="4">
        <f t="shared" si="3"/>
        <v>0</v>
      </c>
    </row>
    <row r="111" spans="1:12" x14ac:dyDescent="0.3">
      <c r="A111" s="4" t="s">
        <v>248</v>
      </c>
      <c r="B111" s="4" t="s">
        <v>249</v>
      </c>
      <c r="C111" s="4" t="s">
        <v>27</v>
      </c>
      <c r="D111" s="4" t="s">
        <v>13</v>
      </c>
      <c r="E111" s="5">
        <v>44978</v>
      </c>
      <c r="F111" s="4" t="s">
        <v>24</v>
      </c>
      <c r="G111" s="4" t="s">
        <v>39</v>
      </c>
      <c r="H111" s="6">
        <v>18</v>
      </c>
      <c r="I111" s="4" t="b">
        <v>0</v>
      </c>
      <c r="J111" s="4" t="b">
        <v>0</v>
      </c>
      <c r="K111" s="4" t="str">
        <f t="shared" si="2"/>
        <v>Active</v>
      </c>
      <c r="L111" s="4">
        <f t="shared" si="3"/>
        <v>0</v>
      </c>
    </row>
    <row r="112" spans="1:12" x14ac:dyDescent="0.3">
      <c r="A112" s="4" t="s">
        <v>250</v>
      </c>
      <c r="B112" s="4" t="s">
        <v>251</v>
      </c>
      <c r="C112" s="4" t="s">
        <v>23</v>
      </c>
      <c r="D112" s="4" t="s">
        <v>28</v>
      </c>
      <c r="E112" s="5">
        <v>45063</v>
      </c>
      <c r="F112" s="4" t="s">
        <v>20</v>
      </c>
      <c r="G112" s="4" t="s">
        <v>32</v>
      </c>
      <c r="H112" s="6">
        <v>8</v>
      </c>
      <c r="I112" s="4" t="b">
        <v>0</v>
      </c>
      <c r="J112" s="4" t="b">
        <v>1</v>
      </c>
      <c r="K112" s="4" t="str">
        <f t="shared" si="2"/>
        <v>Churned</v>
      </c>
      <c r="L112" s="4">
        <f t="shared" si="3"/>
        <v>1</v>
      </c>
    </row>
    <row r="113" spans="1:12" x14ac:dyDescent="0.3">
      <c r="A113" s="4" t="s">
        <v>252</v>
      </c>
      <c r="B113" s="4" t="s">
        <v>253</v>
      </c>
      <c r="C113" s="4" t="s">
        <v>23</v>
      </c>
      <c r="D113" s="4" t="s">
        <v>28</v>
      </c>
      <c r="E113" s="5">
        <v>45251</v>
      </c>
      <c r="F113" s="4" t="s">
        <v>20</v>
      </c>
      <c r="G113" s="4" t="s">
        <v>39</v>
      </c>
      <c r="H113" s="6">
        <v>2</v>
      </c>
      <c r="I113" s="4" t="b">
        <v>1</v>
      </c>
      <c r="J113" s="4" t="b">
        <v>1</v>
      </c>
      <c r="K113" s="4" t="str">
        <f t="shared" si="2"/>
        <v>Churned</v>
      </c>
      <c r="L113" s="4">
        <f t="shared" si="3"/>
        <v>1</v>
      </c>
    </row>
    <row r="114" spans="1:12" x14ac:dyDescent="0.3">
      <c r="A114" s="4" t="s">
        <v>254</v>
      </c>
      <c r="B114" s="4" t="s">
        <v>255</v>
      </c>
      <c r="C114" s="4" t="s">
        <v>23</v>
      </c>
      <c r="D114" s="4" t="s">
        <v>82</v>
      </c>
      <c r="E114" s="5">
        <v>45488</v>
      </c>
      <c r="F114" s="4" t="s">
        <v>31</v>
      </c>
      <c r="G114" s="4" t="s">
        <v>39</v>
      </c>
      <c r="H114" s="6">
        <v>38</v>
      </c>
      <c r="I114" s="4" t="b">
        <v>0</v>
      </c>
      <c r="J114" s="4" t="b">
        <v>0</v>
      </c>
      <c r="K114" s="4" t="str">
        <f t="shared" si="2"/>
        <v>Active</v>
      </c>
      <c r="L114" s="4">
        <f t="shared" si="3"/>
        <v>0</v>
      </c>
    </row>
    <row r="115" spans="1:12" x14ac:dyDescent="0.3">
      <c r="A115" s="4" t="s">
        <v>256</v>
      </c>
      <c r="B115" s="4" t="s">
        <v>257</v>
      </c>
      <c r="C115" s="4" t="s">
        <v>18</v>
      </c>
      <c r="D115" s="4" t="s">
        <v>44</v>
      </c>
      <c r="E115" s="5">
        <v>45192</v>
      </c>
      <c r="F115" s="4" t="s">
        <v>14</v>
      </c>
      <c r="G115" s="4" t="s">
        <v>32</v>
      </c>
      <c r="H115" s="6">
        <v>2</v>
      </c>
      <c r="I115" s="4" t="b">
        <v>0</v>
      </c>
      <c r="J115" s="4" t="b">
        <v>0</v>
      </c>
      <c r="K115" s="4" t="str">
        <f t="shared" si="2"/>
        <v>Active</v>
      </c>
      <c r="L115" s="4">
        <f t="shared" si="3"/>
        <v>0</v>
      </c>
    </row>
    <row r="116" spans="1:12" x14ac:dyDescent="0.3">
      <c r="A116" s="4" t="s">
        <v>258</v>
      </c>
      <c r="B116" s="4" t="s">
        <v>259</v>
      </c>
      <c r="C116" s="4" t="s">
        <v>18</v>
      </c>
      <c r="D116" s="4" t="s">
        <v>13</v>
      </c>
      <c r="E116" s="5">
        <v>45423</v>
      </c>
      <c r="F116" s="4" t="s">
        <v>24</v>
      </c>
      <c r="G116" s="4" t="s">
        <v>32</v>
      </c>
      <c r="H116" s="6">
        <v>3</v>
      </c>
      <c r="I116" s="4" t="b">
        <v>0</v>
      </c>
      <c r="J116" s="4" t="b">
        <v>0</v>
      </c>
      <c r="K116" s="4" t="str">
        <f t="shared" si="2"/>
        <v>Active</v>
      </c>
      <c r="L116" s="4">
        <f t="shared" si="3"/>
        <v>0</v>
      </c>
    </row>
    <row r="117" spans="1:12" x14ac:dyDescent="0.3">
      <c r="A117" s="4" t="s">
        <v>260</v>
      </c>
      <c r="B117" s="4" t="s">
        <v>261</v>
      </c>
      <c r="C117" s="4" t="s">
        <v>18</v>
      </c>
      <c r="D117" s="4" t="s">
        <v>13</v>
      </c>
      <c r="E117" s="5">
        <v>45219</v>
      </c>
      <c r="F117" s="4" t="s">
        <v>14</v>
      </c>
      <c r="G117" s="4" t="s">
        <v>32</v>
      </c>
      <c r="H117" s="6">
        <v>19</v>
      </c>
      <c r="I117" s="4" t="b">
        <v>0</v>
      </c>
      <c r="J117" s="4" t="b">
        <v>1</v>
      </c>
      <c r="K117" s="4" t="str">
        <f t="shared" si="2"/>
        <v>Churned</v>
      </c>
      <c r="L117" s="4">
        <f t="shared" si="3"/>
        <v>1</v>
      </c>
    </row>
    <row r="118" spans="1:12" x14ac:dyDescent="0.3">
      <c r="A118" s="4" t="s">
        <v>262</v>
      </c>
      <c r="B118" s="4" t="s">
        <v>263</v>
      </c>
      <c r="C118" s="4" t="s">
        <v>18</v>
      </c>
      <c r="D118" s="4" t="s">
        <v>13</v>
      </c>
      <c r="E118" s="5">
        <v>45009</v>
      </c>
      <c r="F118" s="4" t="s">
        <v>31</v>
      </c>
      <c r="G118" s="4" t="s">
        <v>32</v>
      </c>
      <c r="H118" s="6">
        <v>9</v>
      </c>
      <c r="I118" s="4" t="b">
        <v>0</v>
      </c>
      <c r="J118" s="4" t="b">
        <v>0</v>
      </c>
      <c r="K118" s="4" t="str">
        <f t="shared" si="2"/>
        <v>Active</v>
      </c>
      <c r="L118" s="4">
        <f t="shared" si="3"/>
        <v>0</v>
      </c>
    </row>
    <row r="119" spans="1:12" x14ac:dyDescent="0.3">
      <c r="A119" s="4" t="s">
        <v>264</v>
      </c>
      <c r="B119" s="4" t="s">
        <v>265</v>
      </c>
      <c r="C119" s="4" t="s">
        <v>18</v>
      </c>
      <c r="D119" s="4" t="s">
        <v>13</v>
      </c>
      <c r="E119" s="5">
        <v>45083</v>
      </c>
      <c r="F119" s="4" t="s">
        <v>31</v>
      </c>
      <c r="G119" s="4" t="s">
        <v>39</v>
      </c>
      <c r="H119" s="6">
        <v>38</v>
      </c>
      <c r="I119" s="4" t="b">
        <v>0</v>
      </c>
      <c r="J119" s="4" t="b">
        <v>1</v>
      </c>
      <c r="K119" s="4" t="str">
        <f t="shared" si="2"/>
        <v>Churned</v>
      </c>
      <c r="L119" s="4">
        <f t="shared" si="3"/>
        <v>1</v>
      </c>
    </row>
    <row r="120" spans="1:12" x14ac:dyDescent="0.3">
      <c r="A120" s="4" t="s">
        <v>266</v>
      </c>
      <c r="B120" s="4" t="s">
        <v>267</v>
      </c>
      <c r="C120" s="4" t="s">
        <v>23</v>
      </c>
      <c r="D120" s="4" t="s">
        <v>13</v>
      </c>
      <c r="E120" s="5">
        <v>45482</v>
      </c>
      <c r="F120" s="4" t="s">
        <v>35</v>
      </c>
      <c r="G120" s="4" t="s">
        <v>39</v>
      </c>
      <c r="H120" s="6">
        <v>1</v>
      </c>
      <c r="I120" s="4" t="b">
        <v>0</v>
      </c>
      <c r="J120" s="4" t="b">
        <v>1</v>
      </c>
      <c r="K120" s="4" t="str">
        <f t="shared" si="2"/>
        <v>Churned</v>
      </c>
      <c r="L120" s="4">
        <f t="shared" si="3"/>
        <v>1</v>
      </c>
    </row>
    <row r="121" spans="1:12" x14ac:dyDescent="0.3">
      <c r="A121" s="4" t="s">
        <v>268</v>
      </c>
      <c r="B121" s="4" t="s">
        <v>269</v>
      </c>
      <c r="C121" s="4" t="s">
        <v>27</v>
      </c>
      <c r="D121" s="4" t="s">
        <v>65</v>
      </c>
      <c r="E121" s="5">
        <v>45325</v>
      </c>
      <c r="F121" s="4" t="s">
        <v>24</v>
      </c>
      <c r="G121" s="4" t="s">
        <v>32</v>
      </c>
      <c r="H121" s="6">
        <v>17</v>
      </c>
      <c r="I121" s="4" t="b">
        <v>0</v>
      </c>
      <c r="J121" s="4" t="b">
        <v>0</v>
      </c>
      <c r="K121" s="4" t="str">
        <f t="shared" si="2"/>
        <v>Active</v>
      </c>
      <c r="L121" s="4">
        <f t="shared" si="3"/>
        <v>0</v>
      </c>
    </row>
    <row r="122" spans="1:12" x14ac:dyDescent="0.3">
      <c r="A122" s="4" t="s">
        <v>270</v>
      </c>
      <c r="B122" s="4" t="s">
        <v>271</v>
      </c>
      <c r="C122" s="4" t="s">
        <v>23</v>
      </c>
      <c r="D122" s="4" t="s">
        <v>13</v>
      </c>
      <c r="E122" s="5">
        <v>45316</v>
      </c>
      <c r="F122" s="4" t="s">
        <v>14</v>
      </c>
      <c r="G122" s="4" t="s">
        <v>39</v>
      </c>
      <c r="H122" s="6">
        <v>9</v>
      </c>
      <c r="I122" s="4" t="b">
        <v>0</v>
      </c>
      <c r="J122" s="4" t="b">
        <v>0</v>
      </c>
      <c r="K122" s="4" t="str">
        <f t="shared" si="2"/>
        <v>Active</v>
      </c>
      <c r="L122" s="4">
        <f t="shared" si="3"/>
        <v>0</v>
      </c>
    </row>
    <row r="123" spans="1:12" x14ac:dyDescent="0.3">
      <c r="A123" s="4" t="s">
        <v>272</v>
      </c>
      <c r="B123" s="4" t="s">
        <v>273</v>
      </c>
      <c r="C123" s="4" t="s">
        <v>23</v>
      </c>
      <c r="D123" s="4" t="s">
        <v>13</v>
      </c>
      <c r="E123" s="5">
        <v>45326</v>
      </c>
      <c r="F123" s="4" t="s">
        <v>20</v>
      </c>
      <c r="G123" s="4" t="s">
        <v>32</v>
      </c>
      <c r="H123" s="6">
        <v>15</v>
      </c>
      <c r="I123" s="4" t="b">
        <v>0</v>
      </c>
      <c r="J123" s="4" t="b">
        <v>0</v>
      </c>
      <c r="K123" s="4" t="str">
        <f t="shared" si="2"/>
        <v>Active</v>
      </c>
      <c r="L123" s="4">
        <f t="shared" si="3"/>
        <v>0</v>
      </c>
    </row>
    <row r="124" spans="1:12" x14ac:dyDescent="0.3">
      <c r="A124" s="4" t="s">
        <v>274</v>
      </c>
      <c r="B124" s="4" t="s">
        <v>275</v>
      </c>
      <c r="C124" s="4" t="s">
        <v>23</v>
      </c>
      <c r="D124" s="4" t="s">
        <v>13</v>
      </c>
      <c r="E124" s="5">
        <v>45152</v>
      </c>
      <c r="F124" s="4" t="s">
        <v>31</v>
      </c>
      <c r="G124" s="4" t="s">
        <v>39</v>
      </c>
      <c r="H124" s="6">
        <v>64</v>
      </c>
      <c r="I124" s="4" t="b">
        <v>0</v>
      </c>
      <c r="J124" s="4" t="b">
        <v>1</v>
      </c>
      <c r="K124" s="4" t="str">
        <f t="shared" si="2"/>
        <v>Churned</v>
      </c>
      <c r="L124" s="4">
        <f t="shared" si="3"/>
        <v>1</v>
      </c>
    </row>
    <row r="125" spans="1:12" x14ac:dyDescent="0.3">
      <c r="A125" s="4" t="s">
        <v>276</v>
      </c>
      <c r="B125" s="4" t="s">
        <v>277</v>
      </c>
      <c r="C125" s="4" t="s">
        <v>23</v>
      </c>
      <c r="D125" s="4" t="s">
        <v>13</v>
      </c>
      <c r="E125" s="5">
        <v>44956</v>
      </c>
      <c r="F125" s="4" t="s">
        <v>31</v>
      </c>
      <c r="G125" s="4" t="s">
        <v>32</v>
      </c>
      <c r="H125" s="6">
        <v>1</v>
      </c>
      <c r="I125" s="4" t="b">
        <v>1</v>
      </c>
      <c r="J125" s="4" t="b">
        <v>1</v>
      </c>
      <c r="K125" s="4" t="str">
        <f t="shared" si="2"/>
        <v>Churned</v>
      </c>
      <c r="L125" s="4">
        <f t="shared" si="3"/>
        <v>1</v>
      </c>
    </row>
    <row r="126" spans="1:12" x14ac:dyDescent="0.3">
      <c r="A126" s="4" t="s">
        <v>278</v>
      </c>
      <c r="B126" s="4" t="s">
        <v>279</v>
      </c>
      <c r="C126" s="4" t="s">
        <v>23</v>
      </c>
      <c r="D126" s="4" t="s">
        <v>65</v>
      </c>
      <c r="E126" s="5">
        <v>45096</v>
      </c>
      <c r="F126" s="4" t="s">
        <v>20</v>
      </c>
      <c r="G126" s="4" t="s">
        <v>32</v>
      </c>
      <c r="H126" s="6">
        <v>1</v>
      </c>
      <c r="I126" s="4" t="b">
        <v>0</v>
      </c>
      <c r="J126" s="4" t="b">
        <v>1</v>
      </c>
      <c r="K126" s="4" t="str">
        <f t="shared" si="2"/>
        <v>Churned</v>
      </c>
      <c r="L126" s="4">
        <f t="shared" si="3"/>
        <v>1</v>
      </c>
    </row>
    <row r="127" spans="1:12" x14ac:dyDescent="0.3">
      <c r="A127" s="4" t="s">
        <v>280</v>
      </c>
      <c r="B127" s="4" t="s">
        <v>281</v>
      </c>
      <c r="C127" s="4" t="s">
        <v>23</v>
      </c>
      <c r="D127" s="4" t="s">
        <v>13</v>
      </c>
      <c r="E127" s="5">
        <v>44954</v>
      </c>
      <c r="F127" s="4" t="s">
        <v>24</v>
      </c>
      <c r="G127" s="4" t="s">
        <v>15</v>
      </c>
      <c r="H127" s="6">
        <v>7</v>
      </c>
      <c r="I127" s="4" t="b">
        <v>0</v>
      </c>
      <c r="J127" s="4" t="b">
        <v>1</v>
      </c>
      <c r="K127" s="4" t="str">
        <f t="shared" si="2"/>
        <v>Churned</v>
      </c>
      <c r="L127" s="4">
        <f t="shared" si="3"/>
        <v>1</v>
      </c>
    </row>
    <row r="128" spans="1:12" x14ac:dyDescent="0.3">
      <c r="A128" s="4" t="s">
        <v>282</v>
      </c>
      <c r="B128" s="4" t="s">
        <v>283</v>
      </c>
      <c r="C128" s="4" t="s">
        <v>23</v>
      </c>
      <c r="D128" s="4" t="s">
        <v>13</v>
      </c>
      <c r="E128" s="5">
        <v>45585</v>
      </c>
      <c r="F128" s="4" t="s">
        <v>31</v>
      </c>
      <c r="G128" s="4" t="s">
        <v>15</v>
      </c>
      <c r="H128" s="6">
        <v>33</v>
      </c>
      <c r="I128" s="4" t="b">
        <v>0</v>
      </c>
      <c r="J128" s="4" t="b">
        <v>1</v>
      </c>
      <c r="K128" s="4" t="str">
        <f t="shared" si="2"/>
        <v>Churned</v>
      </c>
      <c r="L128" s="4">
        <f t="shared" si="3"/>
        <v>1</v>
      </c>
    </row>
    <row r="129" spans="1:12" x14ac:dyDescent="0.3">
      <c r="A129" s="4" t="s">
        <v>284</v>
      </c>
      <c r="B129" s="4" t="s">
        <v>285</v>
      </c>
      <c r="C129" s="4" t="s">
        <v>38</v>
      </c>
      <c r="D129" s="4" t="s">
        <v>13</v>
      </c>
      <c r="E129" s="5">
        <v>44978</v>
      </c>
      <c r="F129" s="4" t="s">
        <v>35</v>
      </c>
      <c r="G129" s="4" t="s">
        <v>39</v>
      </c>
      <c r="H129" s="6">
        <v>23</v>
      </c>
      <c r="I129" s="4" t="b">
        <v>0</v>
      </c>
      <c r="J129" s="4" t="b">
        <v>0</v>
      </c>
      <c r="K129" s="4" t="str">
        <f t="shared" si="2"/>
        <v>Active</v>
      </c>
      <c r="L129" s="4">
        <f t="shared" si="3"/>
        <v>0</v>
      </c>
    </row>
    <row r="130" spans="1:12" x14ac:dyDescent="0.3">
      <c r="A130" s="4" t="s">
        <v>286</v>
      </c>
      <c r="B130" s="4" t="s">
        <v>287</v>
      </c>
      <c r="C130" s="4" t="s">
        <v>38</v>
      </c>
      <c r="D130" s="4" t="s">
        <v>19</v>
      </c>
      <c r="E130" s="5">
        <v>45261</v>
      </c>
      <c r="F130" s="4" t="s">
        <v>31</v>
      </c>
      <c r="G130" s="4" t="s">
        <v>39</v>
      </c>
      <c r="H130" s="6">
        <v>26</v>
      </c>
      <c r="I130" s="4" t="b">
        <v>0</v>
      </c>
      <c r="J130" s="4" t="b">
        <v>0</v>
      </c>
      <c r="K130" s="4" t="str">
        <f t="shared" si="2"/>
        <v>Active</v>
      </c>
      <c r="L130" s="4">
        <f t="shared" si="3"/>
        <v>0</v>
      </c>
    </row>
    <row r="131" spans="1:12" x14ac:dyDescent="0.3">
      <c r="A131" s="4" t="s">
        <v>288</v>
      </c>
      <c r="B131" s="4" t="s">
        <v>289</v>
      </c>
      <c r="C131" s="4" t="s">
        <v>38</v>
      </c>
      <c r="D131" s="4" t="s">
        <v>44</v>
      </c>
      <c r="E131" s="5">
        <v>45358</v>
      </c>
      <c r="F131" s="4" t="s">
        <v>31</v>
      </c>
      <c r="G131" s="4" t="s">
        <v>15</v>
      </c>
      <c r="H131" s="6">
        <v>3</v>
      </c>
      <c r="I131" s="4" t="b">
        <v>0</v>
      </c>
      <c r="J131" s="4" t="b">
        <v>0</v>
      </c>
      <c r="K131" s="4" t="str">
        <f t="shared" ref="K131:K194" si="4">IF(J131=TRUE,"Churned","Active")</f>
        <v>Active</v>
      </c>
      <c r="L131" s="4">
        <f t="shared" ref="L131:L194" si="5">IF(J131=TRUE,1,0)</f>
        <v>0</v>
      </c>
    </row>
    <row r="132" spans="1:12" x14ac:dyDescent="0.3">
      <c r="A132" s="4" t="s">
        <v>290</v>
      </c>
      <c r="B132" s="4" t="s">
        <v>291</v>
      </c>
      <c r="C132" s="4" t="s">
        <v>12</v>
      </c>
      <c r="D132" s="4" t="s">
        <v>101</v>
      </c>
      <c r="E132" s="5">
        <v>45479</v>
      </c>
      <c r="F132" s="4" t="s">
        <v>14</v>
      </c>
      <c r="G132" s="4" t="s">
        <v>15</v>
      </c>
      <c r="H132" s="6">
        <v>93</v>
      </c>
      <c r="I132" s="4" t="b">
        <v>0</v>
      </c>
      <c r="J132" s="4" t="b">
        <v>0</v>
      </c>
      <c r="K132" s="4" t="str">
        <f t="shared" si="4"/>
        <v>Active</v>
      </c>
      <c r="L132" s="4">
        <f t="shared" si="5"/>
        <v>0</v>
      </c>
    </row>
    <row r="133" spans="1:12" x14ac:dyDescent="0.3">
      <c r="A133" s="4" t="s">
        <v>292</v>
      </c>
      <c r="B133" s="4" t="s">
        <v>293</v>
      </c>
      <c r="C133" s="4" t="s">
        <v>12</v>
      </c>
      <c r="D133" s="4" t="s">
        <v>19</v>
      </c>
      <c r="E133" s="5">
        <v>45592</v>
      </c>
      <c r="F133" s="4" t="s">
        <v>24</v>
      </c>
      <c r="G133" s="4" t="s">
        <v>15</v>
      </c>
      <c r="H133" s="6">
        <v>29</v>
      </c>
      <c r="I133" s="4" t="b">
        <v>0</v>
      </c>
      <c r="J133" s="4" t="b">
        <v>0</v>
      </c>
      <c r="K133" s="4" t="str">
        <f t="shared" si="4"/>
        <v>Active</v>
      </c>
      <c r="L133" s="4">
        <f t="shared" si="5"/>
        <v>0</v>
      </c>
    </row>
    <row r="134" spans="1:12" x14ac:dyDescent="0.3">
      <c r="A134" s="4" t="s">
        <v>294</v>
      </c>
      <c r="B134" s="4" t="s">
        <v>295</v>
      </c>
      <c r="C134" s="4" t="s">
        <v>18</v>
      </c>
      <c r="D134" s="4" t="s">
        <v>44</v>
      </c>
      <c r="E134" s="5">
        <v>45180</v>
      </c>
      <c r="F134" s="4" t="s">
        <v>20</v>
      </c>
      <c r="G134" s="4" t="s">
        <v>15</v>
      </c>
      <c r="H134" s="6">
        <v>39</v>
      </c>
      <c r="I134" s="4" t="b">
        <v>0</v>
      </c>
      <c r="J134" s="4" t="b">
        <v>0</v>
      </c>
      <c r="K134" s="4" t="str">
        <f t="shared" si="4"/>
        <v>Active</v>
      </c>
      <c r="L134" s="4">
        <f t="shared" si="5"/>
        <v>0</v>
      </c>
    </row>
    <row r="135" spans="1:12" x14ac:dyDescent="0.3">
      <c r="A135" s="4" t="s">
        <v>296</v>
      </c>
      <c r="B135" s="4" t="s">
        <v>297</v>
      </c>
      <c r="C135" s="4" t="s">
        <v>18</v>
      </c>
      <c r="D135" s="4" t="s">
        <v>13</v>
      </c>
      <c r="E135" s="5">
        <v>45171</v>
      </c>
      <c r="F135" s="4" t="s">
        <v>24</v>
      </c>
      <c r="G135" s="4" t="s">
        <v>32</v>
      </c>
      <c r="H135" s="6">
        <v>28</v>
      </c>
      <c r="I135" s="4" t="b">
        <v>1</v>
      </c>
      <c r="J135" s="4" t="b">
        <v>0</v>
      </c>
      <c r="K135" s="4" t="str">
        <f t="shared" si="4"/>
        <v>Active</v>
      </c>
      <c r="L135" s="4">
        <f t="shared" si="5"/>
        <v>0</v>
      </c>
    </row>
    <row r="136" spans="1:12" x14ac:dyDescent="0.3">
      <c r="A136" s="4" t="s">
        <v>298</v>
      </c>
      <c r="B136" s="4" t="s">
        <v>299</v>
      </c>
      <c r="C136" s="4" t="s">
        <v>23</v>
      </c>
      <c r="D136" s="4" t="s">
        <v>28</v>
      </c>
      <c r="E136" s="5">
        <v>45150</v>
      </c>
      <c r="F136" s="4" t="s">
        <v>14</v>
      </c>
      <c r="G136" s="4" t="s">
        <v>15</v>
      </c>
      <c r="H136" s="6">
        <v>14</v>
      </c>
      <c r="I136" s="4" t="b">
        <v>0</v>
      </c>
      <c r="J136" s="4" t="b">
        <v>0</v>
      </c>
      <c r="K136" s="4" t="str">
        <f t="shared" si="4"/>
        <v>Active</v>
      </c>
      <c r="L136" s="4">
        <f t="shared" si="5"/>
        <v>0</v>
      </c>
    </row>
    <row r="137" spans="1:12" x14ac:dyDescent="0.3">
      <c r="A137" s="4" t="s">
        <v>300</v>
      </c>
      <c r="B137" s="4" t="s">
        <v>301</v>
      </c>
      <c r="C137" s="4" t="s">
        <v>27</v>
      </c>
      <c r="D137" s="4" t="s">
        <v>101</v>
      </c>
      <c r="E137" s="5">
        <v>45547</v>
      </c>
      <c r="F137" s="4" t="s">
        <v>24</v>
      </c>
      <c r="G137" s="4" t="s">
        <v>15</v>
      </c>
      <c r="H137" s="6">
        <v>45</v>
      </c>
      <c r="I137" s="4" t="b">
        <v>0</v>
      </c>
      <c r="J137" s="4" t="b">
        <v>1</v>
      </c>
      <c r="K137" s="4" t="str">
        <f t="shared" si="4"/>
        <v>Churned</v>
      </c>
      <c r="L137" s="4">
        <f t="shared" si="5"/>
        <v>1</v>
      </c>
    </row>
    <row r="138" spans="1:12" x14ac:dyDescent="0.3">
      <c r="A138" s="4" t="s">
        <v>302</v>
      </c>
      <c r="B138" s="4" t="s">
        <v>303</v>
      </c>
      <c r="C138" s="4" t="s">
        <v>12</v>
      </c>
      <c r="D138" s="4" t="s">
        <v>13</v>
      </c>
      <c r="E138" s="5">
        <v>45245</v>
      </c>
      <c r="F138" s="4" t="s">
        <v>14</v>
      </c>
      <c r="G138" s="4" t="s">
        <v>32</v>
      </c>
      <c r="H138" s="6">
        <v>47</v>
      </c>
      <c r="I138" s="4" t="b">
        <v>1</v>
      </c>
      <c r="J138" s="4" t="b">
        <v>0</v>
      </c>
      <c r="K138" s="4" t="str">
        <f t="shared" si="4"/>
        <v>Active</v>
      </c>
      <c r="L138" s="4">
        <f t="shared" si="5"/>
        <v>0</v>
      </c>
    </row>
    <row r="139" spans="1:12" x14ac:dyDescent="0.3">
      <c r="A139" s="4" t="s">
        <v>304</v>
      </c>
      <c r="B139" s="4" t="s">
        <v>305</v>
      </c>
      <c r="C139" s="4" t="s">
        <v>23</v>
      </c>
      <c r="D139" s="4" t="s">
        <v>13</v>
      </c>
      <c r="E139" s="5">
        <v>45620</v>
      </c>
      <c r="F139" s="4" t="s">
        <v>35</v>
      </c>
      <c r="G139" s="4" t="s">
        <v>15</v>
      </c>
      <c r="H139" s="6">
        <v>59</v>
      </c>
      <c r="I139" s="4" t="b">
        <v>0</v>
      </c>
      <c r="J139" s="4" t="b">
        <v>0</v>
      </c>
      <c r="K139" s="4" t="str">
        <f t="shared" si="4"/>
        <v>Active</v>
      </c>
      <c r="L139" s="4">
        <f t="shared" si="5"/>
        <v>0</v>
      </c>
    </row>
    <row r="140" spans="1:12" x14ac:dyDescent="0.3">
      <c r="A140" s="4" t="s">
        <v>306</v>
      </c>
      <c r="B140" s="4" t="s">
        <v>307</v>
      </c>
      <c r="C140" s="4" t="s">
        <v>18</v>
      </c>
      <c r="D140" s="4" t="s">
        <v>13</v>
      </c>
      <c r="E140" s="5">
        <v>45533</v>
      </c>
      <c r="F140" s="4" t="s">
        <v>14</v>
      </c>
      <c r="G140" s="4" t="s">
        <v>32</v>
      </c>
      <c r="H140" s="6">
        <v>19</v>
      </c>
      <c r="I140" s="4" t="b">
        <v>0</v>
      </c>
      <c r="J140" s="4" t="b">
        <v>0</v>
      </c>
      <c r="K140" s="4" t="str">
        <f t="shared" si="4"/>
        <v>Active</v>
      </c>
      <c r="L140" s="4">
        <f t="shared" si="5"/>
        <v>0</v>
      </c>
    </row>
    <row r="141" spans="1:12" x14ac:dyDescent="0.3">
      <c r="A141" s="4" t="s">
        <v>308</v>
      </c>
      <c r="B141" s="4" t="s">
        <v>309</v>
      </c>
      <c r="C141" s="4" t="s">
        <v>12</v>
      </c>
      <c r="D141" s="4" t="s">
        <v>19</v>
      </c>
      <c r="E141" s="5">
        <v>45541</v>
      </c>
      <c r="F141" s="4" t="s">
        <v>20</v>
      </c>
      <c r="G141" s="4" t="s">
        <v>15</v>
      </c>
      <c r="H141" s="6">
        <v>7</v>
      </c>
      <c r="I141" s="4" t="b">
        <v>0</v>
      </c>
      <c r="J141" s="4" t="b">
        <v>0</v>
      </c>
      <c r="K141" s="4" t="str">
        <f t="shared" si="4"/>
        <v>Active</v>
      </c>
      <c r="L141" s="4">
        <f t="shared" si="5"/>
        <v>0</v>
      </c>
    </row>
    <row r="142" spans="1:12" x14ac:dyDescent="0.3">
      <c r="A142" s="4" t="s">
        <v>310</v>
      </c>
      <c r="B142" s="4" t="s">
        <v>311</v>
      </c>
      <c r="C142" s="4" t="s">
        <v>27</v>
      </c>
      <c r="D142" s="4" t="s">
        <v>13</v>
      </c>
      <c r="E142" s="5">
        <v>45282</v>
      </c>
      <c r="F142" s="4" t="s">
        <v>14</v>
      </c>
      <c r="G142" s="4" t="s">
        <v>15</v>
      </c>
      <c r="H142" s="6">
        <v>31</v>
      </c>
      <c r="I142" s="4" t="b">
        <v>0</v>
      </c>
      <c r="J142" s="4" t="b">
        <v>1</v>
      </c>
      <c r="K142" s="4" t="str">
        <f t="shared" si="4"/>
        <v>Churned</v>
      </c>
      <c r="L142" s="4">
        <f t="shared" si="5"/>
        <v>1</v>
      </c>
    </row>
    <row r="143" spans="1:12" x14ac:dyDescent="0.3">
      <c r="A143" s="4" t="s">
        <v>312</v>
      </c>
      <c r="B143" s="4" t="s">
        <v>313</v>
      </c>
      <c r="C143" s="4" t="s">
        <v>38</v>
      </c>
      <c r="D143" s="4" t="s">
        <v>13</v>
      </c>
      <c r="E143" s="5">
        <v>45445</v>
      </c>
      <c r="F143" s="4" t="s">
        <v>31</v>
      </c>
      <c r="G143" s="4" t="s">
        <v>39</v>
      </c>
      <c r="H143" s="6">
        <v>13</v>
      </c>
      <c r="I143" s="4" t="b">
        <v>1</v>
      </c>
      <c r="J143" s="4" t="b">
        <v>0</v>
      </c>
      <c r="K143" s="4" t="str">
        <f t="shared" si="4"/>
        <v>Active</v>
      </c>
      <c r="L143" s="4">
        <f t="shared" si="5"/>
        <v>0</v>
      </c>
    </row>
    <row r="144" spans="1:12" x14ac:dyDescent="0.3">
      <c r="A144" s="4" t="s">
        <v>314</v>
      </c>
      <c r="B144" s="4" t="s">
        <v>315</v>
      </c>
      <c r="C144" s="4" t="s">
        <v>23</v>
      </c>
      <c r="D144" s="4" t="s">
        <v>101</v>
      </c>
      <c r="E144" s="5">
        <v>45035</v>
      </c>
      <c r="F144" s="4" t="s">
        <v>31</v>
      </c>
      <c r="G144" s="4" t="s">
        <v>32</v>
      </c>
      <c r="H144" s="6">
        <v>11</v>
      </c>
      <c r="I144" s="4" t="b">
        <v>0</v>
      </c>
      <c r="J144" s="4" t="b">
        <v>0</v>
      </c>
      <c r="K144" s="4" t="str">
        <f t="shared" si="4"/>
        <v>Active</v>
      </c>
      <c r="L144" s="4">
        <f t="shared" si="5"/>
        <v>0</v>
      </c>
    </row>
    <row r="145" spans="1:12" x14ac:dyDescent="0.3">
      <c r="A145" s="4" t="s">
        <v>316</v>
      </c>
      <c r="B145" s="4" t="s">
        <v>317</v>
      </c>
      <c r="C145" s="4" t="s">
        <v>23</v>
      </c>
      <c r="D145" s="4" t="s">
        <v>13</v>
      </c>
      <c r="E145" s="5">
        <v>45083</v>
      </c>
      <c r="F145" s="4" t="s">
        <v>20</v>
      </c>
      <c r="G145" s="4" t="s">
        <v>32</v>
      </c>
      <c r="H145" s="6">
        <v>2</v>
      </c>
      <c r="I145" s="4" t="b">
        <v>1</v>
      </c>
      <c r="J145" s="4" t="b">
        <v>0</v>
      </c>
      <c r="K145" s="4" t="str">
        <f t="shared" si="4"/>
        <v>Active</v>
      </c>
      <c r="L145" s="4">
        <f t="shared" si="5"/>
        <v>0</v>
      </c>
    </row>
    <row r="146" spans="1:12" x14ac:dyDescent="0.3">
      <c r="A146" s="4" t="s">
        <v>318</v>
      </c>
      <c r="B146" s="4" t="s">
        <v>319</v>
      </c>
      <c r="C146" s="4" t="s">
        <v>27</v>
      </c>
      <c r="D146" s="4" t="s">
        <v>44</v>
      </c>
      <c r="E146" s="5">
        <v>45203</v>
      </c>
      <c r="F146" s="4" t="s">
        <v>20</v>
      </c>
      <c r="G146" s="4" t="s">
        <v>39</v>
      </c>
      <c r="H146" s="6">
        <v>19</v>
      </c>
      <c r="I146" s="4" t="b">
        <v>1</v>
      </c>
      <c r="J146" s="4" t="b">
        <v>1</v>
      </c>
      <c r="K146" s="4" t="str">
        <f t="shared" si="4"/>
        <v>Churned</v>
      </c>
      <c r="L146" s="4">
        <f t="shared" si="5"/>
        <v>1</v>
      </c>
    </row>
    <row r="147" spans="1:12" x14ac:dyDescent="0.3">
      <c r="A147" s="4" t="s">
        <v>320</v>
      </c>
      <c r="B147" s="4" t="s">
        <v>321</v>
      </c>
      <c r="C147" s="4" t="s">
        <v>23</v>
      </c>
      <c r="D147" s="4" t="s">
        <v>44</v>
      </c>
      <c r="E147" s="5">
        <v>45403</v>
      </c>
      <c r="F147" s="4" t="s">
        <v>20</v>
      </c>
      <c r="G147" s="4" t="s">
        <v>39</v>
      </c>
      <c r="H147" s="6">
        <v>24</v>
      </c>
      <c r="I147" s="4" t="b">
        <v>1</v>
      </c>
      <c r="J147" s="4" t="b">
        <v>0</v>
      </c>
      <c r="K147" s="4" t="str">
        <f t="shared" si="4"/>
        <v>Active</v>
      </c>
      <c r="L147" s="4">
        <f t="shared" si="5"/>
        <v>0</v>
      </c>
    </row>
    <row r="148" spans="1:12" x14ac:dyDescent="0.3">
      <c r="A148" s="4" t="s">
        <v>322</v>
      </c>
      <c r="B148" s="4" t="s">
        <v>323</v>
      </c>
      <c r="C148" s="4" t="s">
        <v>18</v>
      </c>
      <c r="D148" s="4" t="s">
        <v>44</v>
      </c>
      <c r="E148" s="5">
        <v>45257</v>
      </c>
      <c r="F148" s="4" t="s">
        <v>24</v>
      </c>
      <c r="G148" s="4" t="s">
        <v>39</v>
      </c>
      <c r="H148" s="6">
        <v>24</v>
      </c>
      <c r="I148" s="4" t="b">
        <v>1</v>
      </c>
      <c r="J148" s="4" t="b">
        <v>1</v>
      </c>
      <c r="K148" s="4" t="str">
        <f t="shared" si="4"/>
        <v>Churned</v>
      </c>
      <c r="L148" s="4">
        <f t="shared" si="5"/>
        <v>1</v>
      </c>
    </row>
    <row r="149" spans="1:12" x14ac:dyDescent="0.3">
      <c r="A149" s="4" t="s">
        <v>324</v>
      </c>
      <c r="B149" s="4" t="s">
        <v>325</v>
      </c>
      <c r="C149" s="4" t="s">
        <v>18</v>
      </c>
      <c r="D149" s="4" t="s">
        <v>19</v>
      </c>
      <c r="E149" s="5">
        <v>45388</v>
      </c>
      <c r="F149" s="4" t="s">
        <v>20</v>
      </c>
      <c r="G149" s="4" t="s">
        <v>32</v>
      </c>
      <c r="H149" s="6">
        <v>86</v>
      </c>
      <c r="I149" s="4" t="b">
        <v>0</v>
      </c>
      <c r="J149" s="4" t="b">
        <v>0</v>
      </c>
      <c r="K149" s="4" t="str">
        <f t="shared" si="4"/>
        <v>Active</v>
      </c>
      <c r="L149" s="4">
        <f t="shared" si="5"/>
        <v>0</v>
      </c>
    </row>
    <row r="150" spans="1:12" x14ac:dyDescent="0.3">
      <c r="A150" s="4" t="s">
        <v>326</v>
      </c>
      <c r="B150" s="4" t="s">
        <v>327</v>
      </c>
      <c r="C150" s="4" t="s">
        <v>23</v>
      </c>
      <c r="D150" s="4" t="s">
        <v>13</v>
      </c>
      <c r="E150" s="5">
        <v>45611</v>
      </c>
      <c r="F150" s="4" t="s">
        <v>31</v>
      </c>
      <c r="G150" s="4" t="s">
        <v>39</v>
      </c>
      <c r="H150" s="6">
        <v>33</v>
      </c>
      <c r="I150" s="4" t="b">
        <v>0</v>
      </c>
      <c r="J150" s="4" t="b">
        <v>0</v>
      </c>
      <c r="K150" s="4" t="str">
        <f t="shared" si="4"/>
        <v>Active</v>
      </c>
      <c r="L150" s="4">
        <f t="shared" si="5"/>
        <v>0</v>
      </c>
    </row>
    <row r="151" spans="1:12" x14ac:dyDescent="0.3">
      <c r="A151" s="4" t="s">
        <v>328</v>
      </c>
      <c r="B151" s="4" t="s">
        <v>329</v>
      </c>
      <c r="C151" s="4" t="s">
        <v>23</v>
      </c>
      <c r="D151" s="4" t="s">
        <v>13</v>
      </c>
      <c r="E151" s="5">
        <v>45113</v>
      </c>
      <c r="F151" s="4" t="s">
        <v>14</v>
      </c>
      <c r="G151" s="4" t="s">
        <v>39</v>
      </c>
      <c r="H151" s="6">
        <v>27</v>
      </c>
      <c r="I151" s="4" t="b">
        <v>0</v>
      </c>
      <c r="J151" s="4" t="b">
        <v>1</v>
      </c>
      <c r="K151" s="4" t="str">
        <f t="shared" si="4"/>
        <v>Churned</v>
      </c>
      <c r="L151" s="4">
        <f t="shared" si="5"/>
        <v>1</v>
      </c>
    </row>
    <row r="152" spans="1:12" x14ac:dyDescent="0.3">
      <c r="A152" s="4" t="s">
        <v>330</v>
      </c>
      <c r="B152" s="4" t="s">
        <v>331</v>
      </c>
      <c r="C152" s="4" t="s">
        <v>27</v>
      </c>
      <c r="D152" s="4" t="s">
        <v>19</v>
      </c>
      <c r="E152" s="5">
        <v>45213</v>
      </c>
      <c r="F152" s="4" t="s">
        <v>14</v>
      </c>
      <c r="G152" s="4" t="s">
        <v>32</v>
      </c>
      <c r="H152" s="6">
        <v>30</v>
      </c>
      <c r="I152" s="4" t="b">
        <v>0</v>
      </c>
      <c r="J152" s="4" t="b">
        <v>0</v>
      </c>
      <c r="K152" s="4" t="str">
        <f t="shared" si="4"/>
        <v>Active</v>
      </c>
      <c r="L152" s="4">
        <f t="shared" si="5"/>
        <v>0</v>
      </c>
    </row>
    <row r="153" spans="1:12" x14ac:dyDescent="0.3">
      <c r="A153" s="4" t="s">
        <v>332</v>
      </c>
      <c r="B153" s="4" t="s">
        <v>333</v>
      </c>
      <c r="C153" s="4" t="s">
        <v>27</v>
      </c>
      <c r="D153" s="4" t="s">
        <v>65</v>
      </c>
      <c r="E153" s="5">
        <v>44937</v>
      </c>
      <c r="F153" s="4" t="s">
        <v>24</v>
      </c>
      <c r="G153" s="4" t="s">
        <v>15</v>
      </c>
      <c r="H153" s="6">
        <v>47</v>
      </c>
      <c r="I153" s="4" t="b">
        <v>1</v>
      </c>
      <c r="J153" s="4" t="b">
        <v>0</v>
      </c>
      <c r="K153" s="4" t="str">
        <f t="shared" si="4"/>
        <v>Active</v>
      </c>
      <c r="L153" s="4">
        <f t="shared" si="5"/>
        <v>0</v>
      </c>
    </row>
    <row r="154" spans="1:12" x14ac:dyDescent="0.3">
      <c r="A154" s="4" t="s">
        <v>334</v>
      </c>
      <c r="B154" s="4" t="s">
        <v>335</v>
      </c>
      <c r="C154" s="4" t="s">
        <v>23</v>
      </c>
      <c r="D154" s="4" t="s">
        <v>13</v>
      </c>
      <c r="E154" s="5">
        <v>45343</v>
      </c>
      <c r="F154" s="4" t="s">
        <v>35</v>
      </c>
      <c r="G154" s="4" t="s">
        <v>32</v>
      </c>
      <c r="H154" s="6">
        <v>1</v>
      </c>
      <c r="I154" s="4" t="b">
        <v>0</v>
      </c>
      <c r="J154" s="4" t="b">
        <v>1</v>
      </c>
      <c r="K154" s="4" t="str">
        <f t="shared" si="4"/>
        <v>Churned</v>
      </c>
      <c r="L154" s="4">
        <f t="shared" si="5"/>
        <v>1</v>
      </c>
    </row>
    <row r="155" spans="1:12" x14ac:dyDescent="0.3">
      <c r="A155" s="4" t="s">
        <v>336</v>
      </c>
      <c r="B155" s="4" t="s">
        <v>337</v>
      </c>
      <c r="C155" s="4" t="s">
        <v>23</v>
      </c>
      <c r="D155" s="4" t="s">
        <v>13</v>
      </c>
      <c r="E155" s="5">
        <v>45414</v>
      </c>
      <c r="F155" s="4" t="s">
        <v>24</v>
      </c>
      <c r="G155" s="4" t="s">
        <v>15</v>
      </c>
      <c r="H155" s="6">
        <v>2</v>
      </c>
      <c r="I155" s="4" t="b">
        <v>1</v>
      </c>
      <c r="J155" s="4" t="b">
        <v>0</v>
      </c>
      <c r="K155" s="4" t="str">
        <f t="shared" si="4"/>
        <v>Active</v>
      </c>
      <c r="L155" s="4">
        <f t="shared" si="5"/>
        <v>0</v>
      </c>
    </row>
    <row r="156" spans="1:12" x14ac:dyDescent="0.3">
      <c r="A156" s="4" t="s">
        <v>338</v>
      </c>
      <c r="B156" s="4" t="s">
        <v>339</v>
      </c>
      <c r="C156" s="4" t="s">
        <v>18</v>
      </c>
      <c r="D156" s="4" t="s">
        <v>13</v>
      </c>
      <c r="E156" s="5">
        <v>45228</v>
      </c>
      <c r="F156" s="4" t="s">
        <v>35</v>
      </c>
      <c r="G156" s="4" t="s">
        <v>39</v>
      </c>
      <c r="H156" s="6">
        <v>27</v>
      </c>
      <c r="I156" s="4" t="b">
        <v>0</v>
      </c>
      <c r="J156" s="4" t="b">
        <v>0</v>
      </c>
      <c r="K156" s="4" t="str">
        <f t="shared" si="4"/>
        <v>Active</v>
      </c>
      <c r="L156" s="4">
        <f t="shared" si="5"/>
        <v>0</v>
      </c>
    </row>
    <row r="157" spans="1:12" x14ac:dyDescent="0.3">
      <c r="A157" s="4" t="s">
        <v>340</v>
      </c>
      <c r="B157" s="4" t="s">
        <v>341</v>
      </c>
      <c r="C157" s="4" t="s">
        <v>27</v>
      </c>
      <c r="D157" s="4" t="s">
        <v>13</v>
      </c>
      <c r="E157" s="5">
        <v>45606</v>
      </c>
      <c r="F157" s="4" t="s">
        <v>20</v>
      </c>
      <c r="G157" s="4" t="s">
        <v>32</v>
      </c>
      <c r="H157" s="6">
        <v>9</v>
      </c>
      <c r="I157" s="4" t="b">
        <v>0</v>
      </c>
      <c r="J157" s="4" t="b">
        <v>0</v>
      </c>
      <c r="K157" s="4" t="str">
        <f t="shared" si="4"/>
        <v>Active</v>
      </c>
      <c r="L157" s="4">
        <f t="shared" si="5"/>
        <v>0</v>
      </c>
    </row>
    <row r="158" spans="1:12" x14ac:dyDescent="0.3">
      <c r="A158" s="4" t="s">
        <v>342</v>
      </c>
      <c r="B158" s="4" t="s">
        <v>343</v>
      </c>
      <c r="C158" s="4" t="s">
        <v>23</v>
      </c>
      <c r="D158" s="4" t="s">
        <v>101</v>
      </c>
      <c r="E158" s="5">
        <v>45279</v>
      </c>
      <c r="F158" s="4" t="s">
        <v>20</v>
      </c>
      <c r="G158" s="4" t="s">
        <v>39</v>
      </c>
      <c r="H158" s="6">
        <v>5</v>
      </c>
      <c r="I158" s="4" t="b">
        <v>0</v>
      </c>
      <c r="J158" s="4" t="b">
        <v>1</v>
      </c>
      <c r="K158" s="4" t="str">
        <f t="shared" si="4"/>
        <v>Churned</v>
      </c>
      <c r="L158" s="4">
        <f t="shared" si="5"/>
        <v>1</v>
      </c>
    </row>
    <row r="159" spans="1:12" x14ac:dyDescent="0.3">
      <c r="A159" s="4" t="s">
        <v>344</v>
      </c>
      <c r="B159" s="4" t="s">
        <v>345</v>
      </c>
      <c r="C159" s="4" t="s">
        <v>23</v>
      </c>
      <c r="D159" s="4" t="s">
        <v>13</v>
      </c>
      <c r="E159" s="5">
        <v>45287</v>
      </c>
      <c r="F159" s="4" t="s">
        <v>14</v>
      </c>
      <c r="G159" s="4" t="s">
        <v>15</v>
      </c>
      <c r="H159" s="6">
        <v>70</v>
      </c>
      <c r="I159" s="4" t="b">
        <v>1</v>
      </c>
      <c r="J159" s="4" t="b">
        <v>0</v>
      </c>
      <c r="K159" s="4" t="str">
        <f t="shared" si="4"/>
        <v>Active</v>
      </c>
      <c r="L159" s="4">
        <f t="shared" si="5"/>
        <v>0</v>
      </c>
    </row>
    <row r="160" spans="1:12" x14ac:dyDescent="0.3">
      <c r="A160" s="4" t="s">
        <v>346</v>
      </c>
      <c r="B160" s="4" t="s">
        <v>347</v>
      </c>
      <c r="C160" s="4" t="s">
        <v>18</v>
      </c>
      <c r="D160" s="4" t="s">
        <v>13</v>
      </c>
      <c r="E160" s="5">
        <v>45050</v>
      </c>
      <c r="F160" s="4" t="s">
        <v>20</v>
      </c>
      <c r="G160" s="4" t="s">
        <v>32</v>
      </c>
      <c r="H160" s="6">
        <v>15</v>
      </c>
      <c r="I160" s="4" t="b">
        <v>0</v>
      </c>
      <c r="J160" s="4" t="b">
        <v>1</v>
      </c>
      <c r="K160" s="4" t="str">
        <f t="shared" si="4"/>
        <v>Churned</v>
      </c>
      <c r="L160" s="4">
        <f t="shared" si="5"/>
        <v>1</v>
      </c>
    </row>
    <row r="161" spans="1:12" x14ac:dyDescent="0.3">
      <c r="A161" s="4" t="s">
        <v>348</v>
      </c>
      <c r="B161" s="4" t="s">
        <v>349</v>
      </c>
      <c r="C161" s="4" t="s">
        <v>18</v>
      </c>
      <c r="D161" s="4" t="s">
        <v>13</v>
      </c>
      <c r="E161" s="5">
        <v>45116</v>
      </c>
      <c r="F161" s="4" t="s">
        <v>31</v>
      </c>
      <c r="G161" s="4" t="s">
        <v>39</v>
      </c>
      <c r="H161" s="6">
        <v>16</v>
      </c>
      <c r="I161" s="4" t="b">
        <v>0</v>
      </c>
      <c r="J161" s="4" t="b">
        <v>0</v>
      </c>
      <c r="K161" s="4" t="str">
        <f t="shared" si="4"/>
        <v>Active</v>
      </c>
      <c r="L161" s="4">
        <f t="shared" si="5"/>
        <v>0</v>
      </c>
    </row>
    <row r="162" spans="1:12" x14ac:dyDescent="0.3">
      <c r="A162" s="4" t="s">
        <v>350</v>
      </c>
      <c r="B162" s="4" t="s">
        <v>351</v>
      </c>
      <c r="C162" s="4" t="s">
        <v>27</v>
      </c>
      <c r="D162" s="4" t="s">
        <v>13</v>
      </c>
      <c r="E162" s="5">
        <v>45530</v>
      </c>
      <c r="F162" s="4" t="s">
        <v>24</v>
      </c>
      <c r="G162" s="4" t="s">
        <v>15</v>
      </c>
      <c r="H162" s="6">
        <v>19</v>
      </c>
      <c r="I162" s="4" t="b">
        <v>0</v>
      </c>
      <c r="J162" s="4" t="b">
        <v>0</v>
      </c>
      <c r="K162" s="4" t="str">
        <f t="shared" si="4"/>
        <v>Active</v>
      </c>
      <c r="L162" s="4">
        <f t="shared" si="5"/>
        <v>0</v>
      </c>
    </row>
    <row r="163" spans="1:12" x14ac:dyDescent="0.3">
      <c r="A163" s="4" t="s">
        <v>352</v>
      </c>
      <c r="B163" s="4" t="s">
        <v>353</v>
      </c>
      <c r="C163" s="4" t="s">
        <v>18</v>
      </c>
      <c r="D163" s="4" t="s">
        <v>13</v>
      </c>
      <c r="E163" s="5">
        <v>45230</v>
      </c>
      <c r="F163" s="4" t="s">
        <v>14</v>
      </c>
      <c r="G163" s="4" t="s">
        <v>15</v>
      </c>
      <c r="H163" s="6">
        <v>19</v>
      </c>
      <c r="I163" s="4" t="b">
        <v>0</v>
      </c>
      <c r="J163" s="4" t="b">
        <v>0</v>
      </c>
      <c r="K163" s="4" t="str">
        <f t="shared" si="4"/>
        <v>Active</v>
      </c>
      <c r="L163" s="4">
        <f t="shared" si="5"/>
        <v>0</v>
      </c>
    </row>
    <row r="164" spans="1:12" x14ac:dyDescent="0.3">
      <c r="A164" s="4" t="s">
        <v>354</v>
      </c>
      <c r="B164" s="4" t="s">
        <v>355</v>
      </c>
      <c r="C164" s="4" t="s">
        <v>27</v>
      </c>
      <c r="D164" s="4" t="s">
        <v>13</v>
      </c>
      <c r="E164" s="5">
        <v>45652</v>
      </c>
      <c r="F164" s="4" t="s">
        <v>24</v>
      </c>
      <c r="G164" s="4" t="s">
        <v>15</v>
      </c>
      <c r="H164" s="6">
        <v>1</v>
      </c>
      <c r="I164" s="4" t="b">
        <v>0</v>
      </c>
      <c r="J164" s="4" t="b">
        <v>0</v>
      </c>
      <c r="K164" s="4" t="str">
        <f t="shared" si="4"/>
        <v>Active</v>
      </c>
      <c r="L164" s="4">
        <f t="shared" si="5"/>
        <v>0</v>
      </c>
    </row>
    <row r="165" spans="1:12" x14ac:dyDescent="0.3">
      <c r="A165" s="4" t="s">
        <v>356</v>
      </c>
      <c r="B165" s="4" t="s">
        <v>357</v>
      </c>
      <c r="C165" s="4" t="s">
        <v>38</v>
      </c>
      <c r="D165" s="4" t="s">
        <v>28</v>
      </c>
      <c r="E165" s="5">
        <v>45493</v>
      </c>
      <c r="F165" s="4" t="s">
        <v>35</v>
      </c>
      <c r="G165" s="4" t="s">
        <v>32</v>
      </c>
      <c r="H165" s="6">
        <v>44</v>
      </c>
      <c r="I165" s="4" t="b">
        <v>0</v>
      </c>
      <c r="J165" s="4" t="b">
        <v>0</v>
      </c>
      <c r="K165" s="4" t="str">
        <f t="shared" si="4"/>
        <v>Active</v>
      </c>
      <c r="L165" s="4">
        <f t="shared" si="5"/>
        <v>0</v>
      </c>
    </row>
    <row r="166" spans="1:12" x14ac:dyDescent="0.3">
      <c r="A166" s="4" t="s">
        <v>358</v>
      </c>
      <c r="B166" s="4" t="s">
        <v>359</v>
      </c>
      <c r="C166" s="4" t="s">
        <v>12</v>
      </c>
      <c r="D166" s="4" t="s">
        <v>82</v>
      </c>
      <c r="E166" s="5">
        <v>45429</v>
      </c>
      <c r="F166" s="4" t="s">
        <v>20</v>
      </c>
      <c r="G166" s="4" t="s">
        <v>39</v>
      </c>
      <c r="H166" s="6">
        <v>6</v>
      </c>
      <c r="I166" s="4" t="b">
        <v>0</v>
      </c>
      <c r="J166" s="4" t="b">
        <v>0</v>
      </c>
      <c r="K166" s="4" t="str">
        <f t="shared" si="4"/>
        <v>Active</v>
      </c>
      <c r="L166" s="4">
        <f t="shared" si="5"/>
        <v>0</v>
      </c>
    </row>
    <row r="167" spans="1:12" x14ac:dyDescent="0.3">
      <c r="A167" s="4" t="s">
        <v>360</v>
      </c>
      <c r="B167" s="4" t="s">
        <v>361</v>
      </c>
      <c r="C167" s="4" t="s">
        <v>23</v>
      </c>
      <c r="D167" s="4" t="s">
        <v>13</v>
      </c>
      <c r="E167" s="5">
        <v>45407</v>
      </c>
      <c r="F167" s="4" t="s">
        <v>35</v>
      </c>
      <c r="G167" s="4" t="s">
        <v>15</v>
      </c>
      <c r="H167" s="6">
        <v>8</v>
      </c>
      <c r="I167" s="4" t="b">
        <v>0</v>
      </c>
      <c r="J167" s="4" t="b">
        <v>1</v>
      </c>
      <c r="K167" s="4" t="str">
        <f t="shared" si="4"/>
        <v>Churned</v>
      </c>
      <c r="L167" s="4">
        <f t="shared" si="5"/>
        <v>1</v>
      </c>
    </row>
    <row r="168" spans="1:12" x14ac:dyDescent="0.3">
      <c r="A168" s="4" t="s">
        <v>362</v>
      </c>
      <c r="B168" s="4" t="s">
        <v>363</v>
      </c>
      <c r="C168" s="4" t="s">
        <v>23</v>
      </c>
      <c r="D168" s="4" t="s">
        <v>13</v>
      </c>
      <c r="E168" s="5">
        <v>45185</v>
      </c>
      <c r="F168" s="4" t="s">
        <v>24</v>
      </c>
      <c r="G168" s="4" t="s">
        <v>39</v>
      </c>
      <c r="H168" s="6">
        <v>73</v>
      </c>
      <c r="I168" s="4" t="b">
        <v>0</v>
      </c>
      <c r="J168" s="4" t="b">
        <v>0</v>
      </c>
      <c r="K168" s="4" t="str">
        <f t="shared" si="4"/>
        <v>Active</v>
      </c>
      <c r="L168" s="4">
        <f t="shared" si="5"/>
        <v>0</v>
      </c>
    </row>
    <row r="169" spans="1:12" x14ac:dyDescent="0.3">
      <c r="A169" s="4" t="s">
        <v>364</v>
      </c>
      <c r="B169" s="4" t="s">
        <v>365</v>
      </c>
      <c r="C169" s="4" t="s">
        <v>12</v>
      </c>
      <c r="D169" s="4" t="s">
        <v>13</v>
      </c>
      <c r="E169" s="5">
        <v>45430</v>
      </c>
      <c r="F169" s="4" t="s">
        <v>24</v>
      </c>
      <c r="G169" s="4" t="s">
        <v>15</v>
      </c>
      <c r="H169" s="6">
        <v>15</v>
      </c>
      <c r="I169" s="4" t="b">
        <v>0</v>
      </c>
      <c r="J169" s="4" t="b">
        <v>0</v>
      </c>
      <c r="K169" s="4" t="str">
        <f t="shared" si="4"/>
        <v>Active</v>
      </c>
      <c r="L169" s="4">
        <f t="shared" si="5"/>
        <v>0</v>
      </c>
    </row>
    <row r="170" spans="1:12" x14ac:dyDescent="0.3">
      <c r="A170" s="4" t="s">
        <v>366</v>
      </c>
      <c r="B170" s="4" t="s">
        <v>367</v>
      </c>
      <c r="C170" s="4" t="s">
        <v>27</v>
      </c>
      <c r="D170" s="4" t="s">
        <v>65</v>
      </c>
      <c r="E170" s="5">
        <v>45079</v>
      </c>
      <c r="F170" s="4" t="s">
        <v>24</v>
      </c>
      <c r="G170" s="4" t="s">
        <v>15</v>
      </c>
      <c r="H170" s="6">
        <v>23</v>
      </c>
      <c r="I170" s="4" t="b">
        <v>0</v>
      </c>
      <c r="J170" s="4" t="b">
        <v>0</v>
      </c>
      <c r="K170" s="4" t="str">
        <f t="shared" si="4"/>
        <v>Active</v>
      </c>
      <c r="L170" s="4">
        <f t="shared" si="5"/>
        <v>0</v>
      </c>
    </row>
    <row r="171" spans="1:12" x14ac:dyDescent="0.3">
      <c r="A171" s="4" t="s">
        <v>368</v>
      </c>
      <c r="B171" s="4" t="s">
        <v>369</v>
      </c>
      <c r="C171" s="4" t="s">
        <v>27</v>
      </c>
      <c r="D171" s="4" t="s">
        <v>19</v>
      </c>
      <c r="E171" s="5">
        <v>45048</v>
      </c>
      <c r="F171" s="4" t="s">
        <v>20</v>
      </c>
      <c r="G171" s="4" t="s">
        <v>32</v>
      </c>
      <c r="H171" s="6">
        <v>34</v>
      </c>
      <c r="I171" s="4" t="b">
        <v>0</v>
      </c>
      <c r="J171" s="4" t="b">
        <v>0</v>
      </c>
      <c r="K171" s="4" t="str">
        <f t="shared" si="4"/>
        <v>Active</v>
      </c>
      <c r="L171" s="4">
        <f t="shared" si="5"/>
        <v>0</v>
      </c>
    </row>
    <row r="172" spans="1:12" x14ac:dyDescent="0.3">
      <c r="A172" s="4" t="s">
        <v>370</v>
      </c>
      <c r="B172" s="4" t="s">
        <v>371</v>
      </c>
      <c r="C172" s="4" t="s">
        <v>18</v>
      </c>
      <c r="D172" s="4" t="s">
        <v>19</v>
      </c>
      <c r="E172" s="5">
        <v>45560</v>
      </c>
      <c r="F172" s="4" t="s">
        <v>31</v>
      </c>
      <c r="G172" s="4" t="s">
        <v>39</v>
      </c>
      <c r="H172" s="6">
        <v>19</v>
      </c>
      <c r="I172" s="4" t="b">
        <v>0</v>
      </c>
      <c r="J172" s="4" t="b">
        <v>0</v>
      </c>
      <c r="K172" s="4" t="str">
        <f t="shared" si="4"/>
        <v>Active</v>
      </c>
      <c r="L172" s="4">
        <f t="shared" si="5"/>
        <v>0</v>
      </c>
    </row>
    <row r="173" spans="1:12" x14ac:dyDescent="0.3">
      <c r="A173" s="4" t="s">
        <v>372</v>
      </c>
      <c r="B173" s="4" t="s">
        <v>373</v>
      </c>
      <c r="C173" s="4" t="s">
        <v>38</v>
      </c>
      <c r="D173" s="4" t="s">
        <v>82</v>
      </c>
      <c r="E173" s="5">
        <v>45380</v>
      </c>
      <c r="F173" s="4" t="s">
        <v>31</v>
      </c>
      <c r="G173" s="4" t="s">
        <v>39</v>
      </c>
      <c r="H173" s="6">
        <v>40</v>
      </c>
      <c r="I173" s="4" t="b">
        <v>1</v>
      </c>
      <c r="J173" s="4" t="b">
        <v>1</v>
      </c>
      <c r="K173" s="4" t="str">
        <f t="shared" si="4"/>
        <v>Churned</v>
      </c>
      <c r="L173" s="4">
        <f t="shared" si="5"/>
        <v>1</v>
      </c>
    </row>
    <row r="174" spans="1:12" x14ac:dyDescent="0.3">
      <c r="A174" s="4" t="s">
        <v>374</v>
      </c>
      <c r="B174" s="4" t="s">
        <v>375</v>
      </c>
      <c r="C174" s="4" t="s">
        <v>27</v>
      </c>
      <c r="D174" s="4" t="s">
        <v>13</v>
      </c>
      <c r="E174" s="5">
        <v>45509</v>
      </c>
      <c r="F174" s="4" t="s">
        <v>24</v>
      </c>
      <c r="G174" s="4" t="s">
        <v>15</v>
      </c>
      <c r="H174" s="6">
        <v>9</v>
      </c>
      <c r="I174" s="4" t="b">
        <v>0</v>
      </c>
      <c r="J174" s="4" t="b">
        <v>0</v>
      </c>
      <c r="K174" s="4" t="str">
        <f t="shared" si="4"/>
        <v>Active</v>
      </c>
      <c r="L174" s="4">
        <f t="shared" si="5"/>
        <v>0</v>
      </c>
    </row>
    <row r="175" spans="1:12" x14ac:dyDescent="0.3">
      <c r="A175" s="4" t="s">
        <v>376</v>
      </c>
      <c r="B175" s="4" t="s">
        <v>377</v>
      </c>
      <c r="C175" s="4" t="s">
        <v>18</v>
      </c>
      <c r="D175" s="4" t="s">
        <v>13</v>
      </c>
      <c r="E175" s="5">
        <v>45567</v>
      </c>
      <c r="F175" s="4" t="s">
        <v>24</v>
      </c>
      <c r="G175" s="4" t="s">
        <v>15</v>
      </c>
      <c r="H175" s="6">
        <v>3</v>
      </c>
      <c r="I175" s="4" t="b">
        <v>0</v>
      </c>
      <c r="J175" s="4" t="b">
        <v>0</v>
      </c>
      <c r="K175" s="4" t="str">
        <f t="shared" si="4"/>
        <v>Active</v>
      </c>
      <c r="L175" s="4">
        <f t="shared" si="5"/>
        <v>0</v>
      </c>
    </row>
    <row r="176" spans="1:12" x14ac:dyDescent="0.3">
      <c r="A176" s="4" t="s">
        <v>378</v>
      </c>
      <c r="B176" s="4" t="s">
        <v>379</v>
      </c>
      <c r="C176" s="4" t="s">
        <v>18</v>
      </c>
      <c r="D176" s="4" t="s">
        <v>13</v>
      </c>
      <c r="E176" s="5">
        <v>45172</v>
      </c>
      <c r="F176" s="4" t="s">
        <v>35</v>
      </c>
      <c r="G176" s="4" t="s">
        <v>15</v>
      </c>
      <c r="H176" s="6">
        <v>70</v>
      </c>
      <c r="I176" s="4" t="b">
        <v>0</v>
      </c>
      <c r="J176" s="4" t="b">
        <v>0</v>
      </c>
      <c r="K176" s="4" t="str">
        <f t="shared" si="4"/>
        <v>Active</v>
      </c>
      <c r="L176" s="4">
        <f t="shared" si="5"/>
        <v>0</v>
      </c>
    </row>
    <row r="177" spans="1:12" x14ac:dyDescent="0.3">
      <c r="A177" s="4" t="s">
        <v>380</v>
      </c>
      <c r="B177" s="4" t="s">
        <v>381</v>
      </c>
      <c r="C177" s="4" t="s">
        <v>23</v>
      </c>
      <c r="D177" s="4" t="s">
        <v>28</v>
      </c>
      <c r="E177" s="5">
        <v>45345</v>
      </c>
      <c r="F177" s="4" t="s">
        <v>31</v>
      </c>
      <c r="G177" s="4" t="s">
        <v>39</v>
      </c>
      <c r="H177" s="6">
        <v>12</v>
      </c>
      <c r="I177" s="4" t="b">
        <v>0</v>
      </c>
      <c r="J177" s="4" t="b">
        <v>0</v>
      </c>
      <c r="K177" s="4" t="str">
        <f t="shared" si="4"/>
        <v>Active</v>
      </c>
      <c r="L177" s="4">
        <f t="shared" si="5"/>
        <v>0</v>
      </c>
    </row>
    <row r="178" spans="1:12" x14ac:dyDescent="0.3">
      <c r="A178" s="4" t="s">
        <v>382</v>
      </c>
      <c r="B178" s="4" t="s">
        <v>383</v>
      </c>
      <c r="C178" s="4" t="s">
        <v>18</v>
      </c>
      <c r="D178" s="4" t="s">
        <v>13</v>
      </c>
      <c r="E178" s="5">
        <v>44960</v>
      </c>
      <c r="F178" s="4" t="s">
        <v>14</v>
      </c>
      <c r="G178" s="4" t="s">
        <v>32</v>
      </c>
      <c r="H178" s="6">
        <v>1</v>
      </c>
      <c r="I178" s="4" t="b">
        <v>0</v>
      </c>
      <c r="J178" s="4" t="b">
        <v>0</v>
      </c>
      <c r="K178" s="4" t="str">
        <f t="shared" si="4"/>
        <v>Active</v>
      </c>
      <c r="L178" s="4">
        <f t="shared" si="5"/>
        <v>0</v>
      </c>
    </row>
    <row r="179" spans="1:12" x14ac:dyDescent="0.3">
      <c r="A179" s="4" t="s">
        <v>384</v>
      </c>
      <c r="B179" s="4" t="s">
        <v>385</v>
      </c>
      <c r="C179" s="4" t="s">
        <v>12</v>
      </c>
      <c r="D179" s="4" t="s">
        <v>28</v>
      </c>
      <c r="E179" s="5">
        <v>45391</v>
      </c>
      <c r="F179" s="4" t="s">
        <v>14</v>
      </c>
      <c r="G179" s="4" t="s">
        <v>32</v>
      </c>
      <c r="H179" s="6">
        <v>163</v>
      </c>
      <c r="I179" s="4" t="b">
        <v>0</v>
      </c>
      <c r="J179" s="4" t="b">
        <v>0</v>
      </c>
      <c r="K179" s="4" t="str">
        <f t="shared" si="4"/>
        <v>Active</v>
      </c>
      <c r="L179" s="4">
        <f t="shared" si="5"/>
        <v>0</v>
      </c>
    </row>
    <row r="180" spans="1:12" x14ac:dyDescent="0.3">
      <c r="A180" s="4" t="s">
        <v>386</v>
      </c>
      <c r="B180" s="4" t="s">
        <v>387</v>
      </c>
      <c r="C180" s="4" t="s">
        <v>18</v>
      </c>
      <c r="D180" s="4" t="s">
        <v>13</v>
      </c>
      <c r="E180" s="5">
        <v>45530</v>
      </c>
      <c r="F180" s="4" t="s">
        <v>20</v>
      </c>
      <c r="G180" s="4" t="s">
        <v>15</v>
      </c>
      <c r="H180" s="6">
        <v>29</v>
      </c>
      <c r="I180" s="4" t="b">
        <v>0</v>
      </c>
      <c r="J180" s="4" t="b">
        <v>0</v>
      </c>
      <c r="K180" s="4" t="str">
        <f t="shared" si="4"/>
        <v>Active</v>
      </c>
      <c r="L180" s="4">
        <f t="shared" si="5"/>
        <v>0</v>
      </c>
    </row>
    <row r="181" spans="1:12" x14ac:dyDescent="0.3">
      <c r="A181" s="4" t="s">
        <v>388</v>
      </c>
      <c r="B181" s="4" t="s">
        <v>389</v>
      </c>
      <c r="C181" s="4" t="s">
        <v>18</v>
      </c>
      <c r="D181" s="4" t="s">
        <v>65</v>
      </c>
      <c r="E181" s="5">
        <v>45590</v>
      </c>
      <c r="F181" s="4" t="s">
        <v>35</v>
      </c>
      <c r="G181" s="4" t="s">
        <v>15</v>
      </c>
      <c r="H181" s="6">
        <v>5</v>
      </c>
      <c r="I181" s="4" t="b">
        <v>0</v>
      </c>
      <c r="J181" s="4" t="b">
        <v>1</v>
      </c>
      <c r="K181" s="4" t="str">
        <f t="shared" si="4"/>
        <v>Churned</v>
      </c>
      <c r="L181" s="4">
        <f t="shared" si="5"/>
        <v>1</v>
      </c>
    </row>
    <row r="182" spans="1:12" x14ac:dyDescent="0.3">
      <c r="A182" s="4" t="s">
        <v>390</v>
      </c>
      <c r="B182" s="4" t="s">
        <v>391</v>
      </c>
      <c r="C182" s="4" t="s">
        <v>18</v>
      </c>
      <c r="D182" s="4" t="s">
        <v>19</v>
      </c>
      <c r="E182" s="5">
        <v>44988</v>
      </c>
      <c r="F182" s="4" t="s">
        <v>20</v>
      </c>
      <c r="G182" s="4" t="s">
        <v>32</v>
      </c>
      <c r="H182" s="6">
        <v>61</v>
      </c>
      <c r="I182" s="4" t="b">
        <v>0</v>
      </c>
      <c r="J182" s="4" t="b">
        <v>0</v>
      </c>
      <c r="K182" s="4" t="str">
        <f t="shared" si="4"/>
        <v>Active</v>
      </c>
      <c r="L182" s="4">
        <f t="shared" si="5"/>
        <v>0</v>
      </c>
    </row>
    <row r="183" spans="1:12" x14ac:dyDescent="0.3">
      <c r="A183" s="4" t="s">
        <v>392</v>
      </c>
      <c r="B183" s="4" t="s">
        <v>393</v>
      </c>
      <c r="C183" s="4" t="s">
        <v>38</v>
      </c>
      <c r="D183" s="4" t="s">
        <v>13</v>
      </c>
      <c r="E183" s="5">
        <v>45509</v>
      </c>
      <c r="F183" s="4" t="s">
        <v>31</v>
      </c>
      <c r="G183" s="4" t="s">
        <v>32</v>
      </c>
      <c r="H183" s="6">
        <v>22</v>
      </c>
      <c r="I183" s="4" t="b">
        <v>0</v>
      </c>
      <c r="J183" s="4" t="b">
        <v>0</v>
      </c>
      <c r="K183" s="4" t="str">
        <f t="shared" si="4"/>
        <v>Active</v>
      </c>
      <c r="L183" s="4">
        <f t="shared" si="5"/>
        <v>0</v>
      </c>
    </row>
    <row r="184" spans="1:12" x14ac:dyDescent="0.3">
      <c r="A184" s="4" t="s">
        <v>394</v>
      </c>
      <c r="B184" s="4" t="s">
        <v>395</v>
      </c>
      <c r="C184" s="4" t="s">
        <v>23</v>
      </c>
      <c r="D184" s="4" t="s">
        <v>65</v>
      </c>
      <c r="E184" s="5">
        <v>45238</v>
      </c>
      <c r="F184" s="4" t="s">
        <v>20</v>
      </c>
      <c r="G184" s="4" t="s">
        <v>32</v>
      </c>
      <c r="H184" s="6">
        <v>2</v>
      </c>
      <c r="I184" s="4" t="b">
        <v>0</v>
      </c>
      <c r="J184" s="4" t="b">
        <v>0</v>
      </c>
      <c r="K184" s="4" t="str">
        <f t="shared" si="4"/>
        <v>Active</v>
      </c>
      <c r="L184" s="4">
        <f t="shared" si="5"/>
        <v>0</v>
      </c>
    </row>
    <row r="185" spans="1:12" x14ac:dyDescent="0.3">
      <c r="A185" s="4" t="s">
        <v>396</v>
      </c>
      <c r="B185" s="4" t="s">
        <v>397</v>
      </c>
      <c r="C185" s="4" t="s">
        <v>23</v>
      </c>
      <c r="D185" s="4" t="s">
        <v>13</v>
      </c>
      <c r="E185" s="5">
        <v>45432</v>
      </c>
      <c r="F185" s="4" t="s">
        <v>24</v>
      </c>
      <c r="G185" s="4" t="s">
        <v>39</v>
      </c>
      <c r="H185" s="6">
        <v>29</v>
      </c>
      <c r="I185" s="4" t="b">
        <v>0</v>
      </c>
      <c r="J185" s="4" t="b">
        <v>0</v>
      </c>
      <c r="K185" s="4" t="str">
        <f t="shared" si="4"/>
        <v>Active</v>
      </c>
      <c r="L185" s="4">
        <f t="shared" si="5"/>
        <v>0</v>
      </c>
    </row>
    <row r="186" spans="1:12" x14ac:dyDescent="0.3">
      <c r="A186" s="4" t="s">
        <v>398</v>
      </c>
      <c r="B186" s="4" t="s">
        <v>399</v>
      </c>
      <c r="C186" s="4" t="s">
        <v>27</v>
      </c>
      <c r="D186" s="4" t="s">
        <v>13</v>
      </c>
      <c r="E186" s="5">
        <v>45257</v>
      </c>
      <c r="F186" s="4" t="s">
        <v>24</v>
      </c>
      <c r="G186" s="4" t="s">
        <v>15</v>
      </c>
      <c r="H186" s="6">
        <v>16</v>
      </c>
      <c r="I186" s="4" t="b">
        <v>0</v>
      </c>
      <c r="J186" s="4" t="b">
        <v>0</v>
      </c>
      <c r="K186" s="4" t="str">
        <f t="shared" si="4"/>
        <v>Active</v>
      </c>
      <c r="L186" s="4">
        <f t="shared" si="5"/>
        <v>0</v>
      </c>
    </row>
    <row r="187" spans="1:12" x14ac:dyDescent="0.3">
      <c r="A187" s="4" t="s">
        <v>400</v>
      </c>
      <c r="B187" s="4" t="s">
        <v>401</v>
      </c>
      <c r="C187" s="4" t="s">
        <v>27</v>
      </c>
      <c r="D187" s="4" t="s">
        <v>13</v>
      </c>
      <c r="E187" s="5">
        <v>45617</v>
      </c>
      <c r="F187" s="4" t="s">
        <v>24</v>
      </c>
      <c r="G187" s="4" t="s">
        <v>32</v>
      </c>
      <c r="H187" s="6">
        <v>10</v>
      </c>
      <c r="I187" s="4" t="b">
        <v>1</v>
      </c>
      <c r="J187" s="4" t="b">
        <v>1</v>
      </c>
      <c r="K187" s="4" t="str">
        <f t="shared" si="4"/>
        <v>Churned</v>
      </c>
      <c r="L187" s="4">
        <f t="shared" si="5"/>
        <v>1</v>
      </c>
    </row>
    <row r="188" spans="1:12" x14ac:dyDescent="0.3">
      <c r="A188" s="4" t="s">
        <v>402</v>
      </c>
      <c r="B188" s="4" t="s">
        <v>403</v>
      </c>
      <c r="C188" s="4" t="s">
        <v>27</v>
      </c>
      <c r="D188" s="4" t="s">
        <v>13</v>
      </c>
      <c r="E188" s="5">
        <v>45202</v>
      </c>
      <c r="F188" s="4" t="s">
        <v>35</v>
      </c>
      <c r="G188" s="4" t="s">
        <v>39</v>
      </c>
      <c r="H188" s="6">
        <v>28</v>
      </c>
      <c r="I188" s="4" t="b">
        <v>0</v>
      </c>
      <c r="J188" s="4" t="b">
        <v>0</v>
      </c>
      <c r="K188" s="4" t="str">
        <f t="shared" si="4"/>
        <v>Active</v>
      </c>
      <c r="L188" s="4">
        <f t="shared" si="5"/>
        <v>0</v>
      </c>
    </row>
    <row r="189" spans="1:12" x14ac:dyDescent="0.3">
      <c r="A189" s="4" t="s">
        <v>404</v>
      </c>
      <c r="B189" s="4" t="s">
        <v>405</v>
      </c>
      <c r="C189" s="4" t="s">
        <v>23</v>
      </c>
      <c r="D189" s="4" t="s">
        <v>65</v>
      </c>
      <c r="E189" s="5">
        <v>45458</v>
      </c>
      <c r="F189" s="4" t="s">
        <v>35</v>
      </c>
      <c r="G189" s="4" t="s">
        <v>32</v>
      </c>
      <c r="H189" s="6">
        <v>4</v>
      </c>
      <c r="I189" s="4" t="b">
        <v>1</v>
      </c>
      <c r="J189" s="4" t="b">
        <v>1</v>
      </c>
      <c r="K189" s="4" t="str">
        <f t="shared" si="4"/>
        <v>Churned</v>
      </c>
      <c r="L189" s="4">
        <f t="shared" si="5"/>
        <v>1</v>
      </c>
    </row>
    <row r="190" spans="1:12" x14ac:dyDescent="0.3">
      <c r="A190" s="4" t="s">
        <v>406</v>
      </c>
      <c r="B190" s="4" t="s">
        <v>407</v>
      </c>
      <c r="C190" s="4" t="s">
        <v>23</v>
      </c>
      <c r="D190" s="4" t="s">
        <v>101</v>
      </c>
      <c r="E190" s="5">
        <v>45373</v>
      </c>
      <c r="F190" s="4" t="s">
        <v>31</v>
      </c>
      <c r="G190" s="4" t="s">
        <v>39</v>
      </c>
      <c r="H190" s="6">
        <v>8</v>
      </c>
      <c r="I190" s="4" t="b">
        <v>0</v>
      </c>
      <c r="J190" s="4" t="b">
        <v>0</v>
      </c>
      <c r="K190" s="4" t="str">
        <f t="shared" si="4"/>
        <v>Active</v>
      </c>
      <c r="L190" s="4">
        <f t="shared" si="5"/>
        <v>0</v>
      </c>
    </row>
    <row r="191" spans="1:12" x14ac:dyDescent="0.3">
      <c r="A191" s="4" t="s">
        <v>408</v>
      </c>
      <c r="B191" s="4" t="s">
        <v>409</v>
      </c>
      <c r="C191" s="4" t="s">
        <v>38</v>
      </c>
      <c r="D191" s="4" t="s">
        <v>13</v>
      </c>
      <c r="E191" s="5">
        <v>45345</v>
      </c>
      <c r="F191" s="4" t="s">
        <v>24</v>
      </c>
      <c r="G191" s="4" t="s">
        <v>15</v>
      </c>
      <c r="H191" s="6">
        <v>11</v>
      </c>
      <c r="I191" s="4" t="b">
        <v>0</v>
      </c>
      <c r="J191" s="4" t="b">
        <v>0</v>
      </c>
      <c r="K191" s="4" t="str">
        <f t="shared" si="4"/>
        <v>Active</v>
      </c>
      <c r="L191" s="4">
        <f t="shared" si="5"/>
        <v>0</v>
      </c>
    </row>
    <row r="192" spans="1:12" x14ac:dyDescent="0.3">
      <c r="A192" s="4" t="s">
        <v>410</v>
      </c>
      <c r="B192" s="4" t="s">
        <v>411</v>
      </c>
      <c r="C192" s="4" t="s">
        <v>23</v>
      </c>
      <c r="D192" s="4" t="s">
        <v>28</v>
      </c>
      <c r="E192" s="5">
        <v>45264</v>
      </c>
      <c r="F192" s="4" t="s">
        <v>14</v>
      </c>
      <c r="G192" s="4" t="s">
        <v>32</v>
      </c>
      <c r="H192" s="6">
        <v>14</v>
      </c>
      <c r="I192" s="4" t="b">
        <v>0</v>
      </c>
      <c r="J192" s="4" t="b">
        <v>0</v>
      </c>
      <c r="K192" s="4" t="str">
        <f t="shared" si="4"/>
        <v>Active</v>
      </c>
      <c r="L192" s="4">
        <f t="shared" si="5"/>
        <v>0</v>
      </c>
    </row>
    <row r="193" spans="1:12" x14ac:dyDescent="0.3">
      <c r="A193" s="4" t="s">
        <v>412</v>
      </c>
      <c r="B193" s="4" t="s">
        <v>413</v>
      </c>
      <c r="C193" s="4" t="s">
        <v>27</v>
      </c>
      <c r="D193" s="4" t="s">
        <v>13</v>
      </c>
      <c r="E193" s="5">
        <v>45337</v>
      </c>
      <c r="F193" s="4" t="s">
        <v>24</v>
      </c>
      <c r="G193" s="4" t="s">
        <v>39</v>
      </c>
      <c r="H193" s="6">
        <v>19</v>
      </c>
      <c r="I193" s="4" t="b">
        <v>0</v>
      </c>
      <c r="J193" s="4" t="b">
        <v>0</v>
      </c>
      <c r="K193" s="4" t="str">
        <f t="shared" si="4"/>
        <v>Active</v>
      </c>
      <c r="L193" s="4">
        <f t="shared" si="5"/>
        <v>0</v>
      </c>
    </row>
    <row r="194" spans="1:12" x14ac:dyDescent="0.3">
      <c r="A194" s="4" t="s">
        <v>414</v>
      </c>
      <c r="B194" s="4" t="s">
        <v>415</v>
      </c>
      <c r="C194" s="4" t="s">
        <v>38</v>
      </c>
      <c r="D194" s="4" t="s">
        <v>13</v>
      </c>
      <c r="E194" s="5">
        <v>45185</v>
      </c>
      <c r="F194" s="4" t="s">
        <v>31</v>
      </c>
      <c r="G194" s="4" t="s">
        <v>32</v>
      </c>
      <c r="H194" s="6">
        <v>3</v>
      </c>
      <c r="I194" s="4" t="b">
        <v>0</v>
      </c>
      <c r="J194" s="4" t="b">
        <v>0</v>
      </c>
      <c r="K194" s="4" t="str">
        <f t="shared" si="4"/>
        <v>Active</v>
      </c>
      <c r="L194" s="4">
        <f t="shared" si="5"/>
        <v>0</v>
      </c>
    </row>
    <row r="195" spans="1:12" x14ac:dyDescent="0.3">
      <c r="A195" s="4" t="s">
        <v>416</v>
      </c>
      <c r="B195" s="4" t="s">
        <v>417</v>
      </c>
      <c r="C195" s="4" t="s">
        <v>27</v>
      </c>
      <c r="D195" s="4" t="s">
        <v>13</v>
      </c>
      <c r="E195" s="5">
        <v>44928</v>
      </c>
      <c r="F195" s="4" t="s">
        <v>24</v>
      </c>
      <c r="G195" s="4" t="s">
        <v>15</v>
      </c>
      <c r="H195" s="6">
        <v>5</v>
      </c>
      <c r="I195" s="4" t="b">
        <v>0</v>
      </c>
      <c r="J195" s="4" t="b">
        <v>0</v>
      </c>
      <c r="K195" s="4" t="str">
        <f t="shared" ref="K195:K258" si="6">IF(J195=TRUE,"Churned","Active")</f>
        <v>Active</v>
      </c>
      <c r="L195" s="4">
        <f t="shared" ref="L195:L258" si="7">IF(J195=TRUE,1,0)</f>
        <v>0</v>
      </c>
    </row>
    <row r="196" spans="1:12" x14ac:dyDescent="0.3">
      <c r="A196" s="4" t="s">
        <v>418</v>
      </c>
      <c r="B196" s="4" t="s">
        <v>419</v>
      </c>
      <c r="C196" s="4" t="s">
        <v>38</v>
      </c>
      <c r="D196" s="4" t="s">
        <v>28</v>
      </c>
      <c r="E196" s="5">
        <v>45457</v>
      </c>
      <c r="F196" s="4" t="s">
        <v>31</v>
      </c>
      <c r="G196" s="4" t="s">
        <v>32</v>
      </c>
      <c r="H196" s="6">
        <v>13</v>
      </c>
      <c r="I196" s="4" t="b">
        <v>0</v>
      </c>
      <c r="J196" s="4" t="b">
        <v>0</v>
      </c>
      <c r="K196" s="4" t="str">
        <f t="shared" si="6"/>
        <v>Active</v>
      </c>
      <c r="L196" s="4">
        <f t="shared" si="7"/>
        <v>0</v>
      </c>
    </row>
    <row r="197" spans="1:12" x14ac:dyDescent="0.3">
      <c r="A197" s="4" t="s">
        <v>420</v>
      </c>
      <c r="B197" s="4" t="s">
        <v>421</v>
      </c>
      <c r="C197" s="4" t="s">
        <v>12</v>
      </c>
      <c r="D197" s="4" t="s">
        <v>13</v>
      </c>
      <c r="E197" s="5">
        <v>45379</v>
      </c>
      <c r="F197" s="4" t="s">
        <v>20</v>
      </c>
      <c r="G197" s="4" t="s">
        <v>15</v>
      </c>
      <c r="H197" s="6">
        <v>5</v>
      </c>
      <c r="I197" s="4" t="b">
        <v>1</v>
      </c>
      <c r="J197" s="4" t="b">
        <v>1</v>
      </c>
      <c r="K197" s="4" t="str">
        <f t="shared" si="6"/>
        <v>Churned</v>
      </c>
      <c r="L197" s="4">
        <f t="shared" si="7"/>
        <v>1</v>
      </c>
    </row>
    <row r="198" spans="1:12" x14ac:dyDescent="0.3">
      <c r="A198" s="4" t="s">
        <v>422</v>
      </c>
      <c r="B198" s="4" t="s">
        <v>423</v>
      </c>
      <c r="C198" s="4" t="s">
        <v>23</v>
      </c>
      <c r="D198" s="4" t="s">
        <v>82</v>
      </c>
      <c r="E198" s="5">
        <v>45221</v>
      </c>
      <c r="F198" s="4" t="s">
        <v>31</v>
      </c>
      <c r="G198" s="4" t="s">
        <v>15</v>
      </c>
      <c r="H198" s="6">
        <v>2</v>
      </c>
      <c r="I198" s="4" t="b">
        <v>0</v>
      </c>
      <c r="J198" s="4" t="b">
        <v>1</v>
      </c>
      <c r="K198" s="4" t="str">
        <f t="shared" si="6"/>
        <v>Churned</v>
      </c>
      <c r="L198" s="4">
        <f t="shared" si="7"/>
        <v>1</v>
      </c>
    </row>
    <row r="199" spans="1:12" x14ac:dyDescent="0.3">
      <c r="A199" s="4" t="s">
        <v>424</v>
      </c>
      <c r="B199" s="4" t="s">
        <v>425</v>
      </c>
      <c r="C199" s="4" t="s">
        <v>27</v>
      </c>
      <c r="D199" s="4" t="s">
        <v>19</v>
      </c>
      <c r="E199" s="5">
        <v>44956</v>
      </c>
      <c r="F199" s="4" t="s">
        <v>35</v>
      </c>
      <c r="G199" s="4" t="s">
        <v>39</v>
      </c>
      <c r="H199" s="6">
        <v>20</v>
      </c>
      <c r="I199" s="4" t="b">
        <v>0</v>
      </c>
      <c r="J199" s="4" t="b">
        <v>0</v>
      </c>
      <c r="K199" s="4" t="str">
        <f t="shared" si="6"/>
        <v>Active</v>
      </c>
      <c r="L199" s="4">
        <f t="shared" si="7"/>
        <v>0</v>
      </c>
    </row>
    <row r="200" spans="1:12" x14ac:dyDescent="0.3">
      <c r="A200" s="4" t="s">
        <v>426</v>
      </c>
      <c r="B200" s="4" t="s">
        <v>427</v>
      </c>
      <c r="C200" s="4" t="s">
        <v>12</v>
      </c>
      <c r="D200" s="4" t="s">
        <v>13</v>
      </c>
      <c r="E200" s="5">
        <v>45491</v>
      </c>
      <c r="F200" s="4" t="s">
        <v>24</v>
      </c>
      <c r="G200" s="4" t="s">
        <v>15</v>
      </c>
      <c r="H200" s="6">
        <v>45</v>
      </c>
      <c r="I200" s="4" t="b">
        <v>0</v>
      </c>
      <c r="J200" s="4" t="b">
        <v>0</v>
      </c>
      <c r="K200" s="4" t="str">
        <f t="shared" si="6"/>
        <v>Active</v>
      </c>
      <c r="L200" s="4">
        <f t="shared" si="7"/>
        <v>0</v>
      </c>
    </row>
    <row r="201" spans="1:12" x14ac:dyDescent="0.3">
      <c r="A201" s="4" t="s">
        <v>428</v>
      </c>
      <c r="B201" s="4" t="s">
        <v>429</v>
      </c>
      <c r="C201" s="4" t="s">
        <v>23</v>
      </c>
      <c r="D201" s="4" t="s">
        <v>65</v>
      </c>
      <c r="E201" s="5">
        <v>45043</v>
      </c>
      <c r="F201" s="4" t="s">
        <v>35</v>
      </c>
      <c r="G201" s="4" t="s">
        <v>39</v>
      </c>
      <c r="H201" s="6">
        <v>3</v>
      </c>
      <c r="I201" s="4" t="b">
        <v>0</v>
      </c>
      <c r="J201" s="4" t="b">
        <v>1</v>
      </c>
      <c r="K201" s="4" t="str">
        <f t="shared" si="6"/>
        <v>Churned</v>
      </c>
      <c r="L201" s="4">
        <f t="shared" si="7"/>
        <v>1</v>
      </c>
    </row>
    <row r="202" spans="1:12" x14ac:dyDescent="0.3">
      <c r="A202" s="4" t="s">
        <v>430</v>
      </c>
      <c r="B202" s="4" t="s">
        <v>431</v>
      </c>
      <c r="C202" s="4" t="s">
        <v>27</v>
      </c>
      <c r="D202" s="4" t="s">
        <v>19</v>
      </c>
      <c r="E202" s="5">
        <v>45225</v>
      </c>
      <c r="F202" s="4" t="s">
        <v>31</v>
      </c>
      <c r="G202" s="4" t="s">
        <v>39</v>
      </c>
      <c r="H202" s="6">
        <v>3</v>
      </c>
      <c r="I202" s="4" t="b">
        <v>0</v>
      </c>
      <c r="J202" s="4" t="b">
        <v>1</v>
      </c>
      <c r="K202" s="4" t="str">
        <f t="shared" si="6"/>
        <v>Churned</v>
      </c>
      <c r="L202" s="4">
        <f t="shared" si="7"/>
        <v>1</v>
      </c>
    </row>
    <row r="203" spans="1:12" x14ac:dyDescent="0.3">
      <c r="A203" s="4" t="s">
        <v>432</v>
      </c>
      <c r="B203" s="4" t="s">
        <v>433</v>
      </c>
      <c r="C203" s="4" t="s">
        <v>18</v>
      </c>
      <c r="D203" s="4" t="s">
        <v>13</v>
      </c>
      <c r="E203" s="5">
        <v>45410</v>
      </c>
      <c r="F203" s="4" t="s">
        <v>35</v>
      </c>
      <c r="G203" s="4" t="s">
        <v>39</v>
      </c>
      <c r="H203" s="6">
        <v>1</v>
      </c>
      <c r="I203" s="4" t="b">
        <v>1</v>
      </c>
      <c r="J203" s="4" t="b">
        <v>0</v>
      </c>
      <c r="K203" s="4" t="str">
        <f t="shared" si="6"/>
        <v>Active</v>
      </c>
      <c r="L203" s="4">
        <f t="shared" si="7"/>
        <v>0</v>
      </c>
    </row>
    <row r="204" spans="1:12" x14ac:dyDescent="0.3">
      <c r="A204" s="4" t="s">
        <v>434</v>
      </c>
      <c r="B204" s="4" t="s">
        <v>435</v>
      </c>
      <c r="C204" s="4" t="s">
        <v>27</v>
      </c>
      <c r="D204" s="4" t="s">
        <v>13</v>
      </c>
      <c r="E204" s="5">
        <v>45122</v>
      </c>
      <c r="F204" s="4" t="s">
        <v>35</v>
      </c>
      <c r="G204" s="4" t="s">
        <v>15</v>
      </c>
      <c r="H204" s="6">
        <v>4</v>
      </c>
      <c r="I204" s="4" t="b">
        <v>0</v>
      </c>
      <c r="J204" s="4" t="b">
        <v>0</v>
      </c>
      <c r="K204" s="4" t="str">
        <f t="shared" si="6"/>
        <v>Active</v>
      </c>
      <c r="L204" s="4">
        <f t="shared" si="7"/>
        <v>0</v>
      </c>
    </row>
    <row r="205" spans="1:12" x14ac:dyDescent="0.3">
      <c r="A205" s="4" t="s">
        <v>436</v>
      </c>
      <c r="B205" s="4" t="s">
        <v>437</v>
      </c>
      <c r="C205" s="4" t="s">
        <v>23</v>
      </c>
      <c r="D205" s="4" t="s">
        <v>13</v>
      </c>
      <c r="E205" s="5">
        <v>45209</v>
      </c>
      <c r="F205" s="4" t="s">
        <v>20</v>
      </c>
      <c r="G205" s="4" t="s">
        <v>39</v>
      </c>
      <c r="H205" s="6">
        <v>23</v>
      </c>
      <c r="I205" s="4" t="b">
        <v>1</v>
      </c>
      <c r="J205" s="4" t="b">
        <v>0</v>
      </c>
      <c r="K205" s="4" t="str">
        <f t="shared" si="6"/>
        <v>Active</v>
      </c>
      <c r="L205" s="4">
        <f t="shared" si="7"/>
        <v>0</v>
      </c>
    </row>
    <row r="206" spans="1:12" x14ac:dyDescent="0.3">
      <c r="A206" s="4" t="s">
        <v>438</v>
      </c>
      <c r="B206" s="4" t="s">
        <v>439</v>
      </c>
      <c r="C206" s="4" t="s">
        <v>38</v>
      </c>
      <c r="D206" s="4" t="s">
        <v>19</v>
      </c>
      <c r="E206" s="5">
        <v>44929</v>
      </c>
      <c r="F206" s="4" t="s">
        <v>20</v>
      </c>
      <c r="G206" s="4" t="s">
        <v>32</v>
      </c>
      <c r="H206" s="6">
        <v>19</v>
      </c>
      <c r="I206" s="4" t="b">
        <v>1</v>
      </c>
      <c r="J206" s="4" t="b">
        <v>0</v>
      </c>
      <c r="K206" s="4" t="str">
        <f t="shared" si="6"/>
        <v>Active</v>
      </c>
      <c r="L206" s="4">
        <f t="shared" si="7"/>
        <v>0</v>
      </c>
    </row>
    <row r="207" spans="1:12" x14ac:dyDescent="0.3">
      <c r="A207" s="4" t="s">
        <v>440</v>
      </c>
      <c r="B207" s="4" t="s">
        <v>441</v>
      </c>
      <c r="C207" s="4" t="s">
        <v>23</v>
      </c>
      <c r="D207" s="4" t="s">
        <v>82</v>
      </c>
      <c r="E207" s="5">
        <v>45602</v>
      </c>
      <c r="F207" s="4" t="s">
        <v>31</v>
      </c>
      <c r="G207" s="4" t="s">
        <v>32</v>
      </c>
      <c r="H207" s="6">
        <v>50</v>
      </c>
      <c r="I207" s="4" t="b">
        <v>1</v>
      </c>
      <c r="J207" s="4" t="b">
        <v>0</v>
      </c>
      <c r="K207" s="4" t="str">
        <f t="shared" si="6"/>
        <v>Active</v>
      </c>
      <c r="L207" s="4">
        <f t="shared" si="7"/>
        <v>0</v>
      </c>
    </row>
    <row r="208" spans="1:12" x14ac:dyDescent="0.3">
      <c r="A208" s="4" t="s">
        <v>442</v>
      </c>
      <c r="B208" s="4" t="s">
        <v>443</v>
      </c>
      <c r="C208" s="4" t="s">
        <v>38</v>
      </c>
      <c r="D208" s="4" t="s">
        <v>13</v>
      </c>
      <c r="E208" s="5">
        <v>45422</v>
      </c>
      <c r="F208" s="4" t="s">
        <v>20</v>
      </c>
      <c r="G208" s="4" t="s">
        <v>39</v>
      </c>
      <c r="H208" s="6">
        <v>32</v>
      </c>
      <c r="I208" s="4" t="b">
        <v>0</v>
      </c>
      <c r="J208" s="4" t="b">
        <v>1</v>
      </c>
      <c r="K208" s="4" t="str">
        <f t="shared" si="6"/>
        <v>Churned</v>
      </c>
      <c r="L208" s="4">
        <f t="shared" si="7"/>
        <v>1</v>
      </c>
    </row>
    <row r="209" spans="1:12" x14ac:dyDescent="0.3">
      <c r="A209" s="4" t="s">
        <v>444</v>
      </c>
      <c r="B209" s="4" t="s">
        <v>445</v>
      </c>
      <c r="C209" s="4" t="s">
        <v>38</v>
      </c>
      <c r="D209" s="4" t="s">
        <v>82</v>
      </c>
      <c r="E209" s="5">
        <v>45393</v>
      </c>
      <c r="F209" s="4" t="s">
        <v>35</v>
      </c>
      <c r="G209" s="4" t="s">
        <v>32</v>
      </c>
      <c r="H209" s="6">
        <v>4</v>
      </c>
      <c r="I209" s="4" t="b">
        <v>0</v>
      </c>
      <c r="J209" s="4" t="b">
        <v>0</v>
      </c>
      <c r="K209" s="4" t="str">
        <f t="shared" si="6"/>
        <v>Active</v>
      </c>
      <c r="L209" s="4">
        <f t="shared" si="7"/>
        <v>0</v>
      </c>
    </row>
    <row r="210" spans="1:12" x14ac:dyDescent="0.3">
      <c r="A210" s="4" t="s">
        <v>446</v>
      </c>
      <c r="B210" s="4" t="s">
        <v>447</v>
      </c>
      <c r="C210" s="4" t="s">
        <v>18</v>
      </c>
      <c r="D210" s="4" t="s">
        <v>82</v>
      </c>
      <c r="E210" s="5">
        <v>45319</v>
      </c>
      <c r="F210" s="4" t="s">
        <v>31</v>
      </c>
      <c r="G210" s="4" t="s">
        <v>15</v>
      </c>
      <c r="H210" s="6">
        <v>19</v>
      </c>
      <c r="I210" s="4" t="b">
        <v>0</v>
      </c>
      <c r="J210" s="4" t="b">
        <v>0</v>
      </c>
      <c r="K210" s="4" t="str">
        <f t="shared" si="6"/>
        <v>Active</v>
      </c>
      <c r="L210" s="4">
        <f t="shared" si="7"/>
        <v>0</v>
      </c>
    </row>
    <row r="211" spans="1:12" x14ac:dyDescent="0.3">
      <c r="A211" s="4" t="s">
        <v>448</v>
      </c>
      <c r="B211" s="4" t="s">
        <v>449</v>
      </c>
      <c r="C211" s="4" t="s">
        <v>23</v>
      </c>
      <c r="D211" s="4" t="s">
        <v>19</v>
      </c>
      <c r="E211" s="5">
        <v>45252</v>
      </c>
      <c r="F211" s="4" t="s">
        <v>31</v>
      </c>
      <c r="G211" s="4" t="s">
        <v>39</v>
      </c>
      <c r="H211" s="6">
        <v>27</v>
      </c>
      <c r="I211" s="4" t="b">
        <v>1</v>
      </c>
      <c r="J211" s="4" t="b">
        <v>0</v>
      </c>
      <c r="K211" s="4" t="str">
        <f t="shared" si="6"/>
        <v>Active</v>
      </c>
      <c r="L211" s="4">
        <f t="shared" si="7"/>
        <v>0</v>
      </c>
    </row>
    <row r="212" spans="1:12" x14ac:dyDescent="0.3">
      <c r="A212" s="4" t="s">
        <v>450</v>
      </c>
      <c r="B212" s="4" t="s">
        <v>451</v>
      </c>
      <c r="C212" s="4" t="s">
        <v>18</v>
      </c>
      <c r="D212" s="4" t="s">
        <v>13</v>
      </c>
      <c r="E212" s="5">
        <v>45606</v>
      </c>
      <c r="F212" s="4" t="s">
        <v>24</v>
      </c>
      <c r="G212" s="4" t="s">
        <v>15</v>
      </c>
      <c r="H212" s="6">
        <v>24</v>
      </c>
      <c r="I212" s="4" t="b">
        <v>0</v>
      </c>
      <c r="J212" s="4" t="b">
        <v>0</v>
      </c>
      <c r="K212" s="4" t="str">
        <f t="shared" si="6"/>
        <v>Active</v>
      </c>
      <c r="L212" s="4">
        <f t="shared" si="7"/>
        <v>0</v>
      </c>
    </row>
    <row r="213" spans="1:12" x14ac:dyDescent="0.3">
      <c r="A213" s="4" t="s">
        <v>452</v>
      </c>
      <c r="B213" s="4" t="s">
        <v>453</v>
      </c>
      <c r="C213" s="4" t="s">
        <v>27</v>
      </c>
      <c r="D213" s="4" t="s">
        <v>13</v>
      </c>
      <c r="E213" s="5">
        <v>45441</v>
      </c>
      <c r="F213" s="4" t="s">
        <v>24</v>
      </c>
      <c r="G213" s="4" t="s">
        <v>39</v>
      </c>
      <c r="H213" s="6">
        <v>15</v>
      </c>
      <c r="I213" s="4" t="b">
        <v>1</v>
      </c>
      <c r="J213" s="4" t="b">
        <v>0</v>
      </c>
      <c r="K213" s="4" t="str">
        <f t="shared" si="6"/>
        <v>Active</v>
      </c>
      <c r="L213" s="4">
        <f t="shared" si="7"/>
        <v>0</v>
      </c>
    </row>
    <row r="214" spans="1:12" x14ac:dyDescent="0.3">
      <c r="A214" s="4" t="s">
        <v>454</v>
      </c>
      <c r="B214" s="4" t="s">
        <v>455</v>
      </c>
      <c r="C214" s="4" t="s">
        <v>27</v>
      </c>
      <c r="D214" s="4" t="s">
        <v>65</v>
      </c>
      <c r="E214" s="5">
        <v>45029</v>
      </c>
      <c r="F214" s="4" t="s">
        <v>24</v>
      </c>
      <c r="G214" s="4" t="s">
        <v>32</v>
      </c>
      <c r="H214" s="6">
        <v>15</v>
      </c>
      <c r="I214" s="4" t="b">
        <v>0</v>
      </c>
      <c r="J214" s="4" t="b">
        <v>0</v>
      </c>
      <c r="K214" s="4" t="str">
        <f t="shared" si="6"/>
        <v>Active</v>
      </c>
      <c r="L214" s="4">
        <f t="shared" si="7"/>
        <v>0</v>
      </c>
    </row>
    <row r="215" spans="1:12" x14ac:dyDescent="0.3">
      <c r="A215" s="4" t="s">
        <v>456</v>
      </c>
      <c r="B215" s="4" t="s">
        <v>457</v>
      </c>
      <c r="C215" s="4" t="s">
        <v>23</v>
      </c>
      <c r="D215" s="4" t="s">
        <v>82</v>
      </c>
      <c r="E215" s="5">
        <v>45074</v>
      </c>
      <c r="F215" s="4" t="s">
        <v>35</v>
      </c>
      <c r="G215" s="4" t="s">
        <v>15</v>
      </c>
      <c r="H215" s="6">
        <v>9</v>
      </c>
      <c r="I215" s="4" t="b">
        <v>1</v>
      </c>
      <c r="J215" s="4" t="b">
        <v>0</v>
      </c>
      <c r="K215" s="4" t="str">
        <f t="shared" si="6"/>
        <v>Active</v>
      </c>
      <c r="L215" s="4">
        <f t="shared" si="7"/>
        <v>0</v>
      </c>
    </row>
    <row r="216" spans="1:12" x14ac:dyDescent="0.3">
      <c r="A216" s="4" t="s">
        <v>458</v>
      </c>
      <c r="B216" s="4" t="s">
        <v>459</v>
      </c>
      <c r="C216" s="4" t="s">
        <v>38</v>
      </c>
      <c r="D216" s="4" t="s">
        <v>13</v>
      </c>
      <c r="E216" s="5">
        <v>45407</v>
      </c>
      <c r="F216" s="4" t="s">
        <v>31</v>
      </c>
      <c r="G216" s="4" t="s">
        <v>32</v>
      </c>
      <c r="H216" s="6">
        <v>4</v>
      </c>
      <c r="I216" s="4" t="b">
        <v>0</v>
      </c>
      <c r="J216" s="4" t="b">
        <v>1</v>
      </c>
      <c r="K216" s="4" t="str">
        <f t="shared" si="6"/>
        <v>Churned</v>
      </c>
      <c r="L216" s="4">
        <f t="shared" si="7"/>
        <v>1</v>
      </c>
    </row>
    <row r="217" spans="1:12" x14ac:dyDescent="0.3">
      <c r="A217" s="4" t="s">
        <v>460</v>
      </c>
      <c r="B217" s="4" t="s">
        <v>461</v>
      </c>
      <c r="C217" s="4" t="s">
        <v>38</v>
      </c>
      <c r="D217" s="4" t="s">
        <v>82</v>
      </c>
      <c r="E217" s="5">
        <v>45009</v>
      </c>
      <c r="F217" s="4" t="s">
        <v>20</v>
      </c>
      <c r="G217" s="4" t="s">
        <v>39</v>
      </c>
      <c r="H217" s="6">
        <v>44</v>
      </c>
      <c r="I217" s="4" t="b">
        <v>0</v>
      </c>
      <c r="J217" s="4" t="b">
        <v>0</v>
      </c>
      <c r="K217" s="4" t="str">
        <f t="shared" si="6"/>
        <v>Active</v>
      </c>
      <c r="L217" s="4">
        <f t="shared" si="7"/>
        <v>0</v>
      </c>
    </row>
    <row r="218" spans="1:12" x14ac:dyDescent="0.3">
      <c r="A218" s="4" t="s">
        <v>462</v>
      </c>
      <c r="B218" s="4" t="s">
        <v>463</v>
      </c>
      <c r="C218" s="4" t="s">
        <v>23</v>
      </c>
      <c r="D218" s="4" t="s">
        <v>82</v>
      </c>
      <c r="E218" s="5">
        <v>45251</v>
      </c>
      <c r="F218" s="4" t="s">
        <v>24</v>
      </c>
      <c r="G218" s="4" t="s">
        <v>32</v>
      </c>
      <c r="H218" s="6">
        <v>31</v>
      </c>
      <c r="I218" s="4" t="b">
        <v>0</v>
      </c>
      <c r="J218" s="4" t="b">
        <v>1</v>
      </c>
      <c r="K218" s="4" t="str">
        <f t="shared" si="6"/>
        <v>Churned</v>
      </c>
      <c r="L218" s="4">
        <f t="shared" si="7"/>
        <v>1</v>
      </c>
    </row>
    <row r="219" spans="1:12" x14ac:dyDescent="0.3">
      <c r="A219" s="4" t="s">
        <v>464</v>
      </c>
      <c r="B219" s="4" t="s">
        <v>465</v>
      </c>
      <c r="C219" s="4" t="s">
        <v>18</v>
      </c>
      <c r="D219" s="4" t="s">
        <v>28</v>
      </c>
      <c r="E219" s="5">
        <v>44997</v>
      </c>
      <c r="F219" s="4" t="s">
        <v>14</v>
      </c>
      <c r="G219" s="4" t="s">
        <v>15</v>
      </c>
      <c r="H219" s="6">
        <v>15</v>
      </c>
      <c r="I219" s="4" t="b">
        <v>0</v>
      </c>
      <c r="J219" s="4" t="b">
        <v>0</v>
      </c>
      <c r="K219" s="4" t="str">
        <f t="shared" si="6"/>
        <v>Active</v>
      </c>
      <c r="L219" s="4">
        <f t="shared" si="7"/>
        <v>0</v>
      </c>
    </row>
    <row r="220" spans="1:12" x14ac:dyDescent="0.3">
      <c r="A220" s="4" t="s">
        <v>466</v>
      </c>
      <c r="B220" s="4" t="s">
        <v>467</v>
      </c>
      <c r="C220" s="4" t="s">
        <v>23</v>
      </c>
      <c r="D220" s="4" t="s">
        <v>101</v>
      </c>
      <c r="E220" s="5">
        <v>45019</v>
      </c>
      <c r="F220" s="4" t="s">
        <v>24</v>
      </c>
      <c r="G220" s="4" t="s">
        <v>39</v>
      </c>
      <c r="H220" s="6">
        <v>11</v>
      </c>
      <c r="I220" s="4" t="b">
        <v>1</v>
      </c>
      <c r="J220" s="4" t="b">
        <v>0</v>
      </c>
      <c r="K220" s="4" t="str">
        <f t="shared" si="6"/>
        <v>Active</v>
      </c>
      <c r="L220" s="4">
        <f t="shared" si="7"/>
        <v>0</v>
      </c>
    </row>
    <row r="221" spans="1:12" x14ac:dyDescent="0.3">
      <c r="A221" s="4" t="s">
        <v>468</v>
      </c>
      <c r="B221" s="4" t="s">
        <v>469</v>
      </c>
      <c r="C221" s="4" t="s">
        <v>38</v>
      </c>
      <c r="D221" s="4" t="s">
        <v>65</v>
      </c>
      <c r="E221" s="5">
        <v>45097</v>
      </c>
      <c r="F221" s="4" t="s">
        <v>24</v>
      </c>
      <c r="G221" s="4" t="s">
        <v>39</v>
      </c>
      <c r="H221" s="6">
        <v>9</v>
      </c>
      <c r="I221" s="4" t="b">
        <v>0</v>
      </c>
      <c r="J221" s="4" t="b">
        <v>0</v>
      </c>
      <c r="K221" s="4" t="str">
        <f t="shared" si="6"/>
        <v>Active</v>
      </c>
      <c r="L221" s="4">
        <f t="shared" si="7"/>
        <v>0</v>
      </c>
    </row>
    <row r="222" spans="1:12" x14ac:dyDescent="0.3">
      <c r="A222" s="4" t="s">
        <v>470</v>
      </c>
      <c r="B222" s="4" t="s">
        <v>471</v>
      </c>
      <c r="C222" s="4" t="s">
        <v>38</v>
      </c>
      <c r="D222" s="4" t="s">
        <v>13</v>
      </c>
      <c r="E222" s="5">
        <v>44984</v>
      </c>
      <c r="F222" s="4" t="s">
        <v>31</v>
      </c>
      <c r="G222" s="4" t="s">
        <v>15</v>
      </c>
      <c r="H222" s="6">
        <v>8</v>
      </c>
      <c r="I222" s="4" t="b">
        <v>0</v>
      </c>
      <c r="J222" s="4" t="b">
        <v>0</v>
      </c>
      <c r="K222" s="4" t="str">
        <f t="shared" si="6"/>
        <v>Active</v>
      </c>
      <c r="L222" s="4">
        <f t="shared" si="7"/>
        <v>0</v>
      </c>
    </row>
    <row r="223" spans="1:12" x14ac:dyDescent="0.3">
      <c r="A223" s="4" t="s">
        <v>472</v>
      </c>
      <c r="B223" s="4" t="s">
        <v>473</v>
      </c>
      <c r="C223" s="4" t="s">
        <v>27</v>
      </c>
      <c r="D223" s="4" t="s">
        <v>13</v>
      </c>
      <c r="E223" s="5">
        <v>45177</v>
      </c>
      <c r="F223" s="4" t="s">
        <v>35</v>
      </c>
      <c r="G223" s="4" t="s">
        <v>15</v>
      </c>
      <c r="H223" s="6">
        <v>5</v>
      </c>
      <c r="I223" s="4" t="b">
        <v>1</v>
      </c>
      <c r="J223" s="4" t="b">
        <v>1</v>
      </c>
      <c r="K223" s="4" t="str">
        <f t="shared" si="6"/>
        <v>Churned</v>
      </c>
      <c r="L223" s="4">
        <f t="shared" si="7"/>
        <v>1</v>
      </c>
    </row>
    <row r="224" spans="1:12" x14ac:dyDescent="0.3">
      <c r="A224" s="4" t="s">
        <v>474</v>
      </c>
      <c r="B224" s="4" t="s">
        <v>475</v>
      </c>
      <c r="C224" s="4" t="s">
        <v>12</v>
      </c>
      <c r="D224" s="4" t="s">
        <v>28</v>
      </c>
      <c r="E224" s="5">
        <v>45106</v>
      </c>
      <c r="F224" s="4" t="s">
        <v>31</v>
      </c>
      <c r="G224" s="4" t="s">
        <v>32</v>
      </c>
      <c r="H224" s="6">
        <v>5</v>
      </c>
      <c r="I224" s="4" t="b">
        <v>0</v>
      </c>
      <c r="J224" s="4" t="b">
        <v>1</v>
      </c>
      <c r="K224" s="4" t="str">
        <f t="shared" si="6"/>
        <v>Churned</v>
      </c>
      <c r="L224" s="4">
        <f t="shared" si="7"/>
        <v>1</v>
      </c>
    </row>
    <row r="225" spans="1:12" x14ac:dyDescent="0.3">
      <c r="A225" s="4" t="s">
        <v>476</v>
      </c>
      <c r="B225" s="4" t="s">
        <v>477</v>
      </c>
      <c r="C225" s="4" t="s">
        <v>18</v>
      </c>
      <c r="D225" s="4" t="s">
        <v>13</v>
      </c>
      <c r="E225" s="5">
        <v>45626</v>
      </c>
      <c r="F225" s="4" t="s">
        <v>20</v>
      </c>
      <c r="G225" s="4" t="s">
        <v>15</v>
      </c>
      <c r="H225" s="6">
        <v>6</v>
      </c>
      <c r="I225" s="4" t="b">
        <v>0</v>
      </c>
      <c r="J225" s="4" t="b">
        <v>0</v>
      </c>
      <c r="K225" s="4" t="str">
        <f t="shared" si="6"/>
        <v>Active</v>
      </c>
      <c r="L225" s="4">
        <f t="shared" si="7"/>
        <v>0</v>
      </c>
    </row>
    <row r="226" spans="1:12" x14ac:dyDescent="0.3">
      <c r="A226" s="4" t="s">
        <v>478</v>
      </c>
      <c r="B226" s="4" t="s">
        <v>479</v>
      </c>
      <c r="C226" s="4" t="s">
        <v>23</v>
      </c>
      <c r="D226" s="4" t="s">
        <v>28</v>
      </c>
      <c r="E226" s="5">
        <v>45164</v>
      </c>
      <c r="F226" s="4" t="s">
        <v>31</v>
      </c>
      <c r="G226" s="4" t="s">
        <v>39</v>
      </c>
      <c r="H226" s="6">
        <v>1</v>
      </c>
      <c r="I226" s="4" t="b">
        <v>0</v>
      </c>
      <c r="J226" s="4" t="b">
        <v>0</v>
      </c>
      <c r="K226" s="4" t="str">
        <f t="shared" si="6"/>
        <v>Active</v>
      </c>
      <c r="L226" s="4">
        <f t="shared" si="7"/>
        <v>0</v>
      </c>
    </row>
    <row r="227" spans="1:12" x14ac:dyDescent="0.3">
      <c r="A227" s="4" t="s">
        <v>480</v>
      </c>
      <c r="B227" s="4" t="s">
        <v>481</v>
      </c>
      <c r="C227" s="4" t="s">
        <v>12</v>
      </c>
      <c r="D227" s="4" t="s">
        <v>82</v>
      </c>
      <c r="E227" s="5">
        <v>45609</v>
      </c>
      <c r="F227" s="4" t="s">
        <v>31</v>
      </c>
      <c r="G227" s="4" t="s">
        <v>39</v>
      </c>
      <c r="H227" s="6">
        <v>80</v>
      </c>
      <c r="I227" s="4" t="b">
        <v>1</v>
      </c>
      <c r="J227" s="4" t="b">
        <v>0</v>
      </c>
      <c r="K227" s="4" t="str">
        <f t="shared" si="6"/>
        <v>Active</v>
      </c>
      <c r="L227" s="4">
        <f t="shared" si="7"/>
        <v>0</v>
      </c>
    </row>
    <row r="228" spans="1:12" x14ac:dyDescent="0.3">
      <c r="A228" s="4" t="s">
        <v>482</v>
      </c>
      <c r="B228" s="4" t="s">
        <v>483</v>
      </c>
      <c r="C228" s="4" t="s">
        <v>27</v>
      </c>
      <c r="D228" s="4" t="s">
        <v>13</v>
      </c>
      <c r="E228" s="5">
        <v>45620</v>
      </c>
      <c r="F228" s="4" t="s">
        <v>31</v>
      </c>
      <c r="G228" s="4" t="s">
        <v>39</v>
      </c>
      <c r="H228" s="6">
        <v>69</v>
      </c>
      <c r="I228" s="4" t="b">
        <v>0</v>
      </c>
      <c r="J228" s="4" t="b">
        <v>0</v>
      </c>
      <c r="K228" s="4" t="str">
        <f t="shared" si="6"/>
        <v>Active</v>
      </c>
      <c r="L228" s="4">
        <f t="shared" si="7"/>
        <v>0</v>
      </c>
    </row>
    <row r="229" spans="1:12" x14ac:dyDescent="0.3">
      <c r="A229" s="4" t="s">
        <v>484</v>
      </c>
      <c r="B229" s="4" t="s">
        <v>485</v>
      </c>
      <c r="C229" s="4" t="s">
        <v>38</v>
      </c>
      <c r="D229" s="4" t="s">
        <v>28</v>
      </c>
      <c r="E229" s="5">
        <v>45528</v>
      </c>
      <c r="F229" s="4" t="s">
        <v>31</v>
      </c>
      <c r="G229" s="4" t="s">
        <v>32</v>
      </c>
      <c r="H229" s="6">
        <v>5</v>
      </c>
      <c r="I229" s="4" t="b">
        <v>0</v>
      </c>
      <c r="J229" s="4" t="b">
        <v>0</v>
      </c>
      <c r="K229" s="4" t="str">
        <f t="shared" si="6"/>
        <v>Active</v>
      </c>
      <c r="L229" s="4">
        <f t="shared" si="7"/>
        <v>0</v>
      </c>
    </row>
    <row r="230" spans="1:12" x14ac:dyDescent="0.3">
      <c r="A230" s="4" t="s">
        <v>486</v>
      </c>
      <c r="B230" s="4" t="s">
        <v>487</v>
      </c>
      <c r="C230" s="4" t="s">
        <v>23</v>
      </c>
      <c r="D230" s="4" t="s">
        <v>44</v>
      </c>
      <c r="E230" s="5">
        <v>45183</v>
      </c>
      <c r="F230" s="4" t="s">
        <v>35</v>
      </c>
      <c r="G230" s="4" t="s">
        <v>39</v>
      </c>
      <c r="H230" s="6">
        <v>53</v>
      </c>
      <c r="I230" s="4" t="b">
        <v>0</v>
      </c>
      <c r="J230" s="4" t="b">
        <v>0</v>
      </c>
      <c r="K230" s="4" t="str">
        <f t="shared" si="6"/>
        <v>Active</v>
      </c>
      <c r="L230" s="4">
        <f t="shared" si="7"/>
        <v>0</v>
      </c>
    </row>
    <row r="231" spans="1:12" x14ac:dyDescent="0.3">
      <c r="A231" s="4" t="s">
        <v>488</v>
      </c>
      <c r="B231" s="4" t="s">
        <v>489</v>
      </c>
      <c r="C231" s="4" t="s">
        <v>12</v>
      </c>
      <c r="D231" s="4" t="s">
        <v>13</v>
      </c>
      <c r="E231" s="5">
        <v>45421</v>
      </c>
      <c r="F231" s="4" t="s">
        <v>20</v>
      </c>
      <c r="G231" s="4" t="s">
        <v>39</v>
      </c>
      <c r="H231" s="6">
        <v>6</v>
      </c>
      <c r="I231" s="4" t="b">
        <v>0</v>
      </c>
      <c r="J231" s="4" t="b">
        <v>1</v>
      </c>
      <c r="K231" s="4" t="str">
        <f t="shared" si="6"/>
        <v>Churned</v>
      </c>
      <c r="L231" s="4">
        <f t="shared" si="7"/>
        <v>1</v>
      </c>
    </row>
    <row r="232" spans="1:12" x14ac:dyDescent="0.3">
      <c r="A232" s="4" t="s">
        <v>490</v>
      </c>
      <c r="B232" s="4" t="s">
        <v>491</v>
      </c>
      <c r="C232" s="4" t="s">
        <v>38</v>
      </c>
      <c r="D232" s="4" t="s">
        <v>101</v>
      </c>
      <c r="E232" s="5">
        <v>45515</v>
      </c>
      <c r="F232" s="4" t="s">
        <v>14</v>
      </c>
      <c r="G232" s="4" t="s">
        <v>15</v>
      </c>
      <c r="H232" s="6">
        <v>7</v>
      </c>
      <c r="I232" s="4" t="b">
        <v>0</v>
      </c>
      <c r="J232" s="4" t="b">
        <v>0</v>
      </c>
      <c r="K232" s="4" t="str">
        <f t="shared" si="6"/>
        <v>Active</v>
      </c>
      <c r="L232" s="4">
        <f t="shared" si="7"/>
        <v>0</v>
      </c>
    </row>
    <row r="233" spans="1:12" x14ac:dyDescent="0.3">
      <c r="A233" s="4" t="s">
        <v>492</v>
      </c>
      <c r="B233" s="4" t="s">
        <v>493</v>
      </c>
      <c r="C233" s="4" t="s">
        <v>23</v>
      </c>
      <c r="D233" s="4" t="s">
        <v>13</v>
      </c>
      <c r="E233" s="5">
        <v>45601</v>
      </c>
      <c r="F233" s="4" t="s">
        <v>20</v>
      </c>
      <c r="G233" s="4" t="s">
        <v>32</v>
      </c>
      <c r="H233" s="6">
        <v>5</v>
      </c>
      <c r="I233" s="4" t="b">
        <v>1</v>
      </c>
      <c r="J233" s="4" t="b">
        <v>0</v>
      </c>
      <c r="K233" s="4" t="str">
        <f t="shared" si="6"/>
        <v>Active</v>
      </c>
      <c r="L233" s="4">
        <f t="shared" si="7"/>
        <v>0</v>
      </c>
    </row>
    <row r="234" spans="1:12" x14ac:dyDescent="0.3">
      <c r="A234" s="4" t="s">
        <v>494</v>
      </c>
      <c r="B234" s="4" t="s">
        <v>495</v>
      </c>
      <c r="C234" s="4" t="s">
        <v>27</v>
      </c>
      <c r="D234" s="4" t="s">
        <v>19</v>
      </c>
      <c r="E234" s="5">
        <v>44977</v>
      </c>
      <c r="F234" s="4" t="s">
        <v>14</v>
      </c>
      <c r="G234" s="4" t="s">
        <v>15</v>
      </c>
      <c r="H234" s="6">
        <v>6</v>
      </c>
      <c r="I234" s="4" t="b">
        <v>0</v>
      </c>
      <c r="J234" s="4" t="b">
        <v>1</v>
      </c>
      <c r="K234" s="4" t="str">
        <f t="shared" si="6"/>
        <v>Churned</v>
      </c>
      <c r="L234" s="4">
        <f t="shared" si="7"/>
        <v>1</v>
      </c>
    </row>
    <row r="235" spans="1:12" x14ac:dyDescent="0.3">
      <c r="A235" s="4" t="s">
        <v>496</v>
      </c>
      <c r="B235" s="4" t="s">
        <v>497</v>
      </c>
      <c r="C235" s="4" t="s">
        <v>38</v>
      </c>
      <c r="D235" s="4" t="s">
        <v>13</v>
      </c>
      <c r="E235" s="5">
        <v>45548</v>
      </c>
      <c r="F235" s="4" t="s">
        <v>35</v>
      </c>
      <c r="G235" s="4" t="s">
        <v>32</v>
      </c>
      <c r="H235" s="6">
        <v>13</v>
      </c>
      <c r="I235" s="4" t="b">
        <v>0</v>
      </c>
      <c r="J235" s="4" t="b">
        <v>1</v>
      </c>
      <c r="K235" s="4" t="str">
        <f t="shared" si="6"/>
        <v>Churned</v>
      </c>
      <c r="L235" s="4">
        <f t="shared" si="7"/>
        <v>1</v>
      </c>
    </row>
    <row r="236" spans="1:12" x14ac:dyDescent="0.3">
      <c r="A236" s="4" t="s">
        <v>498</v>
      </c>
      <c r="B236" s="4" t="s">
        <v>499</v>
      </c>
      <c r="C236" s="4" t="s">
        <v>18</v>
      </c>
      <c r="D236" s="4" t="s">
        <v>28</v>
      </c>
      <c r="E236" s="5">
        <v>45183</v>
      </c>
      <c r="F236" s="4" t="s">
        <v>24</v>
      </c>
      <c r="G236" s="4" t="s">
        <v>39</v>
      </c>
      <c r="H236" s="6">
        <v>8</v>
      </c>
      <c r="I236" s="4" t="b">
        <v>1</v>
      </c>
      <c r="J236" s="4" t="b">
        <v>1</v>
      </c>
      <c r="K236" s="4" t="str">
        <f t="shared" si="6"/>
        <v>Churned</v>
      </c>
      <c r="L236" s="4">
        <f t="shared" si="7"/>
        <v>1</v>
      </c>
    </row>
    <row r="237" spans="1:12" x14ac:dyDescent="0.3">
      <c r="A237" s="4" t="s">
        <v>500</v>
      </c>
      <c r="B237" s="4" t="s">
        <v>501</v>
      </c>
      <c r="C237" s="4" t="s">
        <v>12</v>
      </c>
      <c r="D237" s="4" t="s">
        <v>13</v>
      </c>
      <c r="E237" s="5">
        <v>45378</v>
      </c>
      <c r="F237" s="4" t="s">
        <v>35</v>
      </c>
      <c r="G237" s="4" t="s">
        <v>15</v>
      </c>
      <c r="H237" s="6">
        <v>92</v>
      </c>
      <c r="I237" s="4" t="b">
        <v>0</v>
      </c>
      <c r="J237" s="4" t="b">
        <v>0</v>
      </c>
      <c r="K237" s="4" t="str">
        <f t="shared" si="6"/>
        <v>Active</v>
      </c>
      <c r="L237" s="4">
        <f t="shared" si="7"/>
        <v>0</v>
      </c>
    </row>
    <row r="238" spans="1:12" x14ac:dyDescent="0.3">
      <c r="A238" s="4" t="s">
        <v>502</v>
      </c>
      <c r="B238" s="4" t="s">
        <v>503</v>
      </c>
      <c r="C238" s="4" t="s">
        <v>38</v>
      </c>
      <c r="D238" s="4" t="s">
        <v>19</v>
      </c>
      <c r="E238" s="5">
        <v>45229</v>
      </c>
      <c r="F238" s="4" t="s">
        <v>35</v>
      </c>
      <c r="G238" s="4" t="s">
        <v>15</v>
      </c>
      <c r="H238" s="6">
        <v>5</v>
      </c>
      <c r="I238" s="4" t="b">
        <v>0</v>
      </c>
      <c r="J238" s="4" t="b">
        <v>0</v>
      </c>
      <c r="K238" s="4" t="str">
        <f t="shared" si="6"/>
        <v>Active</v>
      </c>
      <c r="L238" s="4">
        <f t="shared" si="7"/>
        <v>0</v>
      </c>
    </row>
    <row r="239" spans="1:12" x14ac:dyDescent="0.3">
      <c r="A239" s="4" t="s">
        <v>504</v>
      </c>
      <c r="B239" s="4" t="s">
        <v>505</v>
      </c>
      <c r="C239" s="4" t="s">
        <v>27</v>
      </c>
      <c r="D239" s="4" t="s">
        <v>82</v>
      </c>
      <c r="E239" s="5">
        <v>45062</v>
      </c>
      <c r="F239" s="4" t="s">
        <v>14</v>
      </c>
      <c r="G239" s="4" t="s">
        <v>32</v>
      </c>
      <c r="H239" s="6">
        <v>18</v>
      </c>
      <c r="I239" s="4" t="b">
        <v>0</v>
      </c>
      <c r="J239" s="4" t="b">
        <v>0</v>
      </c>
      <c r="K239" s="4" t="str">
        <f t="shared" si="6"/>
        <v>Active</v>
      </c>
      <c r="L239" s="4">
        <f t="shared" si="7"/>
        <v>0</v>
      </c>
    </row>
    <row r="240" spans="1:12" x14ac:dyDescent="0.3">
      <c r="A240" s="4" t="s">
        <v>506</v>
      </c>
      <c r="B240" s="4" t="s">
        <v>507</v>
      </c>
      <c r="C240" s="4" t="s">
        <v>38</v>
      </c>
      <c r="D240" s="4" t="s">
        <v>44</v>
      </c>
      <c r="E240" s="5">
        <v>45440</v>
      </c>
      <c r="F240" s="4" t="s">
        <v>14</v>
      </c>
      <c r="G240" s="4" t="s">
        <v>39</v>
      </c>
      <c r="H240" s="6">
        <v>8</v>
      </c>
      <c r="I240" s="4" t="b">
        <v>0</v>
      </c>
      <c r="J240" s="4" t="b">
        <v>0</v>
      </c>
      <c r="K240" s="4" t="str">
        <f t="shared" si="6"/>
        <v>Active</v>
      </c>
      <c r="L240" s="4">
        <f t="shared" si="7"/>
        <v>0</v>
      </c>
    </row>
    <row r="241" spans="1:12" x14ac:dyDescent="0.3">
      <c r="A241" s="4" t="s">
        <v>508</v>
      </c>
      <c r="B241" s="4" t="s">
        <v>509</v>
      </c>
      <c r="C241" s="4" t="s">
        <v>38</v>
      </c>
      <c r="D241" s="4" t="s">
        <v>44</v>
      </c>
      <c r="E241" s="5">
        <v>45229</v>
      </c>
      <c r="F241" s="4" t="s">
        <v>31</v>
      </c>
      <c r="G241" s="4" t="s">
        <v>15</v>
      </c>
      <c r="H241" s="6">
        <v>67</v>
      </c>
      <c r="I241" s="4" t="b">
        <v>1</v>
      </c>
      <c r="J241" s="4" t="b">
        <v>0</v>
      </c>
      <c r="K241" s="4" t="str">
        <f t="shared" si="6"/>
        <v>Active</v>
      </c>
      <c r="L241" s="4">
        <f t="shared" si="7"/>
        <v>0</v>
      </c>
    </row>
    <row r="242" spans="1:12" x14ac:dyDescent="0.3">
      <c r="A242" s="4" t="s">
        <v>510</v>
      </c>
      <c r="B242" s="4" t="s">
        <v>511</v>
      </c>
      <c r="C242" s="4" t="s">
        <v>18</v>
      </c>
      <c r="D242" s="4" t="s">
        <v>82</v>
      </c>
      <c r="E242" s="5">
        <v>45071</v>
      </c>
      <c r="F242" s="4" t="s">
        <v>31</v>
      </c>
      <c r="G242" s="4" t="s">
        <v>32</v>
      </c>
      <c r="H242" s="6">
        <v>55</v>
      </c>
      <c r="I242" s="4" t="b">
        <v>0</v>
      </c>
      <c r="J242" s="4" t="b">
        <v>1</v>
      </c>
      <c r="K242" s="4" t="str">
        <f t="shared" si="6"/>
        <v>Churned</v>
      </c>
      <c r="L242" s="4">
        <f t="shared" si="7"/>
        <v>1</v>
      </c>
    </row>
    <row r="243" spans="1:12" x14ac:dyDescent="0.3">
      <c r="A243" s="4" t="s">
        <v>512</v>
      </c>
      <c r="B243" s="4" t="s">
        <v>513</v>
      </c>
      <c r="C243" s="4" t="s">
        <v>12</v>
      </c>
      <c r="D243" s="4" t="s">
        <v>19</v>
      </c>
      <c r="E243" s="5">
        <v>45301</v>
      </c>
      <c r="F243" s="4" t="s">
        <v>24</v>
      </c>
      <c r="G243" s="4" t="s">
        <v>39</v>
      </c>
      <c r="H243" s="6">
        <v>27</v>
      </c>
      <c r="I243" s="4" t="b">
        <v>0</v>
      </c>
      <c r="J243" s="4" t="b">
        <v>0</v>
      </c>
      <c r="K243" s="4" t="str">
        <f t="shared" si="6"/>
        <v>Active</v>
      </c>
      <c r="L243" s="4">
        <f t="shared" si="7"/>
        <v>0</v>
      </c>
    </row>
    <row r="244" spans="1:12" x14ac:dyDescent="0.3">
      <c r="A244" s="4" t="s">
        <v>514</v>
      </c>
      <c r="B244" s="4" t="s">
        <v>515</v>
      </c>
      <c r="C244" s="4" t="s">
        <v>12</v>
      </c>
      <c r="D244" s="4" t="s">
        <v>13</v>
      </c>
      <c r="E244" s="5">
        <v>45476</v>
      </c>
      <c r="F244" s="4" t="s">
        <v>14</v>
      </c>
      <c r="G244" s="4" t="s">
        <v>32</v>
      </c>
      <c r="H244" s="6">
        <v>3</v>
      </c>
      <c r="I244" s="4" t="b">
        <v>0</v>
      </c>
      <c r="J244" s="4" t="b">
        <v>0</v>
      </c>
      <c r="K244" s="4" t="str">
        <f t="shared" si="6"/>
        <v>Active</v>
      </c>
      <c r="L244" s="4">
        <f t="shared" si="7"/>
        <v>0</v>
      </c>
    </row>
    <row r="245" spans="1:12" x14ac:dyDescent="0.3">
      <c r="A245" s="4" t="s">
        <v>516</v>
      </c>
      <c r="B245" s="4" t="s">
        <v>517</v>
      </c>
      <c r="C245" s="4" t="s">
        <v>38</v>
      </c>
      <c r="D245" s="4" t="s">
        <v>13</v>
      </c>
      <c r="E245" s="5">
        <v>45317</v>
      </c>
      <c r="F245" s="4" t="s">
        <v>35</v>
      </c>
      <c r="G245" s="4" t="s">
        <v>39</v>
      </c>
      <c r="H245" s="6">
        <v>3</v>
      </c>
      <c r="I245" s="4" t="b">
        <v>0</v>
      </c>
      <c r="J245" s="4" t="b">
        <v>0</v>
      </c>
      <c r="K245" s="4" t="str">
        <f t="shared" si="6"/>
        <v>Active</v>
      </c>
      <c r="L245" s="4">
        <f t="shared" si="7"/>
        <v>0</v>
      </c>
    </row>
    <row r="246" spans="1:12" x14ac:dyDescent="0.3">
      <c r="A246" s="4" t="s">
        <v>518</v>
      </c>
      <c r="B246" s="4" t="s">
        <v>519</v>
      </c>
      <c r="C246" s="4" t="s">
        <v>27</v>
      </c>
      <c r="D246" s="4" t="s">
        <v>82</v>
      </c>
      <c r="E246" s="5">
        <v>44952</v>
      </c>
      <c r="F246" s="4" t="s">
        <v>20</v>
      </c>
      <c r="G246" s="4" t="s">
        <v>39</v>
      </c>
      <c r="H246" s="6">
        <v>21</v>
      </c>
      <c r="I246" s="4" t="b">
        <v>0</v>
      </c>
      <c r="J246" s="4" t="b">
        <v>0</v>
      </c>
      <c r="K246" s="4" t="str">
        <f t="shared" si="6"/>
        <v>Active</v>
      </c>
      <c r="L246" s="4">
        <f t="shared" si="7"/>
        <v>0</v>
      </c>
    </row>
    <row r="247" spans="1:12" x14ac:dyDescent="0.3">
      <c r="A247" s="4" t="s">
        <v>520</v>
      </c>
      <c r="B247" s="4" t="s">
        <v>521</v>
      </c>
      <c r="C247" s="4" t="s">
        <v>18</v>
      </c>
      <c r="D247" s="4" t="s">
        <v>28</v>
      </c>
      <c r="E247" s="5">
        <v>45551</v>
      </c>
      <c r="F247" s="4" t="s">
        <v>31</v>
      </c>
      <c r="G247" s="4" t="s">
        <v>32</v>
      </c>
      <c r="H247" s="6">
        <v>41</v>
      </c>
      <c r="I247" s="4" t="b">
        <v>0</v>
      </c>
      <c r="J247" s="4" t="b">
        <v>0</v>
      </c>
      <c r="K247" s="4" t="str">
        <f t="shared" si="6"/>
        <v>Active</v>
      </c>
      <c r="L247" s="4">
        <f t="shared" si="7"/>
        <v>0</v>
      </c>
    </row>
    <row r="248" spans="1:12" x14ac:dyDescent="0.3">
      <c r="A248" s="4" t="s">
        <v>522</v>
      </c>
      <c r="B248" s="4" t="s">
        <v>523</v>
      </c>
      <c r="C248" s="4" t="s">
        <v>23</v>
      </c>
      <c r="D248" s="4" t="s">
        <v>13</v>
      </c>
      <c r="E248" s="5">
        <v>45236</v>
      </c>
      <c r="F248" s="4" t="s">
        <v>24</v>
      </c>
      <c r="G248" s="4" t="s">
        <v>15</v>
      </c>
      <c r="H248" s="6">
        <v>11</v>
      </c>
      <c r="I248" s="4" t="b">
        <v>0</v>
      </c>
      <c r="J248" s="4" t="b">
        <v>0</v>
      </c>
      <c r="K248" s="4" t="str">
        <f t="shared" si="6"/>
        <v>Active</v>
      </c>
      <c r="L248" s="4">
        <f t="shared" si="7"/>
        <v>0</v>
      </c>
    </row>
    <row r="249" spans="1:12" x14ac:dyDescent="0.3">
      <c r="A249" s="4" t="s">
        <v>524</v>
      </c>
      <c r="B249" s="4" t="s">
        <v>525</v>
      </c>
      <c r="C249" s="4" t="s">
        <v>23</v>
      </c>
      <c r="D249" s="4" t="s">
        <v>13</v>
      </c>
      <c r="E249" s="5">
        <v>45238</v>
      </c>
      <c r="F249" s="4" t="s">
        <v>35</v>
      </c>
      <c r="G249" s="4" t="s">
        <v>32</v>
      </c>
      <c r="H249" s="6">
        <v>7</v>
      </c>
      <c r="I249" s="4" t="b">
        <v>0</v>
      </c>
      <c r="J249" s="4" t="b">
        <v>0</v>
      </c>
      <c r="K249" s="4" t="str">
        <f t="shared" si="6"/>
        <v>Active</v>
      </c>
      <c r="L249" s="4">
        <f t="shared" si="7"/>
        <v>0</v>
      </c>
    </row>
    <row r="250" spans="1:12" x14ac:dyDescent="0.3">
      <c r="A250" s="4" t="s">
        <v>526</v>
      </c>
      <c r="B250" s="4" t="s">
        <v>527</v>
      </c>
      <c r="C250" s="4" t="s">
        <v>23</v>
      </c>
      <c r="D250" s="4" t="s">
        <v>13</v>
      </c>
      <c r="E250" s="5">
        <v>45065</v>
      </c>
      <c r="F250" s="4" t="s">
        <v>20</v>
      </c>
      <c r="G250" s="4" t="s">
        <v>39</v>
      </c>
      <c r="H250" s="6">
        <v>5</v>
      </c>
      <c r="I250" s="4" t="b">
        <v>0</v>
      </c>
      <c r="J250" s="4" t="b">
        <v>0</v>
      </c>
      <c r="K250" s="4" t="str">
        <f t="shared" si="6"/>
        <v>Active</v>
      </c>
      <c r="L250" s="4">
        <f t="shared" si="7"/>
        <v>0</v>
      </c>
    </row>
    <row r="251" spans="1:12" x14ac:dyDescent="0.3">
      <c r="A251" s="4" t="s">
        <v>528</v>
      </c>
      <c r="B251" s="4" t="s">
        <v>529</v>
      </c>
      <c r="C251" s="4" t="s">
        <v>18</v>
      </c>
      <c r="D251" s="4" t="s">
        <v>82</v>
      </c>
      <c r="E251" s="5">
        <v>45528</v>
      </c>
      <c r="F251" s="4" t="s">
        <v>24</v>
      </c>
      <c r="G251" s="4" t="s">
        <v>39</v>
      </c>
      <c r="H251" s="6">
        <v>15</v>
      </c>
      <c r="I251" s="4" t="b">
        <v>0</v>
      </c>
      <c r="J251" s="4" t="b">
        <v>0</v>
      </c>
      <c r="K251" s="4" t="str">
        <f t="shared" si="6"/>
        <v>Active</v>
      </c>
      <c r="L251" s="4">
        <f t="shared" si="7"/>
        <v>0</v>
      </c>
    </row>
    <row r="252" spans="1:12" x14ac:dyDescent="0.3">
      <c r="A252" s="4" t="s">
        <v>530</v>
      </c>
      <c r="B252" s="4" t="s">
        <v>531</v>
      </c>
      <c r="C252" s="4" t="s">
        <v>23</v>
      </c>
      <c r="D252" s="4" t="s">
        <v>65</v>
      </c>
      <c r="E252" s="5">
        <v>45557</v>
      </c>
      <c r="F252" s="4" t="s">
        <v>14</v>
      </c>
      <c r="G252" s="4" t="s">
        <v>15</v>
      </c>
      <c r="H252" s="6">
        <v>2</v>
      </c>
      <c r="I252" s="4" t="b">
        <v>0</v>
      </c>
      <c r="J252" s="4" t="b">
        <v>0</v>
      </c>
      <c r="K252" s="4" t="str">
        <f t="shared" si="6"/>
        <v>Active</v>
      </c>
      <c r="L252" s="4">
        <f t="shared" si="7"/>
        <v>0</v>
      </c>
    </row>
    <row r="253" spans="1:12" x14ac:dyDescent="0.3">
      <c r="A253" s="4" t="s">
        <v>532</v>
      </c>
      <c r="B253" s="4" t="s">
        <v>533</v>
      </c>
      <c r="C253" s="4" t="s">
        <v>38</v>
      </c>
      <c r="D253" s="4" t="s">
        <v>13</v>
      </c>
      <c r="E253" s="5">
        <v>45633</v>
      </c>
      <c r="F253" s="4" t="s">
        <v>31</v>
      </c>
      <c r="G253" s="4" t="s">
        <v>15</v>
      </c>
      <c r="H253" s="6">
        <v>8</v>
      </c>
      <c r="I253" s="4" t="b">
        <v>1</v>
      </c>
      <c r="J253" s="4" t="b">
        <v>0</v>
      </c>
      <c r="K253" s="4" t="str">
        <f t="shared" si="6"/>
        <v>Active</v>
      </c>
      <c r="L253" s="4">
        <f t="shared" si="7"/>
        <v>0</v>
      </c>
    </row>
    <row r="254" spans="1:12" x14ac:dyDescent="0.3">
      <c r="A254" s="4" t="s">
        <v>534</v>
      </c>
      <c r="B254" s="4" t="s">
        <v>535</v>
      </c>
      <c r="C254" s="4" t="s">
        <v>12</v>
      </c>
      <c r="D254" s="4" t="s">
        <v>101</v>
      </c>
      <c r="E254" s="5">
        <v>45298</v>
      </c>
      <c r="F254" s="4" t="s">
        <v>14</v>
      </c>
      <c r="G254" s="4" t="s">
        <v>32</v>
      </c>
      <c r="H254" s="6">
        <v>19</v>
      </c>
      <c r="I254" s="4" t="b">
        <v>0</v>
      </c>
      <c r="J254" s="4" t="b">
        <v>0</v>
      </c>
      <c r="K254" s="4" t="str">
        <f t="shared" si="6"/>
        <v>Active</v>
      </c>
      <c r="L254" s="4">
        <f t="shared" si="7"/>
        <v>0</v>
      </c>
    </row>
    <row r="255" spans="1:12" x14ac:dyDescent="0.3">
      <c r="A255" s="4" t="s">
        <v>536</v>
      </c>
      <c r="B255" s="4" t="s">
        <v>537</v>
      </c>
      <c r="C255" s="4" t="s">
        <v>38</v>
      </c>
      <c r="D255" s="4" t="s">
        <v>13</v>
      </c>
      <c r="E255" s="5">
        <v>45587</v>
      </c>
      <c r="F255" s="4" t="s">
        <v>14</v>
      </c>
      <c r="G255" s="4" t="s">
        <v>15</v>
      </c>
      <c r="H255" s="6">
        <v>31</v>
      </c>
      <c r="I255" s="4" t="b">
        <v>0</v>
      </c>
      <c r="J255" s="4" t="b">
        <v>0</v>
      </c>
      <c r="K255" s="4" t="str">
        <f t="shared" si="6"/>
        <v>Active</v>
      </c>
      <c r="L255" s="4">
        <f t="shared" si="7"/>
        <v>0</v>
      </c>
    </row>
    <row r="256" spans="1:12" x14ac:dyDescent="0.3">
      <c r="A256" s="4" t="s">
        <v>538</v>
      </c>
      <c r="B256" s="4" t="s">
        <v>539</v>
      </c>
      <c r="C256" s="4" t="s">
        <v>23</v>
      </c>
      <c r="D256" s="4" t="s">
        <v>13</v>
      </c>
      <c r="E256" s="5">
        <v>45052</v>
      </c>
      <c r="F256" s="4" t="s">
        <v>35</v>
      </c>
      <c r="G256" s="4" t="s">
        <v>32</v>
      </c>
      <c r="H256" s="6">
        <v>5</v>
      </c>
      <c r="I256" s="4" t="b">
        <v>0</v>
      </c>
      <c r="J256" s="4" t="b">
        <v>1</v>
      </c>
      <c r="K256" s="4" t="str">
        <f t="shared" si="6"/>
        <v>Churned</v>
      </c>
      <c r="L256" s="4">
        <f t="shared" si="7"/>
        <v>1</v>
      </c>
    </row>
    <row r="257" spans="1:12" x14ac:dyDescent="0.3">
      <c r="A257" s="4" t="s">
        <v>540</v>
      </c>
      <c r="B257" s="4" t="s">
        <v>541</v>
      </c>
      <c r="C257" s="4" t="s">
        <v>27</v>
      </c>
      <c r="D257" s="4" t="s">
        <v>101</v>
      </c>
      <c r="E257" s="5">
        <v>45581</v>
      </c>
      <c r="F257" s="4" t="s">
        <v>24</v>
      </c>
      <c r="G257" s="4" t="s">
        <v>39</v>
      </c>
      <c r="H257" s="6">
        <v>16</v>
      </c>
      <c r="I257" s="4" t="b">
        <v>0</v>
      </c>
      <c r="J257" s="4" t="b">
        <v>0</v>
      </c>
      <c r="K257" s="4" t="str">
        <f t="shared" si="6"/>
        <v>Active</v>
      </c>
      <c r="L257" s="4">
        <f t="shared" si="7"/>
        <v>0</v>
      </c>
    </row>
    <row r="258" spans="1:12" x14ac:dyDescent="0.3">
      <c r="A258" s="4" t="s">
        <v>542</v>
      </c>
      <c r="B258" s="4" t="s">
        <v>543</v>
      </c>
      <c r="C258" s="4" t="s">
        <v>18</v>
      </c>
      <c r="D258" s="4" t="s">
        <v>19</v>
      </c>
      <c r="E258" s="5">
        <v>45176</v>
      </c>
      <c r="F258" s="4" t="s">
        <v>35</v>
      </c>
      <c r="G258" s="4" t="s">
        <v>15</v>
      </c>
      <c r="H258" s="6">
        <v>8</v>
      </c>
      <c r="I258" s="4" t="b">
        <v>0</v>
      </c>
      <c r="J258" s="4" t="b">
        <v>1</v>
      </c>
      <c r="K258" s="4" t="str">
        <f t="shared" si="6"/>
        <v>Churned</v>
      </c>
      <c r="L258" s="4">
        <f t="shared" si="7"/>
        <v>1</v>
      </c>
    </row>
    <row r="259" spans="1:12" x14ac:dyDescent="0.3">
      <c r="A259" s="4" t="s">
        <v>544</v>
      </c>
      <c r="B259" s="4" t="s">
        <v>545</v>
      </c>
      <c r="C259" s="4" t="s">
        <v>18</v>
      </c>
      <c r="D259" s="4" t="s">
        <v>13</v>
      </c>
      <c r="E259" s="5">
        <v>45494</v>
      </c>
      <c r="F259" s="4" t="s">
        <v>35</v>
      </c>
      <c r="G259" s="4" t="s">
        <v>39</v>
      </c>
      <c r="H259" s="6">
        <v>37</v>
      </c>
      <c r="I259" s="4" t="b">
        <v>1</v>
      </c>
      <c r="J259" s="4" t="b">
        <v>0</v>
      </c>
      <c r="K259" s="4" t="str">
        <f t="shared" ref="K259:K322" si="8">IF(J259=TRUE,"Churned","Active")</f>
        <v>Active</v>
      </c>
      <c r="L259" s="4">
        <f t="shared" ref="L259:L322" si="9">IF(J259=TRUE,1,0)</f>
        <v>0</v>
      </c>
    </row>
    <row r="260" spans="1:12" x14ac:dyDescent="0.3">
      <c r="A260" s="4" t="s">
        <v>546</v>
      </c>
      <c r="B260" s="4" t="s">
        <v>547</v>
      </c>
      <c r="C260" s="4" t="s">
        <v>27</v>
      </c>
      <c r="D260" s="4" t="s">
        <v>13</v>
      </c>
      <c r="E260" s="5">
        <v>45078</v>
      </c>
      <c r="F260" s="4" t="s">
        <v>35</v>
      </c>
      <c r="G260" s="4" t="s">
        <v>15</v>
      </c>
      <c r="H260" s="6">
        <v>31</v>
      </c>
      <c r="I260" s="4" t="b">
        <v>1</v>
      </c>
      <c r="J260" s="4" t="b">
        <v>0</v>
      </c>
      <c r="K260" s="4" t="str">
        <f t="shared" si="8"/>
        <v>Active</v>
      </c>
      <c r="L260" s="4">
        <f t="shared" si="9"/>
        <v>0</v>
      </c>
    </row>
    <row r="261" spans="1:12" x14ac:dyDescent="0.3">
      <c r="A261" s="4" t="s">
        <v>548</v>
      </c>
      <c r="B261" s="4" t="s">
        <v>549</v>
      </c>
      <c r="C261" s="4" t="s">
        <v>38</v>
      </c>
      <c r="D261" s="4" t="s">
        <v>19</v>
      </c>
      <c r="E261" s="5">
        <v>45480</v>
      </c>
      <c r="F261" s="4" t="s">
        <v>24</v>
      </c>
      <c r="G261" s="4" t="s">
        <v>32</v>
      </c>
      <c r="H261" s="6">
        <v>25</v>
      </c>
      <c r="I261" s="4" t="b">
        <v>0</v>
      </c>
      <c r="J261" s="4" t="b">
        <v>0</v>
      </c>
      <c r="K261" s="4" t="str">
        <f t="shared" si="8"/>
        <v>Active</v>
      </c>
      <c r="L261" s="4">
        <f t="shared" si="9"/>
        <v>0</v>
      </c>
    </row>
    <row r="262" spans="1:12" x14ac:dyDescent="0.3">
      <c r="A262" s="4" t="s">
        <v>550</v>
      </c>
      <c r="B262" s="4" t="s">
        <v>551</v>
      </c>
      <c r="C262" s="4" t="s">
        <v>18</v>
      </c>
      <c r="D262" s="4" t="s">
        <v>13</v>
      </c>
      <c r="E262" s="5">
        <v>44953</v>
      </c>
      <c r="F262" s="4" t="s">
        <v>35</v>
      </c>
      <c r="G262" s="4" t="s">
        <v>32</v>
      </c>
      <c r="H262" s="6">
        <v>23</v>
      </c>
      <c r="I262" s="4" t="b">
        <v>0</v>
      </c>
      <c r="J262" s="4" t="b">
        <v>0</v>
      </c>
      <c r="K262" s="4" t="str">
        <f t="shared" si="8"/>
        <v>Active</v>
      </c>
      <c r="L262" s="4">
        <f t="shared" si="9"/>
        <v>0</v>
      </c>
    </row>
    <row r="263" spans="1:12" x14ac:dyDescent="0.3">
      <c r="A263" s="4" t="s">
        <v>552</v>
      </c>
      <c r="B263" s="4" t="s">
        <v>553</v>
      </c>
      <c r="C263" s="4" t="s">
        <v>12</v>
      </c>
      <c r="D263" s="4" t="s">
        <v>13</v>
      </c>
      <c r="E263" s="5">
        <v>45258</v>
      </c>
      <c r="F263" s="4" t="s">
        <v>24</v>
      </c>
      <c r="G263" s="4" t="s">
        <v>15</v>
      </c>
      <c r="H263" s="6">
        <v>8</v>
      </c>
      <c r="I263" s="4" t="b">
        <v>0</v>
      </c>
      <c r="J263" s="4" t="b">
        <v>0</v>
      </c>
      <c r="K263" s="4" t="str">
        <f t="shared" si="8"/>
        <v>Active</v>
      </c>
      <c r="L263" s="4">
        <f t="shared" si="9"/>
        <v>0</v>
      </c>
    </row>
    <row r="264" spans="1:12" x14ac:dyDescent="0.3">
      <c r="A264" s="4" t="s">
        <v>554</v>
      </c>
      <c r="B264" s="4" t="s">
        <v>555</v>
      </c>
      <c r="C264" s="4" t="s">
        <v>27</v>
      </c>
      <c r="D264" s="4" t="s">
        <v>13</v>
      </c>
      <c r="E264" s="5">
        <v>45358</v>
      </c>
      <c r="F264" s="4" t="s">
        <v>24</v>
      </c>
      <c r="G264" s="4" t="s">
        <v>39</v>
      </c>
      <c r="H264" s="6">
        <v>17</v>
      </c>
      <c r="I264" s="4" t="b">
        <v>0</v>
      </c>
      <c r="J264" s="4" t="b">
        <v>0</v>
      </c>
      <c r="K264" s="4" t="str">
        <f t="shared" si="8"/>
        <v>Active</v>
      </c>
      <c r="L264" s="4">
        <f t="shared" si="9"/>
        <v>0</v>
      </c>
    </row>
    <row r="265" spans="1:12" x14ac:dyDescent="0.3">
      <c r="A265" s="4" t="s">
        <v>556</v>
      </c>
      <c r="B265" s="4" t="s">
        <v>557</v>
      </c>
      <c r="C265" s="4" t="s">
        <v>38</v>
      </c>
      <c r="D265" s="4" t="s">
        <v>13</v>
      </c>
      <c r="E265" s="5">
        <v>45386</v>
      </c>
      <c r="F265" s="4" t="s">
        <v>24</v>
      </c>
      <c r="G265" s="4" t="s">
        <v>39</v>
      </c>
      <c r="H265" s="6">
        <v>58</v>
      </c>
      <c r="I265" s="4" t="b">
        <v>0</v>
      </c>
      <c r="J265" s="4" t="b">
        <v>0</v>
      </c>
      <c r="K265" s="4" t="str">
        <f t="shared" si="8"/>
        <v>Active</v>
      </c>
      <c r="L265" s="4">
        <f t="shared" si="9"/>
        <v>0</v>
      </c>
    </row>
    <row r="266" spans="1:12" x14ac:dyDescent="0.3">
      <c r="A266" s="4" t="s">
        <v>558</v>
      </c>
      <c r="B266" s="4" t="s">
        <v>559</v>
      </c>
      <c r="C266" s="4" t="s">
        <v>18</v>
      </c>
      <c r="D266" s="4" t="s">
        <v>65</v>
      </c>
      <c r="E266" s="5">
        <v>45442</v>
      </c>
      <c r="F266" s="4" t="s">
        <v>24</v>
      </c>
      <c r="G266" s="4" t="s">
        <v>32</v>
      </c>
      <c r="H266" s="6">
        <v>14</v>
      </c>
      <c r="I266" s="4" t="b">
        <v>0</v>
      </c>
      <c r="J266" s="4" t="b">
        <v>1</v>
      </c>
      <c r="K266" s="4" t="str">
        <f t="shared" si="8"/>
        <v>Churned</v>
      </c>
      <c r="L266" s="4">
        <f t="shared" si="9"/>
        <v>1</v>
      </c>
    </row>
    <row r="267" spans="1:12" x14ac:dyDescent="0.3">
      <c r="A267" s="4" t="s">
        <v>560</v>
      </c>
      <c r="B267" s="4" t="s">
        <v>561</v>
      </c>
      <c r="C267" s="4" t="s">
        <v>27</v>
      </c>
      <c r="D267" s="4" t="s">
        <v>13</v>
      </c>
      <c r="E267" s="5">
        <v>45601</v>
      </c>
      <c r="F267" s="4" t="s">
        <v>24</v>
      </c>
      <c r="G267" s="4" t="s">
        <v>15</v>
      </c>
      <c r="H267" s="6">
        <v>41</v>
      </c>
      <c r="I267" s="4" t="b">
        <v>0</v>
      </c>
      <c r="J267" s="4" t="b">
        <v>0</v>
      </c>
      <c r="K267" s="4" t="str">
        <f t="shared" si="8"/>
        <v>Active</v>
      </c>
      <c r="L267" s="4">
        <f t="shared" si="9"/>
        <v>0</v>
      </c>
    </row>
    <row r="268" spans="1:12" x14ac:dyDescent="0.3">
      <c r="A268" s="4" t="s">
        <v>562</v>
      </c>
      <c r="B268" s="4" t="s">
        <v>563</v>
      </c>
      <c r="C268" s="4" t="s">
        <v>23</v>
      </c>
      <c r="D268" s="4" t="s">
        <v>13</v>
      </c>
      <c r="E268" s="5">
        <v>45417</v>
      </c>
      <c r="F268" s="4" t="s">
        <v>24</v>
      </c>
      <c r="G268" s="4" t="s">
        <v>39</v>
      </c>
      <c r="H268" s="6">
        <v>23</v>
      </c>
      <c r="I268" s="4" t="b">
        <v>0</v>
      </c>
      <c r="J268" s="4" t="b">
        <v>0</v>
      </c>
      <c r="K268" s="4" t="str">
        <f t="shared" si="8"/>
        <v>Active</v>
      </c>
      <c r="L268" s="4">
        <f t="shared" si="9"/>
        <v>0</v>
      </c>
    </row>
    <row r="269" spans="1:12" x14ac:dyDescent="0.3">
      <c r="A269" s="4" t="s">
        <v>564</v>
      </c>
      <c r="B269" s="4" t="s">
        <v>565</v>
      </c>
      <c r="C269" s="4" t="s">
        <v>23</v>
      </c>
      <c r="D269" s="4" t="s">
        <v>13</v>
      </c>
      <c r="E269" s="5">
        <v>45656</v>
      </c>
      <c r="F269" s="4" t="s">
        <v>24</v>
      </c>
      <c r="G269" s="4" t="s">
        <v>39</v>
      </c>
      <c r="H269" s="6">
        <v>3</v>
      </c>
      <c r="I269" s="4" t="b">
        <v>0</v>
      </c>
      <c r="J269" s="4" t="b">
        <v>0</v>
      </c>
      <c r="K269" s="4" t="str">
        <f t="shared" si="8"/>
        <v>Active</v>
      </c>
      <c r="L269" s="4">
        <f t="shared" si="9"/>
        <v>0</v>
      </c>
    </row>
    <row r="270" spans="1:12" x14ac:dyDescent="0.3">
      <c r="A270" s="4" t="s">
        <v>566</v>
      </c>
      <c r="B270" s="4" t="s">
        <v>567</v>
      </c>
      <c r="C270" s="4" t="s">
        <v>18</v>
      </c>
      <c r="D270" s="4" t="s">
        <v>13</v>
      </c>
      <c r="E270" s="5">
        <v>45549</v>
      </c>
      <c r="F270" s="4" t="s">
        <v>14</v>
      </c>
      <c r="G270" s="4" t="s">
        <v>32</v>
      </c>
      <c r="H270" s="6">
        <v>11</v>
      </c>
      <c r="I270" s="4" t="b">
        <v>0</v>
      </c>
      <c r="J270" s="4" t="b">
        <v>0</v>
      </c>
      <c r="K270" s="4" t="str">
        <f t="shared" si="8"/>
        <v>Active</v>
      </c>
      <c r="L270" s="4">
        <f t="shared" si="9"/>
        <v>0</v>
      </c>
    </row>
    <row r="271" spans="1:12" x14ac:dyDescent="0.3">
      <c r="A271" s="4" t="s">
        <v>568</v>
      </c>
      <c r="B271" s="4" t="s">
        <v>569</v>
      </c>
      <c r="C271" s="4" t="s">
        <v>27</v>
      </c>
      <c r="D271" s="4" t="s">
        <v>13</v>
      </c>
      <c r="E271" s="5">
        <v>45575</v>
      </c>
      <c r="F271" s="4" t="s">
        <v>14</v>
      </c>
      <c r="G271" s="4" t="s">
        <v>39</v>
      </c>
      <c r="H271" s="6">
        <v>51</v>
      </c>
      <c r="I271" s="4" t="b">
        <v>0</v>
      </c>
      <c r="J271" s="4" t="b">
        <v>1</v>
      </c>
      <c r="K271" s="4" t="str">
        <f t="shared" si="8"/>
        <v>Churned</v>
      </c>
      <c r="L271" s="4">
        <f t="shared" si="9"/>
        <v>1</v>
      </c>
    </row>
    <row r="272" spans="1:12" x14ac:dyDescent="0.3">
      <c r="A272" s="4" t="s">
        <v>570</v>
      </c>
      <c r="B272" s="4" t="s">
        <v>571</v>
      </c>
      <c r="C272" s="4" t="s">
        <v>27</v>
      </c>
      <c r="D272" s="4" t="s">
        <v>13</v>
      </c>
      <c r="E272" s="5">
        <v>45538</v>
      </c>
      <c r="F272" s="4" t="s">
        <v>20</v>
      </c>
      <c r="G272" s="4" t="s">
        <v>32</v>
      </c>
      <c r="H272" s="6">
        <v>83</v>
      </c>
      <c r="I272" s="4" t="b">
        <v>0</v>
      </c>
      <c r="J272" s="4" t="b">
        <v>1</v>
      </c>
      <c r="K272" s="4" t="str">
        <f t="shared" si="8"/>
        <v>Churned</v>
      </c>
      <c r="L272" s="4">
        <f t="shared" si="9"/>
        <v>1</v>
      </c>
    </row>
    <row r="273" spans="1:12" x14ac:dyDescent="0.3">
      <c r="A273" s="4" t="s">
        <v>572</v>
      </c>
      <c r="B273" s="4" t="s">
        <v>573</v>
      </c>
      <c r="C273" s="4" t="s">
        <v>12</v>
      </c>
      <c r="D273" s="4" t="s">
        <v>19</v>
      </c>
      <c r="E273" s="5">
        <v>45367</v>
      </c>
      <c r="F273" s="4" t="s">
        <v>24</v>
      </c>
      <c r="G273" s="4" t="s">
        <v>32</v>
      </c>
      <c r="H273" s="6">
        <v>50</v>
      </c>
      <c r="I273" s="4" t="b">
        <v>0</v>
      </c>
      <c r="J273" s="4" t="b">
        <v>0</v>
      </c>
      <c r="K273" s="4" t="str">
        <f t="shared" si="8"/>
        <v>Active</v>
      </c>
      <c r="L273" s="4">
        <f t="shared" si="9"/>
        <v>0</v>
      </c>
    </row>
    <row r="274" spans="1:12" x14ac:dyDescent="0.3">
      <c r="A274" s="4" t="s">
        <v>574</v>
      </c>
      <c r="B274" s="4" t="s">
        <v>575</v>
      </c>
      <c r="C274" s="4" t="s">
        <v>27</v>
      </c>
      <c r="D274" s="4" t="s">
        <v>19</v>
      </c>
      <c r="E274" s="5">
        <v>45593</v>
      </c>
      <c r="F274" s="4" t="s">
        <v>35</v>
      </c>
      <c r="G274" s="4" t="s">
        <v>39</v>
      </c>
      <c r="H274" s="6">
        <v>17</v>
      </c>
      <c r="I274" s="4" t="b">
        <v>0</v>
      </c>
      <c r="J274" s="4" t="b">
        <v>1</v>
      </c>
      <c r="K274" s="4" t="str">
        <f t="shared" si="8"/>
        <v>Churned</v>
      </c>
      <c r="L274" s="4">
        <f t="shared" si="9"/>
        <v>1</v>
      </c>
    </row>
    <row r="275" spans="1:12" x14ac:dyDescent="0.3">
      <c r="A275" s="4" t="s">
        <v>576</v>
      </c>
      <c r="B275" s="4" t="s">
        <v>577</v>
      </c>
      <c r="C275" s="4" t="s">
        <v>18</v>
      </c>
      <c r="D275" s="4" t="s">
        <v>13</v>
      </c>
      <c r="E275" s="5">
        <v>45389</v>
      </c>
      <c r="F275" s="4" t="s">
        <v>31</v>
      </c>
      <c r="G275" s="4" t="s">
        <v>39</v>
      </c>
      <c r="H275" s="6">
        <v>8</v>
      </c>
      <c r="I275" s="4" t="b">
        <v>0</v>
      </c>
      <c r="J275" s="4" t="b">
        <v>1</v>
      </c>
      <c r="K275" s="4" t="str">
        <f t="shared" si="8"/>
        <v>Churned</v>
      </c>
      <c r="L275" s="4">
        <f t="shared" si="9"/>
        <v>1</v>
      </c>
    </row>
    <row r="276" spans="1:12" x14ac:dyDescent="0.3">
      <c r="A276" s="4" t="s">
        <v>578</v>
      </c>
      <c r="B276" s="4" t="s">
        <v>579</v>
      </c>
      <c r="C276" s="4" t="s">
        <v>12</v>
      </c>
      <c r="D276" s="4" t="s">
        <v>13</v>
      </c>
      <c r="E276" s="5">
        <v>45352</v>
      </c>
      <c r="F276" s="4" t="s">
        <v>14</v>
      </c>
      <c r="G276" s="4" t="s">
        <v>32</v>
      </c>
      <c r="H276" s="6">
        <v>8</v>
      </c>
      <c r="I276" s="4" t="b">
        <v>0</v>
      </c>
      <c r="J276" s="4" t="b">
        <v>0</v>
      </c>
      <c r="K276" s="4" t="str">
        <f t="shared" si="8"/>
        <v>Active</v>
      </c>
      <c r="L276" s="4">
        <f t="shared" si="9"/>
        <v>0</v>
      </c>
    </row>
    <row r="277" spans="1:12" x14ac:dyDescent="0.3">
      <c r="A277" s="4" t="s">
        <v>580</v>
      </c>
      <c r="B277" s="4" t="s">
        <v>581</v>
      </c>
      <c r="C277" s="4" t="s">
        <v>38</v>
      </c>
      <c r="D277" s="4" t="s">
        <v>101</v>
      </c>
      <c r="E277" s="5">
        <v>45188</v>
      </c>
      <c r="F277" s="4" t="s">
        <v>31</v>
      </c>
      <c r="G277" s="4" t="s">
        <v>15</v>
      </c>
      <c r="H277" s="6">
        <v>50</v>
      </c>
      <c r="I277" s="4" t="b">
        <v>0</v>
      </c>
      <c r="J277" s="4" t="b">
        <v>0</v>
      </c>
      <c r="K277" s="4" t="str">
        <f t="shared" si="8"/>
        <v>Active</v>
      </c>
      <c r="L277" s="4">
        <f t="shared" si="9"/>
        <v>0</v>
      </c>
    </row>
    <row r="278" spans="1:12" x14ac:dyDescent="0.3">
      <c r="A278" s="4" t="s">
        <v>582</v>
      </c>
      <c r="B278" s="4" t="s">
        <v>583</v>
      </c>
      <c r="C278" s="4" t="s">
        <v>12</v>
      </c>
      <c r="D278" s="4" t="s">
        <v>13</v>
      </c>
      <c r="E278" s="5">
        <v>45020</v>
      </c>
      <c r="F278" s="4" t="s">
        <v>24</v>
      </c>
      <c r="G278" s="4" t="s">
        <v>32</v>
      </c>
      <c r="H278" s="6">
        <v>26</v>
      </c>
      <c r="I278" s="4" t="b">
        <v>0</v>
      </c>
      <c r="J278" s="4" t="b">
        <v>0</v>
      </c>
      <c r="K278" s="4" t="str">
        <f t="shared" si="8"/>
        <v>Active</v>
      </c>
      <c r="L278" s="4">
        <f t="shared" si="9"/>
        <v>0</v>
      </c>
    </row>
    <row r="279" spans="1:12" x14ac:dyDescent="0.3">
      <c r="A279" s="4" t="s">
        <v>584</v>
      </c>
      <c r="B279" s="4" t="s">
        <v>585</v>
      </c>
      <c r="C279" s="4" t="s">
        <v>18</v>
      </c>
      <c r="D279" s="4" t="s">
        <v>13</v>
      </c>
      <c r="E279" s="5">
        <v>45308</v>
      </c>
      <c r="F279" s="4" t="s">
        <v>20</v>
      </c>
      <c r="G279" s="4" t="s">
        <v>32</v>
      </c>
      <c r="H279" s="6">
        <v>12</v>
      </c>
      <c r="I279" s="4" t="b">
        <v>1</v>
      </c>
      <c r="J279" s="4" t="b">
        <v>1</v>
      </c>
      <c r="K279" s="4" t="str">
        <f t="shared" si="8"/>
        <v>Churned</v>
      </c>
      <c r="L279" s="4">
        <f t="shared" si="9"/>
        <v>1</v>
      </c>
    </row>
    <row r="280" spans="1:12" x14ac:dyDescent="0.3">
      <c r="A280" s="4" t="s">
        <v>586</v>
      </c>
      <c r="B280" s="4" t="s">
        <v>587</v>
      </c>
      <c r="C280" s="4" t="s">
        <v>38</v>
      </c>
      <c r="D280" s="4" t="s">
        <v>28</v>
      </c>
      <c r="E280" s="5">
        <v>45502</v>
      </c>
      <c r="F280" s="4" t="s">
        <v>31</v>
      </c>
      <c r="G280" s="4" t="s">
        <v>39</v>
      </c>
      <c r="H280" s="6">
        <v>13</v>
      </c>
      <c r="I280" s="4" t="b">
        <v>0</v>
      </c>
      <c r="J280" s="4" t="b">
        <v>0</v>
      </c>
      <c r="K280" s="4" t="str">
        <f t="shared" si="8"/>
        <v>Active</v>
      </c>
      <c r="L280" s="4">
        <f t="shared" si="9"/>
        <v>0</v>
      </c>
    </row>
    <row r="281" spans="1:12" x14ac:dyDescent="0.3">
      <c r="A281" s="4" t="s">
        <v>588</v>
      </c>
      <c r="B281" s="4" t="s">
        <v>589</v>
      </c>
      <c r="C281" s="4" t="s">
        <v>23</v>
      </c>
      <c r="D281" s="4" t="s">
        <v>82</v>
      </c>
      <c r="E281" s="5">
        <v>45608</v>
      </c>
      <c r="F281" s="4" t="s">
        <v>24</v>
      </c>
      <c r="G281" s="4" t="s">
        <v>39</v>
      </c>
      <c r="H281" s="6">
        <v>9</v>
      </c>
      <c r="I281" s="4" t="b">
        <v>0</v>
      </c>
      <c r="J281" s="4" t="b">
        <v>0</v>
      </c>
      <c r="K281" s="4" t="str">
        <f t="shared" si="8"/>
        <v>Active</v>
      </c>
      <c r="L281" s="4">
        <f t="shared" si="9"/>
        <v>0</v>
      </c>
    </row>
    <row r="282" spans="1:12" x14ac:dyDescent="0.3">
      <c r="A282" s="4" t="s">
        <v>590</v>
      </c>
      <c r="B282" s="4" t="s">
        <v>591</v>
      </c>
      <c r="C282" s="4" t="s">
        <v>38</v>
      </c>
      <c r="D282" s="4" t="s">
        <v>13</v>
      </c>
      <c r="E282" s="5">
        <v>45541</v>
      </c>
      <c r="F282" s="4" t="s">
        <v>20</v>
      </c>
      <c r="G282" s="4" t="s">
        <v>32</v>
      </c>
      <c r="H282" s="6">
        <v>1</v>
      </c>
      <c r="I282" s="4" t="b">
        <v>0</v>
      </c>
      <c r="J282" s="4" t="b">
        <v>1</v>
      </c>
      <c r="K282" s="4" t="str">
        <f t="shared" si="8"/>
        <v>Churned</v>
      </c>
      <c r="L282" s="4">
        <f t="shared" si="9"/>
        <v>1</v>
      </c>
    </row>
    <row r="283" spans="1:12" x14ac:dyDescent="0.3">
      <c r="A283" s="4" t="s">
        <v>592</v>
      </c>
      <c r="B283" s="4" t="s">
        <v>593</v>
      </c>
      <c r="C283" s="4" t="s">
        <v>18</v>
      </c>
      <c r="D283" s="4" t="s">
        <v>28</v>
      </c>
      <c r="E283" s="5">
        <v>45144</v>
      </c>
      <c r="F283" s="4" t="s">
        <v>35</v>
      </c>
      <c r="G283" s="4" t="s">
        <v>15</v>
      </c>
      <c r="H283" s="6">
        <v>64</v>
      </c>
      <c r="I283" s="4" t="b">
        <v>1</v>
      </c>
      <c r="J283" s="4" t="b">
        <v>0</v>
      </c>
      <c r="K283" s="4" t="str">
        <f t="shared" si="8"/>
        <v>Active</v>
      </c>
      <c r="L283" s="4">
        <f t="shared" si="9"/>
        <v>0</v>
      </c>
    </row>
    <row r="284" spans="1:12" x14ac:dyDescent="0.3">
      <c r="A284" s="4" t="s">
        <v>594</v>
      </c>
      <c r="B284" s="4" t="s">
        <v>595</v>
      </c>
      <c r="C284" s="4" t="s">
        <v>27</v>
      </c>
      <c r="D284" s="4" t="s">
        <v>13</v>
      </c>
      <c r="E284" s="5">
        <v>45285</v>
      </c>
      <c r="F284" s="4" t="s">
        <v>14</v>
      </c>
      <c r="G284" s="4" t="s">
        <v>32</v>
      </c>
      <c r="H284" s="6">
        <v>1</v>
      </c>
      <c r="I284" s="4" t="b">
        <v>0</v>
      </c>
      <c r="J284" s="4" t="b">
        <v>0</v>
      </c>
      <c r="K284" s="4" t="str">
        <f t="shared" si="8"/>
        <v>Active</v>
      </c>
      <c r="L284" s="4">
        <f t="shared" si="9"/>
        <v>0</v>
      </c>
    </row>
    <row r="285" spans="1:12" x14ac:dyDescent="0.3">
      <c r="A285" s="4" t="s">
        <v>596</v>
      </c>
      <c r="B285" s="4" t="s">
        <v>597</v>
      </c>
      <c r="C285" s="4" t="s">
        <v>23</v>
      </c>
      <c r="D285" s="4" t="s">
        <v>44</v>
      </c>
      <c r="E285" s="5">
        <v>45158</v>
      </c>
      <c r="F285" s="4" t="s">
        <v>20</v>
      </c>
      <c r="G285" s="4" t="s">
        <v>32</v>
      </c>
      <c r="H285" s="6">
        <v>18</v>
      </c>
      <c r="I285" s="4" t="b">
        <v>1</v>
      </c>
      <c r="J285" s="4" t="b">
        <v>0</v>
      </c>
      <c r="K285" s="4" t="str">
        <f t="shared" si="8"/>
        <v>Active</v>
      </c>
      <c r="L285" s="4">
        <f t="shared" si="9"/>
        <v>0</v>
      </c>
    </row>
    <row r="286" spans="1:12" x14ac:dyDescent="0.3">
      <c r="A286" s="4" t="s">
        <v>598</v>
      </c>
      <c r="B286" s="4" t="s">
        <v>599</v>
      </c>
      <c r="C286" s="4" t="s">
        <v>27</v>
      </c>
      <c r="D286" s="4" t="s">
        <v>13</v>
      </c>
      <c r="E286" s="5">
        <v>45618</v>
      </c>
      <c r="F286" s="4" t="s">
        <v>14</v>
      </c>
      <c r="G286" s="4" t="s">
        <v>15</v>
      </c>
      <c r="H286" s="6">
        <v>4</v>
      </c>
      <c r="I286" s="4" t="b">
        <v>0</v>
      </c>
      <c r="J286" s="4" t="b">
        <v>0</v>
      </c>
      <c r="K286" s="4" t="str">
        <f t="shared" si="8"/>
        <v>Active</v>
      </c>
      <c r="L286" s="4">
        <f t="shared" si="9"/>
        <v>0</v>
      </c>
    </row>
    <row r="287" spans="1:12" x14ac:dyDescent="0.3">
      <c r="A287" s="4" t="s">
        <v>600</v>
      </c>
      <c r="B287" s="4" t="s">
        <v>601</v>
      </c>
      <c r="C287" s="4" t="s">
        <v>38</v>
      </c>
      <c r="D287" s="4" t="s">
        <v>19</v>
      </c>
      <c r="E287" s="5">
        <v>45111</v>
      </c>
      <c r="F287" s="4" t="s">
        <v>14</v>
      </c>
      <c r="G287" s="4" t="s">
        <v>39</v>
      </c>
      <c r="H287" s="6">
        <v>4</v>
      </c>
      <c r="I287" s="4" t="b">
        <v>1</v>
      </c>
      <c r="J287" s="4" t="b">
        <v>0</v>
      </c>
      <c r="K287" s="4" t="str">
        <f t="shared" si="8"/>
        <v>Active</v>
      </c>
      <c r="L287" s="4">
        <f t="shared" si="9"/>
        <v>0</v>
      </c>
    </row>
    <row r="288" spans="1:12" x14ac:dyDescent="0.3">
      <c r="A288" s="4" t="s">
        <v>602</v>
      </c>
      <c r="B288" s="4" t="s">
        <v>603</v>
      </c>
      <c r="C288" s="4" t="s">
        <v>12</v>
      </c>
      <c r="D288" s="4" t="s">
        <v>13</v>
      </c>
      <c r="E288" s="5">
        <v>45286</v>
      </c>
      <c r="F288" s="4" t="s">
        <v>35</v>
      </c>
      <c r="G288" s="4" t="s">
        <v>32</v>
      </c>
      <c r="H288" s="6">
        <v>16</v>
      </c>
      <c r="I288" s="4" t="b">
        <v>1</v>
      </c>
      <c r="J288" s="4" t="b">
        <v>0</v>
      </c>
      <c r="K288" s="4" t="str">
        <f t="shared" si="8"/>
        <v>Active</v>
      </c>
      <c r="L288" s="4">
        <f t="shared" si="9"/>
        <v>0</v>
      </c>
    </row>
    <row r="289" spans="1:12" x14ac:dyDescent="0.3">
      <c r="A289" s="4" t="s">
        <v>604</v>
      </c>
      <c r="B289" s="4" t="s">
        <v>605</v>
      </c>
      <c r="C289" s="4" t="s">
        <v>23</v>
      </c>
      <c r="D289" s="4" t="s">
        <v>13</v>
      </c>
      <c r="E289" s="5">
        <v>45600</v>
      </c>
      <c r="F289" s="4" t="s">
        <v>24</v>
      </c>
      <c r="G289" s="4" t="s">
        <v>15</v>
      </c>
      <c r="H289" s="6">
        <v>12</v>
      </c>
      <c r="I289" s="4" t="b">
        <v>0</v>
      </c>
      <c r="J289" s="4" t="b">
        <v>0</v>
      </c>
      <c r="K289" s="4" t="str">
        <f t="shared" si="8"/>
        <v>Active</v>
      </c>
      <c r="L289" s="4">
        <f t="shared" si="9"/>
        <v>0</v>
      </c>
    </row>
    <row r="290" spans="1:12" x14ac:dyDescent="0.3">
      <c r="A290" s="4" t="s">
        <v>606</v>
      </c>
      <c r="B290" s="4" t="s">
        <v>607</v>
      </c>
      <c r="C290" s="4" t="s">
        <v>18</v>
      </c>
      <c r="D290" s="4" t="s">
        <v>13</v>
      </c>
      <c r="E290" s="5">
        <v>45470</v>
      </c>
      <c r="F290" s="4" t="s">
        <v>31</v>
      </c>
      <c r="G290" s="4" t="s">
        <v>39</v>
      </c>
      <c r="H290" s="6">
        <v>10</v>
      </c>
      <c r="I290" s="4" t="b">
        <v>0</v>
      </c>
      <c r="J290" s="4" t="b">
        <v>1</v>
      </c>
      <c r="K290" s="4" t="str">
        <f t="shared" si="8"/>
        <v>Churned</v>
      </c>
      <c r="L290" s="4">
        <f t="shared" si="9"/>
        <v>1</v>
      </c>
    </row>
    <row r="291" spans="1:12" x14ac:dyDescent="0.3">
      <c r="A291" s="4" t="s">
        <v>608</v>
      </c>
      <c r="B291" s="4" t="s">
        <v>609</v>
      </c>
      <c r="C291" s="4" t="s">
        <v>38</v>
      </c>
      <c r="D291" s="4" t="s">
        <v>13</v>
      </c>
      <c r="E291" s="5">
        <v>45088</v>
      </c>
      <c r="F291" s="4" t="s">
        <v>14</v>
      </c>
      <c r="G291" s="4" t="s">
        <v>32</v>
      </c>
      <c r="H291" s="6">
        <v>4</v>
      </c>
      <c r="I291" s="4" t="b">
        <v>0</v>
      </c>
      <c r="J291" s="4" t="b">
        <v>0</v>
      </c>
      <c r="K291" s="4" t="str">
        <f t="shared" si="8"/>
        <v>Active</v>
      </c>
      <c r="L291" s="4">
        <f t="shared" si="9"/>
        <v>0</v>
      </c>
    </row>
    <row r="292" spans="1:12" x14ac:dyDescent="0.3">
      <c r="A292" s="4" t="s">
        <v>610</v>
      </c>
      <c r="B292" s="4" t="s">
        <v>611</v>
      </c>
      <c r="C292" s="4" t="s">
        <v>12</v>
      </c>
      <c r="D292" s="4" t="s">
        <v>82</v>
      </c>
      <c r="E292" s="5">
        <v>45537</v>
      </c>
      <c r="F292" s="4" t="s">
        <v>35</v>
      </c>
      <c r="G292" s="4" t="s">
        <v>15</v>
      </c>
      <c r="H292" s="6">
        <v>9</v>
      </c>
      <c r="I292" s="4" t="b">
        <v>0</v>
      </c>
      <c r="J292" s="4" t="b">
        <v>0</v>
      </c>
      <c r="K292" s="4" t="str">
        <f t="shared" si="8"/>
        <v>Active</v>
      </c>
      <c r="L292" s="4">
        <f t="shared" si="9"/>
        <v>0</v>
      </c>
    </row>
    <row r="293" spans="1:12" x14ac:dyDescent="0.3">
      <c r="A293" s="4" t="s">
        <v>612</v>
      </c>
      <c r="B293" s="4" t="s">
        <v>613</v>
      </c>
      <c r="C293" s="4" t="s">
        <v>12</v>
      </c>
      <c r="D293" s="4" t="s">
        <v>28</v>
      </c>
      <c r="E293" s="5">
        <v>45559</v>
      </c>
      <c r="F293" s="4" t="s">
        <v>14</v>
      </c>
      <c r="G293" s="4" t="s">
        <v>39</v>
      </c>
      <c r="H293" s="6">
        <v>10</v>
      </c>
      <c r="I293" s="4" t="b">
        <v>1</v>
      </c>
      <c r="J293" s="4" t="b">
        <v>1</v>
      </c>
      <c r="K293" s="4" t="str">
        <f t="shared" si="8"/>
        <v>Churned</v>
      </c>
      <c r="L293" s="4">
        <f t="shared" si="9"/>
        <v>1</v>
      </c>
    </row>
    <row r="294" spans="1:12" x14ac:dyDescent="0.3">
      <c r="A294" s="4" t="s">
        <v>614</v>
      </c>
      <c r="B294" s="4" t="s">
        <v>615</v>
      </c>
      <c r="C294" s="4" t="s">
        <v>23</v>
      </c>
      <c r="D294" s="4" t="s">
        <v>13</v>
      </c>
      <c r="E294" s="5">
        <v>45604</v>
      </c>
      <c r="F294" s="4" t="s">
        <v>31</v>
      </c>
      <c r="G294" s="4" t="s">
        <v>39</v>
      </c>
      <c r="H294" s="6">
        <v>25</v>
      </c>
      <c r="I294" s="4" t="b">
        <v>0</v>
      </c>
      <c r="J294" s="4" t="b">
        <v>1</v>
      </c>
      <c r="K294" s="4" t="str">
        <f t="shared" si="8"/>
        <v>Churned</v>
      </c>
      <c r="L294" s="4">
        <f t="shared" si="9"/>
        <v>1</v>
      </c>
    </row>
    <row r="295" spans="1:12" x14ac:dyDescent="0.3">
      <c r="A295" s="4" t="s">
        <v>616</v>
      </c>
      <c r="B295" s="4" t="s">
        <v>617</v>
      </c>
      <c r="C295" s="4" t="s">
        <v>18</v>
      </c>
      <c r="D295" s="4" t="s">
        <v>19</v>
      </c>
      <c r="E295" s="5">
        <v>45206</v>
      </c>
      <c r="F295" s="4" t="s">
        <v>24</v>
      </c>
      <c r="G295" s="4" t="s">
        <v>39</v>
      </c>
      <c r="H295" s="6">
        <v>5</v>
      </c>
      <c r="I295" s="4" t="b">
        <v>0</v>
      </c>
      <c r="J295" s="4" t="b">
        <v>0</v>
      </c>
      <c r="K295" s="4" t="str">
        <f t="shared" si="8"/>
        <v>Active</v>
      </c>
      <c r="L295" s="4">
        <f t="shared" si="9"/>
        <v>0</v>
      </c>
    </row>
    <row r="296" spans="1:12" x14ac:dyDescent="0.3">
      <c r="A296" s="4" t="s">
        <v>618</v>
      </c>
      <c r="B296" s="4" t="s">
        <v>619</v>
      </c>
      <c r="C296" s="4" t="s">
        <v>12</v>
      </c>
      <c r="D296" s="4" t="s">
        <v>13</v>
      </c>
      <c r="E296" s="5">
        <v>45367</v>
      </c>
      <c r="F296" s="4" t="s">
        <v>20</v>
      </c>
      <c r="G296" s="4" t="s">
        <v>39</v>
      </c>
      <c r="H296" s="6">
        <v>1</v>
      </c>
      <c r="I296" s="4" t="b">
        <v>1</v>
      </c>
      <c r="J296" s="4" t="b">
        <v>0</v>
      </c>
      <c r="K296" s="4" t="str">
        <f t="shared" si="8"/>
        <v>Active</v>
      </c>
      <c r="L296" s="4">
        <f t="shared" si="9"/>
        <v>0</v>
      </c>
    </row>
    <row r="297" spans="1:12" x14ac:dyDescent="0.3">
      <c r="A297" s="4" t="s">
        <v>620</v>
      </c>
      <c r="B297" s="4" t="s">
        <v>621</v>
      </c>
      <c r="C297" s="4" t="s">
        <v>38</v>
      </c>
      <c r="D297" s="4" t="s">
        <v>13</v>
      </c>
      <c r="E297" s="5">
        <v>45466</v>
      </c>
      <c r="F297" s="4" t="s">
        <v>31</v>
      </c>
      <c r="G297" s="4" t="s">
        <v>32</v>
      </c>
      <c r="H297" s="6">
        <v>3</v>
      </c>
      <c r="I297" s="4" t="b">
        <v>0</v>
      </c>
      <c r="J297" s="4" t="b">
        <v>0</v>
      </c>
      <c r="K297" s="4" t="str">
        <f t="shared" si="8"/>
        <v>Active</v>
      </c>
      <c r="L297" s="4">
        <f t="shared" si="9"/>
        <v>0</v>
      </c>
    </row>
    <row r="298" spans="1:12" x14ac:dyDescent="0.3">
      <c r="A298" s="4" t="s">
        <v>622</v>
      </c>
      <c r="B298" s="4" t="s">
        <v>623</v>
      </c>
      <c r="C298" s="4" t="s">
        <v>12</v>
      </c>
      <c r="D298" s="4" t="s">
        <v>13</v>
      </c>
      <c r="E298" s="5">
        <v>44983</v>
      </c>
      <c r="F298" s="4" t="s">
        <v>35</v>
      </c>
      <c r="G298" s="4" t="s">
        <v>15</v>
      </c>
      <c r="H298" s="6">
        <v>2</v>
      </c>
      <c r="I298" s="4" t="b">
        <v>0</v>
      </c>
      <c r="J298" s="4" t="b">
        <v>0</v>
      </c>
      <c r="K298" s="4" t="str">
        <f t="shared" si="8"/>
        <v>Active</v>
      </c>
      <c r="L298" s="4">
        <f t="shared" si="9"/>
        <v>0</v>
      </c>
    </row>
    <row r="299" spans="1:12" x14ac:dyDescent="0.3">
      <c r="A299" s="4" t="s">
        <v>624</v>
      </c>
      <c r="B299" s="4" t="s">
        <v>625</v>
      </c>
      <c r="C299" s="4" t="s">
        <v>38</v>
      </c>
      <c r="D299" s="4" t="s">
        <v>13</v>
      </c>
      <c r="E299" s="5">
        <v>45188</v>
      </c>
      <c r="F299" s="4" t="s">
        <v>24</v>
      </c>
      <c r="G299" s="4" t="s">
        <v>39</v>
      </c>
      <c r="H299" s="6">
        <v>38</v>
      </c>
      <c r="I299" s="4" t="b">
        <v>0</v>
      </c>
      <c r="J299" s="4" t="b">
        <v>0</v>
      </c>
      <c r="K299" s="4" t="str">
        <f t="shared" si="8"/>
        <v>Active</v>
      </c>
      <c r="L299" s="4">
        <f t="shared" si="9"/>
        <v>0</v>
      </c>
    </row>
    <row r="300" spans="1:12" x14ac:dyDescent="0.3">
      <c r="A300" s="4" t="s">
        <v>626</v>
      </c>
      <c r="B300" s="4" t="s">
        <v>627</v>
      </c>
      <c r="C300" s="4" t="s">
        <v>18</v>
      </c>
      <c r="D300" s="4" t="s">
        <v>13</v>
      </c>
      <c r="E300" s="5">
        <v>45367</v>
      </c>
      <c r="F300" s="4" t="s">
        <v>20</v>
      </c>
      <c r="G300" s="4" t="s">
        <v>32</v>
      </c>
      <c r="H300" s="6">
        <v>22</v>
      </c>
      <c r="I300" s="4" t="b">
        <v>0</v>
      </c>
      <c r="J300" s="4" t="b">
        <v>0</v>
      </c>
      <c r="K300" s="4" t="str">
        <f t="shared" si="8"/>
        <v>Active</v>
      </c>
      <c r="L300" s="4">
        <f t="shared" si="9"/>
        <v>0</v>
      </c>
    </row>
    <row r="301" spans="1:12" x14ac:dyDescent="0.3">
      <c r="A301" s="4" t="s">
        <v>628</v>
      </c>
      <c r="B301" s="4" t="s">
        <v>629</v>
      </c>
      <c r="C301" s="4" t="s">
        <v>27</v>
      </c>
      <c r="D301" s="4" t="s">
        <v>13</v>
      </c>
      <c r="E301" s="5">
        <v>45162</v>
      </c>
      <c r="F301" s="4" t="s">
        <v>14</v>
      </c>
      <c r="G301" s="4" t="s">
        <v>15</v>
      </c>
      <c r="H301" s="6">
        <v>45</v>
      </c>
      <c r="I301" s="4" t="b">
        <v>1</v>
      </c>
      <c r="J301" s="4" t="b">
        <v>1</v>
      </c>
      <c r="K301" s="4" t="str">
        <f t="shared" si="8"/>
        <v>Churned</v>
      </c>
      <c r="L301" s="4">
        <f t="shared" si="9"/>
        <v>1</v>
      </c>
    </row>
    <row r="302" spans="1:12" x14ac:dyDescent="0.3">
      <c r="A302" s="4" t="s">
        <v>630</v>
      </c>
      <c r="B302" s="4" t="s">
        <v>631</v>
      </c>
      <c r="C302" s="4" t="s">
        <v>12</v>
      </c>
      <c r="D302" s="4" t="s">
        <v>13</v>
      </c>
      <c r="E302" s="5">
        <v>45333</v>
      </c>
      <c r="F302" s="4" t="s">
        <v>31</v>
      </c>
      <c r="G302" s="4" t="s">
        <v>15</v>
      </c>
      <c r="H302" s="6">
        <v>4</v>
      </c>
      <c r="I302" s="4" t="b">
        <v>1</v>
      </c>
      <c r="J302" s="4" t="b">
        <v>1</v>
      </c>
      <c r="K302" s="4" t="str">
        <f t="shared" si="8"/>
        <v>Churned</v>
      </c>
      <c r="L302" s="4">
        <f t="shared" si="9"/>
        <v>1</v>
      </c>
    </row>
    <row r="303" spans="1:12" x14ac:dyDescent="0.3">
      <c r="A303" s="4" t="s">
        <v>632</v>
      </c>
      <c r="B303" s="4" t="s">
        <v>633</v>
      </c>
      <c r="C303" s="4" t="s">
        <v>27</v>
      </c>
      <c r="D303" s="4" t="s">
        <v>13</v>
      </c>
      <c r="E303" s="5">
        <v>45247</v>
      </c>
      <c r="F303" s="4" t="s">
        <v>31</v>
      </c>
      <c r="G303" s="4" t="s">
        <v>32</v>
      </c>
      <c r="H303" s="6">
        <v>17</v>
      </c>
      <c r="I303" s="4" t="b">
        <v>0</v>
      </c>
      <c r="J303" s="4" t="b">
        <v>0</v>
      </c>
      <c r="K303" s="4" t="str">
        <f t="shared" si="8"/>
        <v>Active</v>
      </c>
      <c r="L303" s="4">
        <f t="shared" si="9"/>
        <v>0</v>
      </c>
    </row>
    <row r="304" spans="1:12" x14ac:dyDescent="0.3">
      <c r="A304" s="4" t="s">
        <v>634</v>
      </c>
      <c r="B304" s="4" t="s">
        <v>635</v>
      </c>
      <c r="C304" s="4" t="s">
        <v>23</v>
      </c>
      <c r="D304" s="4" t="s">
        <v>13</v>
      </c>
      <c r="E304" s="5">
        <v>45582</v>
      </c>
      <c r="F304" s="4" t="s">
        <v>31</v>
      </c>
      <c r="G304" s="4" t="s">
        <v>15</v>
      </c>
      <c r="H304" s="6">
        <v>34</v>
      </c>
      <c r="I304" s="4" t="b">
        <v>0</v>
      </c>
      <c r="J304" s="4" t="b">
        <v>0</v>
      </c>
      <c r="K304" s="4" t="str">
        <f t="shared" si="8"/>
        <v>Active</v>
      </c>
      <c r="L304" s="4">
        <f t="shared" si="9"/>
        <v>0</v>
      </c>
    </row>
    <row r="305" spans="1:12" x14ac:dyDescent="0.3">
      <c r="A305" s="4" t="s">
        <v>636</v>
      </c>
      <c r="B305" s="4" t="s">
        <v>637</v>
      </c>
      <c r="C305" s="4" t="s">
        <v>18</v>
      </c>
      <c r="D305" s="4" t="s">
        <v>44</v>
      </c>
      <c r="E305" s="5">
        <v>45259</v>
      </c>
      <c r="F305" s="4" t="s">
        <v>20</v>
      </c>
      <c r="G305" s="4" t="s">
        <v>39</v>
      </c>
      <c r="H305" s="6">
        <v>9</v>
      </c>
      <c r="I305" s="4" t="b">
        <v>0</v>
      </c>
      <c r="J305" s="4" t="b">
        <v>0</v>
      </c>
      <c r="K305" s="4" t="str">
        <f t="shared" si="8"/>
        <v>Active</v>
      </c>
      <c r="L305" s="4">
        <f t="shared" si="9"/>
        <v>0</v>
      </c>
    </row>
    <row r="306" spans="1:12" x14ac:dyDescent="0.3">
      <c r="A306" s="4" t="s">
        <v>638</v>
      </c>
      <c r="B306" s="4" t="s">
        <v>639</v>
      </c>
      <c r="C306" s="4" t="s">
        <v>38</v>
      </c>
      <c r="D306" s="4" t="s">
        <v>13</v>
      </c>
      <c r="E306" s="5">
        <v>45633</v>
      </c>
      <c r="F306" s="4" t="s">
        <v>24</v>
      </c>
      <c r="G306" s="4" t="s">
        <v>15</v>
      </c>
      <c r="H306" s="6">
        <v>19</v>
      </c>
      <c r="I306" s="4" t="b">
        <v>0</v>
      </c>
      <c r="J306" s="4" t="b">
        <v>0</v>
      </c>
      <c r="K306" s="4" t="str">
        <f t="shared" si="8"/>
        <v>Active</v>
      </c>
      <c r="L306" s="4">
        <f t="shared" si="9"/>
        <v>0</v>
      </c>
    </row>
    <row r="307" spans="1:12" x14ac:dyDescent="0.3">
      <c r="A307" s="4" t="s">
        <v>640</v>
      </c>
      <c r="B307" s="4" t="s">
        <v>641</v>
      </c>
      <c r="C307" s="4" t="s">
        <v>27</v>
      </c>
      <c r="D307" s="4" t="s">
        <v>13</v>
      </c>
      <c r="E307" s="5">
        <v>45373</v>
      </c>
      <c r="F307" s="4" t="s">
        <v>24</v>
      </c>
      <c r="G307" s="4" t="s">
        <v>39</v>
      </c>
      <c r="H307" s="6">
        <v>11</v>
      </c>
      <c r="I307" s="4" t="b">
        <v>0</v>
      </c>
      <c r="J307" s="4" t="b">
        <v>0</v>
      </c>
      <c r="K307" s="4" t="str">
        <f t="shared" si="8"/>
        <v>Active</v>
      </c>
      <c r="L307" s="4">
        <f t="shared" si="9"/>
        <v>0</v>
      </c>
    </row>
    <row r="308" spans="1:12" x14ac:dyDescent="0.3">
      <c r="A308" s="4" t="s">
        <v>642</v>
      </c>
      <c r="B308" s="4" t="s">
        <v>643</v>
      </c>
      <c r="C308" s="4" t="s">
        <v>38</v>
      </c>
      <c r="D308" s="4" t="s">
        <v>13</v>
      </c>
      <c r="E308" s="5">
        <v>45244</v>
      </c>
      <c r="F308" s="4" t="s">
        <v>35</v>
      </c>
      <c r="G308" s="4" t="s">
        <v>15</v>
      </c>
      <c r="H308" s="6">
        <v>28</v>
      </c>
      <c r="I308" s="4" t="b">
        <v>1</v>
      </c>
      <c r="J308" s="4" t="b">
        <v>0</v>
      </c>
      <c r="K308" s="4" t="str">
        <f t="shared" si="8"/>
        <v>Active</v>
      </c>
      <c r="L308" s="4">
        <f t="shared" si="9"/>
        <v>0</v>
      </c>
    </row>
    <row r="309" spans="1:12" x14ac:dyDescent="0.3">
      <c r="A309" s="4" t="s">
        <v>644</v>
      </c>
      <c r="B309" s="4" t="s">
        <v>645</v>
      </c>
      <c r="C309" s="4" t="s">
        <v>12</v>
      </c>
      <c r="D309" s="4" t="s">
        <v>13</v>
      </c>
      <c r="E309" s="5">
        <v>45449</v>
      </c>
      <c r="F309" s="4" t="s">
        <v>35</v>
      </c>
      <c r="G309" s="4" t="s">
        <v>39</v>
      </c>
      <c r="H309" s="6">
        <v>13</v>
      </c>
      <c r="I309" s="4" t="b">
        <v>0</v>
      </c>
      <c r="J309" s="4" t="b">
        <v>0</v>
      </c>
      <c r="K309" s="4" t="str">
        <f t="shared" si="8"/>
        <v>Active</v>
      </c>
      <c r="L309" s="4">
        <f t="shared" si="9"/>
        <v>0</v>
      </c>
    </row>
    <row r="310" spans="1:12" x14ac:dyDescent="0.3">
      <c r="A310" s="4" t="s">
        <v>646</v>
      </c>
      <c r="B310" s="4" t="s">
        <v>647</v>
      </c>
      <c r="C310" s="4" t="s">
        <v>18</v>
      </c>
      <c r="D310" s="4" t="s">
        <v>13</v>
      </c>
      <c r="E310" s="5">
        <v>45286</v>
      </c>
      <c r="F310" s="4" t="s">
        <v>35</v>
      </c>
      <c r="G310" s="4" t="s">
        <v>39</v>
      </c>
      <c r="H310" s="6">
        <v>11</v>
      </c>
      <c r="I310" s="4" t="b">
        <v>1</v>
      </c>
      <c r="J310" s="4" t="b">
        <v>0</v>
      </c>
      <c r="K310" s="4" t="str">
        <f t="shared" si="8"/>
        <v>Active</v>
      </c>
      <c r="L310" s="4">
        <f t="shared" si="9"/>
        <v>0</v>
      </c>
    </row>
    <row r="311" spans="1:12" x14ac:dyDescent="0.3">
      <c r="A311" s="4" t="s">
        <v>648</v>
      </c>
      <c r="B311" s="4" t="s">
        <v>649</v>
      </c>
      <c r="C311" s="4" t="s">
        <v>18</v>
      </c>
      <c r="D311" s="4" t="s">
        <v>28</v>
      </c>
      <c r="E311" s="5">
        <v>45129</v>
      </c>
      <c r="F311" s="4" t="s">
        <v>24</v>
      </c>
      <c r="G311" s="4" t="s">
        <v>15</v>
      </c>
      <c r="H311" s="6">
        <v>15</v>
      </c>
      <c r="I311" s="4" t="b">
        <v>0</v>
      </c>
      <c r="J311" s="4" t="b">
        <v>0</v>
      </c>
      <c r="K311" s="4" t="str">
        <f t="shared" si="8"/>
        <v>Active</v>
      </c>
      <c r="L311" s="4">
        <f t="shared" si="9"/>
        <v>0</v>
      </c>
    </row>
    <row r="312" spans="1:12" x14ac:dyDescent="0.3">
      <c r="A312" s="4" t="s">
        <v>650</v>
      </c>
      <c r="B312" s="4" t="s">
        <v>651</v>
      </c>
      <c r="C312" s="4" t="s">
        <v>23</v>
      </c>
      <c r="D312" s="4" t="s">
        <v>13</v>
      </c>
      <c r="E312" s="5">
        <v>45570</v>
      </c>
      <c r="F312" s="4" t="s">
        <v>20</v>
      </c>
      <c r="G312" s="4" t="s">
        <v>32</v>
      </c>
      <c r="H312" s="6">
        <v>3</v>
      </c>
      <c r="I312" s="4" t="b">
        <v>0</v>
      </c>
      <c r="J312" s="4" t="b">
        <v>0</v>
      </c>
      <c r="K312" s="4" t="str">
        <f t="shared" si="8"/>
        <v>Active</v>
      </c>
      <c r="L312" s="4">
        <f t="shared" si="9"/>
        <v>0</v>
      </c>
    </row>
    <row r="313" spans="1:12" x14ac:dyDescent="0.3">
      <c r="A313" s="4" t="s">
        <v>652</v>
      </c>
      <c r="B313" s="4" t="s">
        <v>653</v>
      </c>
      <c r="C313" s="4" t="s">
        <v>27</v>
      </c>
      <c r="D313" s="4" t="s">
        <v>28</v>
      </c>
      <c r="E313" s="5">
        <v>45386</v>
      </c>
      <c r="F313" s="4" t="s">
        <v>20</v>
      </c>
      <c r="G313" s="4" t="s">
        <v>39</v>
      </c>
      <c r="H313" s="6">
        <v>14</v>
      </c>
      <c r="I313" s="4" t="b">
        <v>0</v>
      </c>
      <c r="J313" s="4" t="b">
        <v>0</v>
      </c>
      <c r="K313" s="4" t="str">
        <f t="shared" si="8"/>
        <v>Active</v>
      </c>
      <c r="L313" s="4">
        <f t="shared" si="9"/>
        <v>0</v>
      </c>
    </row>
    <row r="314" spans="1:12" x14ac:dyDescent="0.3">
      <c r="A314" s="4" t="s">
        <v>654</v>
      </c>
      <c r="B314" s="4" t="s">
        <v>655</v>
      </c>
      <c r="C314" s="4" t="s">
        <v>38</v>
      </c>
      <c r="D314" s="4" t="s">
        <v>13</v>
      </c>
      <c r="E314" s="5">
        <v>45569</v>
      </c>
      <c r="F314" s="4" t="s">
        <v>24</v>
      </c>
      <c r="G314" s="4" t="s">
        <v>39</v>
      </c>
      <c r="H314" s="6">
        <v>1</v>
      </c>
      <c r="I314" s="4" t="b">
        <v>0</v>
      </c>
      <c r="J314" s="4" t="b">
        <v>1</v>
      </c>
      <c r="K314" s="4" t="str">
        <f t="shared" si="8"/>
        <v>Churned</v>
      </c>
      <c r="L314" s="4">
        <f t="shared" si="9"/>
        <v>1</v>
      </c>
    </row>
    <row r="315" spans="1:12" x14ac:dyDescent="0.3">
      <c r="A315" s="4" t="s">
        <v>656</v>
      </c>
      <c r="B315" s="4" t="s">
        <v>657</v>
      </c>
      <c r="C315" s="4" t="s">
        <v>38</v>
      </c>
      <c r="D315" s="4" t="s">
        <v>19</v>
      </c>
      <c r="E315" s="5">
        <v>45379</v>
      </c>
      <c r="F315" s="4" t="s">
        <v>20</v>
      </c>
      <c r="G315" s="4" t="s">
        <v>15</v>
      </c>
      <c r="H315" s="6">
        <v>17</v>
      </c>
      <c r="I315" s="4" t="b">
        <v>0</v>
      </c>
      <c r="J315" s="4" t="b">
        <v>0</v>
      </c>
      <c r="K315" s="4" t="str">
        <f t="shared" si="8"/>
        <v>Active</v>
      </c>
      <c r="L315" s="4">
        <f t="shared" si="9"/>
        <v>0</v>
      </c>
    </row>
    <row r="316" spans="1:12" x14ac:dyDescent="0.3">
      <c r="A316" s="4" t="s">
        <v>658</v>
      </c>
      <c r="B316" s="4" t="s">
        <v>659</v>
      </c>
      <c r="C316" s="4" t="s">
        <v>27</v>
      </c>
      <c r="D316" s="4" t="s">
        <v>13</v>
      </c>
      <c r="E316" s="5">
        <v>45287</v>
      </c>
      <c r="F316" s="4" t="s">
        <v>31</v>
      </c>
      <c r="G316" s="4" t="s">
        <v>39</v>
      </c>
      <c r="H316" s="6">
        <v>21</v>
      </c>
      <c r="I316" s="4" t="b">
        <v>0</v>
      </c>
      <c r="J316" s="4" t="b">
        <v>0</v>
      </c>
      <c r="K316" s="4" t="str">
        <f t="shared" si="8"/>
        <v>Active</v>
      </c>
      <c r="L316" s="4">
        <f t="shared" si="9"/>
        <v>0</v>
      </c>
    </row>
    <row r="317" spans="1:12" x14ac:dyDescent="0.3">
      <c r="A317" s="4" t="s">
        <v>660</v>
      </c>
      <c r="B317" s="4" t="s">
        <v>661</v>
      </c>
      <c r="C317" s="4" t="s">
        <v>12</v>
      </c>
      <c r="D317" s="4" t="s">
        <v>13</v>
      </c>
      <c r="E317" s="5">
        <v>44965</v>
      </c>
      <c r="F317" s="4" t="s">
        <v>14</v>
      </c>
      <c r="G317" s="4" t="s">
        <v>15</v>
      </c>
      <c r="H317" s="6">
        <v>1</v>
      </c>
      <c r="I317" s="4" t="b">
        <v>1</v>
      </c>
      <c r="J317" s="4" t="b">
        <v>0</v>
      </c>
      <c r="K317" s="4" t="str">
        <f t="shared" si="8"/>
        <v>Active</v>
      </c>
      <c r="L317" s="4">
        <f t="shared" si="9"/>
        <v>0</v>
      </c>
    </row>
    <row r="318" spans="1:12" x14ac:dyDescent="0.3">
      <c r="A318" s="4" t="s">
        <v>662</v>
      </c>
      <c r="B318" s="4" t="s">
        <v>663</v>
      </c>
      <c r="C318" s="4" t="s">
        <v>12</v>
      </c>
      <c r="D318" s="4" t="s">
        <v>28</v>
      </c>
      <c r="E318" s="5">
        <v>45587</v>
      </c>
      <c r="F318" s="4" t="s">
        <v>20</v>
      </c>
      <c r="G318" s="4" t="s">
        <v>39</v>
      </c>
      <c r="H318" s="6">
        <v>41</v>
      </c>
      <c r="I318" s="4" t="b">
        <v>0</v>
      </c>
      <c r="J318" s="4" t="b">
        <v>0</v>
      </c>
      <c r="K318" s="4" t="str">
        <f t="shared" si="8"/>
        <v>Active</v>
      </c>
      <c r="L318" s="4">
        <f t="shared" si="9"/>
        <v>0</v>
      </c>
    </row>
    <row r="319" spans="1:12" x14ac:dyDescent="0.3">
      <c r="A319" s="4" t="s">
        <v>664</v>
      </c>
      <c r="B319" s="4" t="s">
        <v>665</v>
      </c>
      <c r="C319" s="4" t="s">
        <v>27</v>
      </c>
      <c r="D319" s="4" t="s">
        <v>13</v>
      </c>
      <c r="E319" s="5">
        <v>45400</v>
      </c>
      <c r="F319" s="4" t="s">
        <v>24</v>
      </c>
      <c r="G319" s="4" t="s">
        <v>39</v>
      </c>
      <c r="H319" s="6">
        <v>21</v>
      </c>
      <c r="I319" s="4" t="b">
        <v>0</v>
      </c>
      <c r="J319" s="4" t="b">
        <v>0</v>
      </c>
      <c r="K319" s="4" t="str">
        <f t="shared" si="8"/>
        <v>Active</v>
      </c>
      <c r="L319" s="4">
        <f t="shared" si="9"/>
        <v>0</v>
      </c>
    </row>
    <row r="320" spans="1:12" x14ac:dyDescent="0.3">
      <c r="A320" s="4" t="s">
        <v>666</v>
      </c>
      <c r="B320" s="4" t="s">
        <v>667</v>
      </c>
      <c r="C320" s="4" t="s">
        <v>18</v>
      </c>
      <c r="D320" s="4" t="s">
        <v>13</v>
      </c>
      <c r="E320" s="5">
        <v>45512</v>
      </c>
      <c r="F320" s="4" t="s">
        <v>31</v>
      </c>
      <c r="G320" s="4" t="s">
        <v>32</v>
      </c>
      <c r="H320" s="6">
        <v>10</v>
      </c>
      <c r="I320" s="4" t="b">
        <v>0</v>
      </c>
      <c r="J320" s="4" t="b">
        <v>0</v>
      </c>
      <c r="K320" s="4" t="str">
        <f t="shared" si="8"/>
        <v>Active</v>
      </c>
      <c r="L320" s="4">
        <f t="shared" si="9"/>
        <v>0</v>
      </c>
    </row>
    <row r="321" spans="1:12" x14ac:dyDescent="0.3">
      <c r="A321" s="4" t="s">
        <v>668</v>
      </c>
      <c r="B321" s="4" t="s">
        <v>669</v>
      </c>
      <c r="C321" s="4" t="s">
        <v>12</v>
      </c>
      <c r="D321" s="4" t="s">
        <v>13</v>
      </c>
      <c r="E321" s="5">
        <v>45081</v>
      </c>
      <c r="F321" s="4" t="s">
        <v>14</v>
      </c>
      <c r="G321" s="4" t="s">
        <v>32</v>
      </c>
      <c r="H321" s="6">
        <v>1</v>
      </c>
      <c r="I321" s="4" t="b">
        <v>0</v>
      </c>
      <c r="J321" s="4" t="b">
        <v>0</v>
      </c>
      <c r="K321" s="4" t="str">
        <f t="shared" si="8"/>
        <v>Active</v>
      </c>
      <c r="L321" s="4">
        <f t="shared" si="9"/>
        <v>0</v>
      </c>
    </row>
    <row r="322" spans="1:12" x14ac:dyDescent="0.3">
      <c r="A322" s="4" t="s">
        <v>670</v>
      </c>
      <c r="B322" s="4" t="s">
        <v>671</v>
      </c>
      <c r="C322" s="4" t="s">
        <v>27</v>
      </c>
      <c r="D322" s="4" t="s">
        <v>28</v>
      </c>
      <c r="E322" s="5">
        <v>45013</v>
      </c>
      <c r="F322" s="4" t="s">
        <v>24</v>
      </c>
      <c r="G322" s="4" t="s">
        <v>15</v>
      </c>
      <c r="H322" s="6">
        <v>1</v>
      </c>
      <c r="I322" s="4" t="b">
        <v>0</v>
      </c>
      <c r="J322" s="4" t="b">
        <v>0</v>
      </c>
      <c r="K322" s="4" t="str">
        <f t="shared" si="8"/>
        <v>Active</v>
      </c>
      <c r="L322" s="4">
        <f t="shared" si="9"/>
        <v>0</v>
      </c>
    </row>
    <row r="323" spans="1:12" x14ac:dyDescent="0.3">
      <c r="A323" s="4" t="s">
        <v>672</v>
      </c>
      <c r="B323" s="4" t="s">
        <v>673</v>
      </c>
      <c r="C323" s="4" t="s">
        <v>23</v>
      </c>
      <c r="D323" s="4" t="s">
        <v>101</v>
      </c>
      <c r="E323" s="5">
        <v>45651</v>
      </c>
      <c r="F323" s="4" t="s">
        <v>20</v>
      </c>
      <c r="G323" s="4" t="s">
        <v>32</v>
      </c>
      <c r="H323" s="6">
        <v>9</v>
      </c>
      <c r="I323" s="4" t="b">
        <v>0</v>
      </c>
      <c r="J323" s="4" t="b">
        <v>0</v>
      </c>
      <c r="K323" s="4" t="str">
        <f t="shared" ref="K323:K386" si="10">IF(J323=TRUE,"Churned","Active")</f>
        <v>Active</v>
      </c>
      <c r="L323" s="4">
        <f t="shared" ref="L323:L386" si="11">IF(J323=TRUE,1,0)</f>
        <v>0</v>
      </c>
    </row>
    <row r="324" spans="1:12" x14ac:dyDescent="0.3">
      <c r="A324" s="4" t="s">
        <v>674</v>
      </c>
      <c r="B324" s="4" t="s">
        <v>675</v>
      </c>
      <c r="C324" s="4" t="s">
        <v>18</v>
      </c>
      <c r="D324" s="4" t="s">
        <v>13</v>
      </c>
      <c r="E324" s="5">
        <v>45551</v>
      </c>
      <c r="F324" s="4" t="s">
        <v>14</v>
      </c>
      <c r="G324" s="4" t="s">
        <v>39</v>
      </c>
      <c r="H324" s="6">
        <v>25</v>
      </c>
      <c r="I324" s="4" t="b">
        <v>0</v>
      </c>
      <c r="J324" s="4" t="b">
        <v>0</v>
      </c>
      <c r="K324" s="4" t="str">
        <f t="shared" si="10"/>
        <v>Active</v>
      </c>
      <c r="L324" s="4">
        <f t="shared" si="11"/>
        <v>0</v>
      </c>
    </row>
    <row r="325" spans="1:12" x14ac:dyDescent="0.3">
      <c r="A325" s="4" t="s">
        <v>676</v>
      </c>
      <c r="B325" s="4" t="s">
        <v>677</v>
      </c>
      <c r="C325" s="4" t="s">
        <v>38</v>
      </c>
      <c r="D325" s="4" t="s">
        <v>28</v>
      </c>
      <c r="E325" s="5">
        <v>45345</v>
      </c>
      <c r="F325" s="4" t="s">
        <v>24</v>
      </c>
      <c r="G325" s="4" t="s">
        <v>32</v>
      </c>
      <c r="H325" s="6">
        <v>12</v>
      </c>
      <c r="I325" s="4" t="b">
        <v>0</v>
      </c>
      <c r="J325" s="4" t="b">
        <v>0</v>
      </c>
      <c r="K325" s="4" t="str">
        <f t="shared" si="10"/>
        <v>Active</v>
      </c>
      <c r="L325" s="4">
        <f t="shared" si="11"/>
        <v>0</v>
      </c>
    </row>
    <row r="326" spans="1:12" x14ac:dyDescent="0.3">
      <c r="A326" s="4" t="s">
        <v>678</v>
      </c>
      <c r="B326" s="4" t="s">
        <v>679</v>
      </c>
      <c r="C326" s="4" t="s">
        <v>38</v>
      </c>
      <c r="D326" s="4" t="s">
        <v>13</v>
      </c>
      <c r="E326" s="5">
        <v>45589</v>
      </c>
      <c r="F326" s="4" t="s">
        <v>24</v>
      </c>
      <c r="G326" s="4" t="s">
        <v>32</v>
      </c>
      <c r="H326" s="6">
        <v>26</v>
      </c>
      <c r="I326" s="4" t="b">
        <v>0</v>
      </c>
      <c r="J326" s="4" t="b">
        <v>1</v>
      </c>
      <c r="K326" s="4" t="str">
        <f t="shared" si="10"/>
        <v>Churned</v>
      </c>
      <c r="L326" s="4">
        <f t="shared" si="11"/>
        <v>1</v>
      </c>
    </row>
    <row r="327" spans="1:12" x14ac:dyDescent="0.3">
      <c r="A327" s="4" t="s">
        <v>680</v>
      </c>
      <c r="B327" s="4" t="s">
        <v>681</v>
      </c>
      <c r="C327" s="4" t="s">
        <v>23</v>
      </c>
      <c r="D327" s="4" t="s">
        <v>13</v>
      </c>
      <c r="E327" s="5">
        <v>45621</v>
      </c>
      <c r="F327" s="4" t="s">
        <v>20</v>
      </c>
      <c r="G327" s="4" t="s">
        <v>15</v>
      </c>
      <c r="H327" s="6">
        <v>6</v>
      </c>
      <c r="I327" s="4" t="b">
        <v>0</v>
      </c>
      <c r="J327" s="4" t="b">
        <v>1</v>
      </c>
      <c r="K327" s="4" t="str">
        <f t="shared" si="10"/>
        <v>Churned</v>
      </c>
      <c r="L327" s="4">
        <f t="shared" si="11"/>
        <v>1</v>
      </c>
    </row>
    <row r="328" spans="1:12" x14ac:dyDescent="0.3">
      <c r="A328" s="4" t="s">
        <v>682</v>
      </c>
      <c r="B328" s="4" t="s">
        <v>683</v>
      </c>
      <c r="C328" s="4" t="s">
        <v>12</v>
      </c>
      <c r="D328" s="4" t="s">
        <v>13</v>
      </c>
      <c r="E328" s="5">
        <v>45268</v>
      </c>
      <c r="F328" s="4" t="s">
        <v>35</v>
      </c>
      <c r="G328" s="4" t="s">
        <v>39</v>
      </c>
      <c r="H328" s="6">
        <v>13</v>
      </c>
      <c r="I328" s="4" t="b">
        <v>0</v>
      </c>
      <c r="J328" s="4" t="b">
        <v>0</v>
      </c>
      <c r="K328" s="4" t="str">
        <f t="shared" si="10"/>
        <v>Active</v>
      </c>
      <c r="L328" s="4">
        <f t="shared" si="11"/>
        <v>0</v>
      </c>
    </row>
    <row r="329" spans="1:12" x14ac:dyDescent="0.3">
      <c r="A329" s="4" t="s">
        <v>684</v>
      </c>
      <c r="B329" s="4" t="s">
        <v>685</v>
      </c>
      <c r="C329" s="4" t="s">
        <v>23</v>
      </c>
      <c r="D329" s="4" t="s">
        <v>13</v>
      </c>
      <c r="E329" s="5">
        <v>45244</v>
      </c>
      <c r="F329" s="4" t="s">
        <v>24</v>
      </c>
      <c r="G329" s="4" t="s">
        <v>39</v>
      </c>
      <c r="H329" s="6">
        <v>29</v>
      </c>
      <c r="I329" s="4" t="b">
        <v>1</v>
      </c>
      <c r="J329" s="4" t="b">
        <v>1</v>
      </c>
      <c r="K329" s="4" t="str">
        <f t="shared" si="10"/>
        <v>Churned</v>
      </c>
      <c r="L329" s="4">
        <f t="shared" si="11"/>
        <v>1</v>
      </c>
    </row>
    <row r="330" spans="1:12" x14ac:dyDescent="0.3">
      <c r="A330" s="4" t="s">
        <v>686</v>
      </c>
      <c r="B330" s="4" t="s">
        <v>687</v>
      </c>
      <c r="C330" s="4" t="s">
        <v>23</v>
      </c>
      <c r="D330" s="4" t="s">
        <v>28</v>
      </c>
      <c r="E330" s="5">
        <v>45499</v>
      </c>
      <c r="F330" s="4" t="s">
        <v>14</v>
      </c>
      <c r="G330" s="4" t="s">
        <v>15</v>
      </c>
      <c r="H330" s="6">
        <v>26</v>
      </c>
      <c r="I330" s="4" t="b">
        <v>0</v>
      </c>
      <c r="J330" s="4" t="b">
        <v>0</v>
      </c>
      <c r="K330" s="4" t="str">
        <f t="shared" si="10"/>
        <v>Active</v>
      </c>
      <c r="L330" s="4">
        <f t="shared" si="11"/>
        <v>0</v>
      </c>
    </row>
    <row r="331" spans="1:12" x14ac:dyDescent="0.3">
      <c r="A331" s="4" t="s">
        <v>688</v>
      </c>
      <c r="B331" s="4" t="s">
        <v>689</v>
      </c>
      <c r="C331" s="4" t="s">
        <v>27</v>
      </c>
      <c r="D331" s="4" t="s">
        <v>13</v>
      </c>
      <c r="E331" s="5">
        <v>45613</v>
      </c>
      <c r="F331" s="4" t="s">
        <v>31</v>
      </c>
      <c r="G331" s="4" t="s">
        <v>32</v>
      </c>
      <c r="H331" s="6">
        <v>11</v>
      </c>
      <c r="I331" s="4" t="b">
        <v>0</v>
      </c>
      <c r="J331" s="4" t="b">
        <v>0</v>
      </c>
      <c r="K331" s="4" t="str">
        <f t="shared" si="10"/>
        <v>Active</v>
      </c>
      <c r="L331" s="4">
        <f t="shared" si="11"/>
        <v>0</v>
      </c>
    </row>
    <row r="332" spans="1:12" x14ac:dyDescent="0.3">
      <c r="A332" s="4" t="s">
        <v>690</v>
      </c>
      <c r="B332" s="4" t="s">
        <v>691</v>
      </c>
      <c r="C332" s="4" t="s">
        <v>12</v>
      </c>
      <c r="D332" s="4" t="s">
        <v>13</v>
      </c>
      <c r="E332" s="5">
        <v>45297</v>
      </c>
      <c r="F332" s="4" t="s">
        <v>35</v>
      </c>
      <c r="G332" s="4" t="s">
        <v>15</v>
      </c>
      <c r="H332" s="6">
        <v>32</v>
      </c>
      <c r="I332" s="4" t="b">
        <v>0</v>
      </c>
      <c r="J332" s="4" t="b">
        <v>0</v>
      </c>
      <c r="K332" s="4" t="str">
        <f t="shared" si="10"/>
        <v>Active</v>
      </c>
      <c r="L332" s="4">
        <f t="shared" si="11"/>
        <v>0</v>
      </c>
    </row>
    <row r="333" spans="1:12" x14ac:dyDescent="0.3">
      <c r="A333" s="4" t="s">
        <v>692</v>
      </c>
      <c r="B333" s="4" t="s">
        <v>693</v>
      </c>
      <c r="C333" s="4" t="s">
        <v>23</v>
      </c>
      <c r="D333" s="4" t="s">
        <v>13</v>
      </c>
      <c r="E333" s="5">
        <v>45276</v>
      </c>
      <c r="F333" s="4" t="s">
        <v>35</v>
      </c>
      <c r="G333" s="4" t="s">
        <v>15</v>
      </c>
      <c r="H333" s="6">
        <v>17</v>
      </c>
      <c r="I333" s="4" t="b">
        <v>0</v>
      </c>
      <c r="J333" s="4" t="b">
        <v>1</v>
      </c>
      <c r="K333" s="4" t="str">
        <f t="shared" si="10"/>
        <v>Churned</v>
      </c>
      <c r="L333" s="4">
        <f t="shared" si="11"/>
        <v>1</v>
      </c>
    </row>
    <row r="334" spans="1:12" x14ac:dyDescent="0.3">
      <c r="A334" s="4" t="s">
        <v>694</v>
      </c>
      <c r="B334" s="4" t="s">
        <v>695</v>
      </c>
      <c r="C334" s="4" t="s">
        <v>38</v>
      </c>
      <c r="D334" s="4" t="s">
        <v>44</v>
      </c>
      <c r="E334" s="5">
        <v>45006</v>
      </c>
      <c r="F334" s="4" t="s">
        <v>24</v>
      </c>
      <c r="G334" s="4" t="s">
        <v>32</v>
      </c>
      <c r="H334" s="6">
        <v>49</v>
      </c>
      <c r="I334" s="4" t="b">
        <v>1</v>
      </c>
      <c r="J334" s="4" t="b">
        <v>0</v>
      </c>
      <c r="K334" s="4" t="str">
        <f t="shared" si="10"/>
        <v>Active</v>
      </c>
      <c r="L334" s="4">
        <f t="shared" si="11"/>
        <v>0</v>
      </c>
    </row>
    <row r="335" spans="1:12" x14ac:dyDescent="0.3">
      <c r="A335" s="4" t="s">
        <v>696</v>
      </c>
      <c r="B335" s="4" t="s">
        <v>697</v>
      </c>
      <c r="C335" s="4" t="s">
        <v>27</v>
      </c>
      <c r="D335" s="4" t="s">
        <v>13</v>
      </c>
      <c r="E335" s="5">
        <v>45479</v>
      </c>
      <c r="F335" s="4" t="s">
        <v>14</v>
      </c>
      <c r="G335" s="4" t="s">
        <v>32</v>
      </c>
      <c r="H335" s="6">
        <v>11</v>
      </c>
      <c r="I335" s="4" t="b">
        <v>0</v>
      </c>
      <c r="J335" s="4" t="b">
        <v>0</v>
      </c>
      <c r="K335" s="4" t="str">
        <f t="shared" si="10"/>
        <v>Active</v>
      </c>
      <c r="L335" s="4">
        <f t="shared" si="11"/>
        <v>0</v>
      </c>
    </row>
    <row r="336" spans="1:12" x14ac:dyDescent="0.3">
      <c r="A336" s="4" t="s">
        <v>698</v>
      </c>
      <c r="B336" s="4" t="s">
        <v>699</v>
      </c>
      <c r="C336" s="4" t="s">
        <v>27</v>
      </c>
      <c r="D336" s="4" t="s">
        <v>13</v>
      </c>
      <c r="E336" s="5">
        <v>45061</v>
      </c>
      <c r="F336" s="4" t="s">
        <v>35</v>
      </c>
      <c r="G336" s="4" t="s">
        <v>15</v>
      </c>
      <c r="H336" s="6">
        <v>41</v>
      </c>
      <c r="I336" s="4" t="b">
        <v>0</v>
      </c>
      <c r="J336" s="4" t="b">
        <v>0</v>
      </c>
      <c r="K336" s="4" t="str">
        <f t="shared" si="10"/>
        <v>Active</v>
      </c>
      <c r="L336" s="4">
        <f t="shared" si="11"/>
        <v>0</v>
      </c>
    </row>
    <row r="337" spans="1:12" x14ac:dyDescent="0.3">
      <c r="A337" s="4" t="s">
        <v>700</v>
      </c>
      <c r="B337" s="4" t="s">
        <v>701</v>
      </c>
      <c r="C337" s="4" t="s">
        <v>27</v>
      </c>
      <c r="D337" s="4" t="s">
        <v>44</v>
      </c>
      <c r="E337" s="5">
        <v>45636</v>
      </c>
      <c r="F337" s="4" t="s">
        <v>35</v>
      </c>
      <c r="G337" s="4" t="s">
        <v>32</v>
      </c>
      <c r="H337" s="6">
        <v>21</v>
      </c>
      <c r="I337" s="4" t="b">
        <v>0</v>
      </c>
      <c r="J337" s="4" t="b">
        <v>0</v>
      </c>
      <c r="K337" s="4" t="str">
        <f t="shared" si="10"/>
        <v>Active</v>
      </c>
      <c r="L337" s="4">
        <f t="shared" si="11"/>
        <v>0</v>
      </c>
    </row>
    <row r="338" spans="1:12" x14ac:dyDescent="0.3">
      <c r="A338" s="4" t="s">
        <v>702</v>
      </c>
      <c r="B338" s="4" t="s">
        <v>703</v>
      </c>
      <c r="C338" s="4" t="s">
        <v>12</v>
      </c>
      <c r="D338" s="4" t="s">
        <v>13</v>
      </c>
      <c r="E338" s="5">
        <v>45375</v>
      </c>
      <c r="F338" s="4" t="s">
        <v>35</v>
      </c>
      <c r="G338" s="4" t="s">
        <v>39</v>
      </c>
      <c r="H338" s="6">
        <v>5</v>
      </c>
      <c r="I338" s="4" t="b">
        <v>0</v>
      </c>
      <c r="J338" s="4" t="b">
        <v>0</v>
      </c>
      <c r="K338" s="4" t="str">
        <f t="shared" si="10"/>
        <v>Active</v>
      </c>
      <c r="L338" s="4">
        <f t="shared" si="11"/>
        <v>0</v>
      </c>
    </row>
    <row r="339" spans="1:12" x14ac:dyDescent="0.3">
      <c r="A339" s="4" t="s">
        <v>704</v>
      </c>
      <c r="B339" s="4" t="s">
        <v>705</v>
      </c>
      <c r="C339" s="4" t="s">
        <v>38</v>
      </c>
      <c r="D339" s="4" t="s">
        <v>19</v>
      </c>
      <c r="E339" s="5">
        <v>45552</v>
      </c>
      <c r="F339" s="4" t="s">
        <v>31</v>
      </c>
      <c r="G339" s="4" t="s">
        <v>15</v>
      </c>
      <c r="H339" s="6">
        <v>87</v>
      </c>
      <c r="I339" s="4" t="b">
        <v>0</v>
      </c>
      <c r="J339" s="4" t="b">
        <v>1</v>
      </c>
      <c r="K339" s="4" t="str">
        <f t="shared" si="10"/>
        <v>Churned</v>
      </c>
      <c r="L339" s="4">
        <f t="shared" si="11"/>
        <v>1</v>
      </c>
    </row>
    <row r="340" spans="1:12" x14ac:dyDescent="0.3">
      <c r="A340" s="4" t="s">
        <v>706</v>
      </c>
      <c r="B340" s="4" t="s">
        <v>707</v>
      </c>
      <c r="C340" s="4" t="s">
        <v>18</v>
      </c>
      <c r="D340" s="4" t="s">
        <v>13</v>
      </c>
      <c r="E340" s="5">
        <v>45473</v>
      </c>
      <c r="F340" s="4" t="s">
        <v>31</v>
      </c>
      <c r="G340" s="4" t="s">
        <v>15</v>
      </c>
      <c r="H340" s="6">
        <v>24</v>
      </c>
      <c r="I340" s="4" t="b">
        <v>0</v>
      </c>
      <c r="J340" s="4" t="b">
        <v>1</v>
      </c>
      <c r="K340" s="4" t="str">
        <f t="shared" si="10"/>
        <v>Churned</v>
      </c>
      <c r="L340" s="4">
        <f t="shared" si="11"/>
        <v>1</v>
      </c>
    </row>
    <row r="341" spans="1:12" x14ac:dyDescent="0.3">
      <c r="A341" s="4" t="s">
        <v>708</v>
      </c>
      <c r="B341" s="4" t="s">
        <v>709</v>
      </c>
      <c r="C341" s="4" t="s">
        <v>27</v>
      </c>
      <c r="D341" s="4" t="s">
        <v>101</v>
      </c>
      <c r="E341" s="5">
        <v>45303</v>
      </c>
      <c r="F341" s="4" t="s">
        <v>31</v>
      </c>
      <c r="G341" s="4" t="s">
        <v>39</v>
      </c>
      <c r="H341" s="6">
        <v>16</v>
      </c>
      <c r="I341" s="4" t="b">
        <v>0</v>
      </c>
      <c r="J341" s="4" t="b">
        <v>1</v>
      </c>
      <c r="K341" s="4" t="str">
        <f t="shared" si="10"/>
        <v>Churned</v>
      </c>
      <c r="L341" s="4">
        <f t="shared" si="11"/>
        <v>1</v>
      </c>
    </row>
    <row r="342" spans="1:12" x14ac:dyDescent="0.3">
      <c r="A342" s="4" t="s">
        <v>710</v>
      </c>
      <c r="B342" s="4" t="s">
        <v>711</v>
      </c>
      <c r="C342" s="4" t="s">
        <v>27</v>
      </c>
      <c r="D342" s="4" t="s">
        <v>13</v>
      </c>
      <c r="E342" s="5">
        <v>45318</v>
      </c>
      <c r="F342" s="4" t="s">
        <v>35</v>
      </c>
      <c r="G342" s="4" t="s">
        <v>15</v>
      </c>
      <c r="H342" s="6">
        <v>23</v>
      </c>
      <c r="I342" s="4" t="b">
        <v>0</v>
      </c>
      <c r="J342" s="4" t="b">
        <v>0</v>
      </c>
      <c r="K342" s="4" t="str">
        <f t="shared" si="10"/>
        <v>Active</v>
      </c>
      <c r="L342" s="4">
        <f t="shared" si="11"/>
        <v>0</v>
      </c>
    </row>
    <row r="343" spans="1:12" x14ac:dyDescent="0.3">
      <c r="A343" s="4" t="s">
        <v>712</v>
      </c>
      <c r="B343" s="4" t="s">
        <v>713</v>
      </c>
      <c r="C343" s="4" t="s">
        <v>18</v>
      </c>
      <c r="D343" s="4" t="s">
        <v>82</v>
      </c>
      <c r="E343" s="5">
        <v>45546</v>
      </c>
      <c r="F343" s="4" t="s">
        <v>24</v>
      </c>
      <c r="G343" s="4" t="s">
        <v>32</v>
      </c>
      <c r="H343" s="6">
        <v>70</v>
      </c>
      <c r="I343" s="4" t="b">
        <v>0</v>
      </c>
      <c r="J343" s="4" t="b">
        <v>0</v>
      </c>
      <c r="K343" s="4" t="str">
        <f t="shared" si="10"/>
        <v>Active</v>
      </c>
      <c r="L343" s="4">
        <f t="shared" si="11"/>
        <v>0</v>
      </c>
    </row>
    <row r="344" spans="1:12" x14ac:dyDescent="0.3">
      <c r="A344" s="4" t="s">
        <v>714</v>
      </c>
      <c r="B344" s="4" t="s">
        <v>715</v>
      </c>
      <c r="C344" s="4" t="s">
        <v>38</v>
      </c>
      <c r="D344" s="4" t="s">
        <v>13</v>
      </c>
      <c r="E344" s="5">
        <v>45419</v>
      </c>
      <c r="F344" s="4" t="s">
        <v>24</v>
      </c>
      <c r="G344" s="4" t="s">
        <v>32</v>
      </c>
      <c r="H344" s="6">
        <v>39</v>
      </c>
      <c r="I344" s="4" t="b">
        <v>0</v>
      </c>
      <c r="J344" s="4" t="b">
        <v>0</v>
      </c>
      <c r="K344" s="4" t="str">
        <f t="shared" si="10"/>
        <v>Active</v>
      </c>
      <c r="L344" s="4">
        <f t="shared" si="11"/>
        <v>0</v>
      </c>
    </row>
    <row r="345" spans="1:12" x14ac:dyDescent="0.3">
      <c r="A345" s="4" t="s">
        <v>716</v>
      </c>
      <c r="B345" s="4" t="s">
        <v>717</v>
      </c>
      <c r="C345" s="4" t="s">
        <v>12</v>
      </c>
      <c r="D345" s="4" t="s">
        <v>13</v>
      </c>
      <c r="E345" s="5">
        <v>45455</v>
      </c>
      <c r="F345" s="4" t="s">
        <v>35</v>
      </c>
      <c r="G345" s="4" t="s">
        <v>39</v>
      </c>
      <c r="H345" s="6">
        <v>35</v>
      </c>
      <c r="I345" s="4" t="b">
        <v>1</v>
      </c>
      <c r="J345" s="4" t="b">
        <v>0</v>
      </c>
      <c r="K345" s="4" t="str">
        <f t="shared" si="10"/>
        <v>Active</v>
      </c>
      <c r="L345" s="4">
        <f t="shared" si="11"/>
        <v>0</v>
      </c>
    </row>
    <row r="346" spans="1:12" x14ac:dyDescent="0.3">
      <c r="A346" s="4" t="s">
        <v>718</v>
      </c>
      <c r="B346" s="4" t="s">
        <v>719</v>
      </c>
      <c r="C346" s="4" t="s">
        <v>27</v>
      </c>
      <c r="D346" s="4" t="s">
        <v>13</v>
      </c>
      <c r="E346" s="5">
        <v>45387</v>
      </c>
      <c r="F346" s="4" t="s">
        <v>31</v>
      </c>
      <c r="G346" s="4" t="s">
        <v>15</v>
      </c>
      <c r="H346" s="6">
        <v>5</v>
      </c>
      <c r="I346" s="4" t="b">
        <v>1</v>
      </c>
      <c r="J346" s="4" t="b">
        <v>1</v>
      </c>
      <c r="K346" s="4" t="str">
        <f t="shared" si="10"/>
        <v>Churned</v>
      </c>
      <c r="L346" s="4">
        <f t="shared" si="11"/>
        <v>1</v>
      </c>
    </row>
    <row r="347" spans="1:12" x14ac:dyDescent="0.3">
      <c r="A347" s="4" t="s">
        <v>720</v>
      </c>
      <c r="B347" s="4" t="s">
        <v>721</v>
      </c>
      <c r="C347" s="4" t="s">
        <v>23</v>
      </c>
      <c r="D347" s="4" t="s">
        <v>82</v>
      </c>
      <c r="E347" s="5">
        <v>45154</v>
      </c>
      <c r="F347" s="4" t="s">
        <v>24</v>
      </c>
      <c r="G347" s="4" t="s">
        <v>39</v>
      </c>
      <c r="H347" s="6">
        <v>23</v>
      </c>
      <c r="I347" s="4" t="b">
        <v>0</v>
      </c>
      <c r="J347" s="4" t="b">
        <v>0</v>
      </c>
      <c r="K347" s="4" t="str">
        <f t="shared" si="10"/>
        <v>Active</v>
      </c>
      <c r="L347" s="4">
        <f t="shared" si="11"/>
        <v>0</v>
      </c>
    </row>
    <row r="348" spans="1:12" x14ac:dyDescent="0.3">
      <c r="A348" s="4" t="s">
        <v>722</v>
      </c>
      <c r="B348" s="4" t="s">
        <v>723</v>
      </c>
      <c r="C348" s="4" t="s">
        <v>23</v>
      </c>
      <c r="D348" s="4" t="s">
        <v>13</v>
      </c>
      <c r="E348" s="5">
        <v>44981</v>
      </c>
      <c r="F348" s="4" t="s">
        <v>35</v>
      </c>
      <c r="G348" s="4" t="s">
        <v>39</v>
      </c>
      <c r="H348" s="6">
        <v>1</v>
      </c>
      <c r="I348" s="4" t="b">
        <v>0</v>
      </c>
      <c r="J348" s="4" t="b">
        <v>0</v>
      </c>
      <c r="K348" s="4" t="str">
        <f t="shared" si="10"/>
        <v>Active</v>
      </c>
      <c r="L348" s="4">
        <f t="shared" si="11"/>
        <v>0</v>
      </c>
    </row>
    <row r="349" spans="1:12" x14ac:dyDescent="0.3">
      <c r="A349" s="4" t="s">
        <v>724</v>
      </c>
      <c r="B349" s="4" t="s">
        <v>725</v>
      </c>
      <c r="C349" s="4" t="s">
        <v>38</v>
      </c>
      <c r="D349" s="4" t="s">
        <v>13</v>
      </c>
      <c r="E349" s="5">
        <v>45010</v>
      </c>
      <c r="F349" s="4" t="s">
        <v>14</v>
      </c>
      <c r="G349" s="4" t="s">
        <v>15</v>
      </c>
      <c r="H349" s="6">
        <v>31</v>
      </c>
      <c r="I349" s="4" t="b">
        <v>0</v>
      </c>
      <c r="J349" s="4" t="b">
        <v>0</v>
      </c>
      <c r="K349" s="4" t="str">
        <f t="shared" si="10"/>
        <v>Active</v>
      </c>
      <c r="L349" s="4">
        <f t="shared" si="11"/>
        <v>0</v>
      </c>
    </row>
    <row r="350" spans="1:12" x14ac:dyDescent="0.3">
      <c r="A350" s="4" t="s">
        <v>726</v>
      </c>
      <c r="B350" s="4" t="s">
        <v>727</v>
      </c>
      <c r="C350" s="4" t="s">
        <v>38</v>
      </c>
      <c r="D350" s="4" t="s">
        <v>19</v>
      </c>
      <c r="E350" s="5">
        <v>45592</v>
      </c>
      <c r="F350" s="4" t="s">
        <v>35</v>
      </c>
      <c r="G350" s="4" t="s">
        <v>15</v>
      </c>
      <c r="H350" s="6">
        <v>43</v>
      </c>
      <c r="I350" s="4" t="b">
        <v>0</v>
      </c>
      <c r="J350" s="4" t="b">
        <v>0</v>
      </c>
      <c r="K350" s="4" t="str">
        <f t="shared" si="10"/>
        <v>Active</v>
      </c>
      <c r="L350" s="4">
        <f t="shared" si="11"/>
        <v>0</v>
      </c>
    </row>
    <row r="351" spans="1:12" x14ac:dyDescent="0.3">
      <c r="A351" s="4" t="s">
        <v>728</v>
      </c>
      <c r="B351" s="4" t="s">
        <v>729</v>
      </c>
      <c r="C351" s="4" t="s">
        <v>23</v>
      </c>
      <c r="D351" s="4" t="s">
        <v>28</v>
      </c>
      <c r="E351" s="5">
        <v>45220</v>
      </c>
      <c r="F351" s="4" t="s">
        <v>35</v>
      </c>
      <c r="G351" s="4" t="s">
        <v>32</v>
      </c>
      <c r="H351" s="6">
        <v>1</v>
      </c>
      <c r="I351" s="4" t="b">
        <v>0</v>
      </c>
      <c r="J351" s="4" t="b">
        <v>1</v>
      </c>
      <c r="K351" s="4" t="str">
        <f t="shared" si="10"/>
        <v>Churned</v>
      </c>
      <c r="L351" s="4">
        <f t="shared" si="11"/>
        <v>1</v>
      </c>
    </row>
    <row r="352" spans="1:12" x14ac:dyDescent="0.3">
      <c r="A352" s="4" t="s">
        <v>730</v>
      </c>
      <c r="B352" s="4" t="s">
        <v>731</v>
      </c>
      <c r="C352" s="4" t="s">
        <v>23</v>
      </c>
      <c r="D352" s="4" t="s">
        <v>28</v>
      </c>
      <c r="E352" s="5">
        <v>45407</v>
      </c>
      <c r="F352" s="4" t="s">
        <v>24</v>
      </c>
      <c r="G352" s="4" t="s">
        <v>15</v>
      </c>
      <c r="H352" s="6">
        <v>41</v>
      </c>
      <c r="I352" s="4" t="b">
        <v>0</v>
      </c>
      <c r="J352" s="4" t="b">
        <v>0</v>
      </c>
      <c r="K352" s="4" t="str">
        <f t="shared" si="10"/>
        <v>Active</v>
      </c>
      <c r="L352" s="4">
        <f t="shared" si="11"/>
        <v>0</v>
      </c>
    </row>
    <row r="353" spans="1:12" x14ac:dyDescent="0.3">
      <c r="A353" s="4" t="s">
        <v>732</v>
      </c>
      <c r="B353" s="4" t="s">
        <v>733</v>
      </c>
      <c r="C353" s="4" t="s">
        <v>18</v>
      </c>
      <c r="D353" s="4" t="s">
        <v>44</v>
      </c>
      <c r="E353" s="5">
        <v>45189</v>
      </c>
      <c r="F353" s="4" t="s">
        <v>20</v>
      </c>
      <c r="G353" s="4" t="s">
        <v>32</v>
      </c>
      <c r="H353" s="6">
        <v>32</v>
      </c>
      <c r="I353" s="4" t="b">
        <v>0</v>
      </c>
      <c r="J353" s="4" t="b">
        <v>0</v>
      </c>
      <c r="K353" s="4" t="str">
        <f t="shared" si="10"/>
        <v>Active</v>
      </c>
      <c r="L353" s="4">
        <f t="shared" si="11"/>
        <v>0</v>
      </c>
    </row>
    <row r="354" spans="1:12" x14ac:dyDescent="0.3">
      <c r="A354" s="4" t="s">
        <v>734</v>
      </c>
      <c r="B354" s="4" t="s">
        <v>735</v>
      </c>
      <c r="C354" s="4" t="s">
        <v>27</v>
      </c>
      <c r="D354" s="4" t="s">
        <v>13</v>
      </c>
      <c r="E354" s="5">
        <v>45550</v>
      </c>
      <c r="F354" s="4" t="s">
        <v>14</v>
      </c>
      <c r="G354" s="4" t="s">
        <v>15</v>
      </c>
      <c r="H354" s="6">
        <v>29</v>
      </c>
      <c r="I354" s="4" t="b">
        <v>0</v>
      </c>
      <c r="J354" s="4" t="b">
        <v>0</v>
      </c>
      <c r="K354" s="4" t="str">
        <f t="shared" si="10"/>
        <v>Active</v>
      </c>
      <c r="L354" s="4">
        <f t="shared" si="11"/>
        <v>0</v>
      </c>
    </row>
    <row r="355" spans="1:12" x14ac:dyDescent="0.3">
      <c r="A355" s="4" t="s">
        <v>736</v>
      </c>
      <c r="B355" s="4" t="s">
        <v>737</v>
      </c>
      <c r="C355" s="4" t="s">
        <v>12</v>
      </c>
      <c r="D355" s="4" t="s">
        <v>13</v>
      </c>
      <c r="E355" s="5">
        <v>45235</v>
      </c>
      <c r="F355" s="4" t="s">
        <v>31</v>
      </c>
      <c r="G355" s="4" t="s">
        <v>32</v>
      </c>
      <c r="H355" s="6">
        <v>19</v>
      </c>
      <c r="I355" s="4" t="b">
        <v>0</v>
      </c>
      <c r="J355" s="4" t="b">
        <v>0</v>
      </c>
      <c r="K355" s="4" t="str">
        <f t="shared" si="10"/>
        <v>Active</v>
      </c>
      <c r="L355" s="4">
        <f t="shared" si="11"/>
        <v>0</v>
      </c>
    </row>
    <row r="356" spans="1:12" x14ac:dyDescent="0.3">
      <c r="A356" s="4" t="s">
        <v>738</v>
      </c>
      <c r="B356" s="4" t="s">
        <v>739</v>
      </c>
      <c r="C356" s="4" t="s">
        <v>23</v>
      </c>
      <c r="D356" s="4" t="s">
        <v>13</v>
      </c>
      <c r="E356" s="5">
        <v>45564</v>
      </c>
      <c r="F356" s="4" t="s">
        <v>31</v>
      </c>
      <c r="G356" s="4" t="s">
        <v>32</v>
      </c>
      <c r="H356" s="6">
        <v>29</v>
      </c>
      <c r="I356" s="4" t="b">
        <v>0</v>
      </c>
      <c r="J356" s="4" t="b">
        <v>0</v>
      </c>
      <c r="K356" s="4" t="str">
        <f t="shared" si="10"/>
        <v>Active</v>
      </c>
      <c r="L356" s="4">
        <f t="shared" si="11"/>
        <v>0</v>
      </c>
    </row>
    <row r="357" spans="1:12" x14ac:dyDescent="0.3">
      <c r="A357" s="4" t="s">
        <v>740</v>
      </c>
      <c r="B357" s="4" t="s">
        <v>741</v>
      </c>
      <c r="C357" s="4" t="s">
        <v>12</v>
      </c>
      <c r="D357" s="4" t="s">
        <v>28</v>
      </c>
      <c r="E357" s="5">
        <v>45475</v>
      </c>
      <c r="F357" s="4" t="s">
        <v>20</v>
      </c>
      <c r="G357" s="4" t="s">
        <v>15</v>
      </c>
      <c r="H357" s="6">
        <v>26</v>
      </c>
      <c r="I357" s="4" t="b">
        <v>0</v>
      </c>
      <c r="J357" s="4" t="b">
        <v>1</v>
      </c>
      <c r="K357" s="4" t="str">
        <f t="shared" si="10"/>
        <v>Churned</v>
      </c>
      <c r="L357" s="4">
        <f t="shared" si="11"/>
        <v>1</v>
      </c>
    </row>
    <row r="358" spans="1:12" x14ac:dyDescent="0.3">
      <c r="A358" s="4" t="s">
        <v>742</v>
      </c>
      <c r="B358" s="4" t="s">
        <v>743</v>
      </c>
      <c r="C358" s="4" t="s">
        <v>38</v>
      </c>
      <c r="D358" s="4" t="s">
        <v>13</v>
      </c>
      <c r="E358" s="5">
        <v>45074</v>
      </c>
      <c r="F358" s="4" t="s">
        <v>20</v>
      </c>
      <c r="G358" s="4" t="s">
        <v>39</v>
      </c>
      <c r="H358" s="6">
        <v>8</v>
      </c>
      <c r="I358" s="4" t="b">
        <v>0</v>
      </c>
      <c r="J358" s="4" t="b">
        <v>0</v>
      </c>
      <c r="K358" s="4" t="str">
        <f t="shared" si="10"/>
        <v>Active</v>
      </c>
      <c r="L358" s="4">
        <f t="shared" si="11"/>
        <v>0</v>
      </c>
    </row>
    <row r="359" spans="1:12" x14ac:dyDescent="0.3">
      <c r="A359" s="4" t="s">
        <v>744</v>
      </c>
      <c r="B359" s="4" t="s">
        <v>745</v>
      </c>
      <c r="C359" s="4" t="s">
        <v>27</v>
      </c>
      <c r="D359" s="4" t="s">
        <v>13</v>
      </c>
      <c r="E359" s="5">
        <v>45173</v>
      </c>
      <c r="F359" s="4" t="s">
        <v>24</v>
      </c>
      <c r="G359" s="4" t="s">
        <v>32</v>
      </c>
      <c r="H359" s="6">
        <v>5</v>
      </c>
      <c r="I359" s="4" t="b">
        <v>1</v>
      </c>
      <c r="J359" s="4" t="b">
        <v>1</v>
      </c>
      <c r="K359" s="4" t="str">
        <f t="shared" si="10"/>
        <v>Churned</v>
      </c>
      <c r="L359" s="4">
        <f t="shared" si="11"/>
        <v>1</v>
      </c>
    </row>
    <row r="360" spans="1:12" x14ac:dyDescent="0.3">
      <c r="A360" s="4" t="s">
        <v>746</v>
      </c>
      <c r="B360" s="4" t="s">
        <v>747</v>
      </c>
      <c r="C360" s="4" t="s">
        <v>12</v>
      </c>
      <c r="D360" s="4" t="s">
        <v>101</v>
      </c>
      <c r="E360" s="5">
        <v>45296</v>
      </c>
      <c r="F360" s="4" t="s">
        <v>20</v>
      </c>
      <c r="G360" s="4" t="s">
        <v>32</v>
      </c>
      <c r="H360" s="6">
        <v>87</v>
      </c>
      <c r="I360" s="4" t="b">
        <v>0</v>
      </c>
      <c r="J360" s="4" t="b">
        <v>0</v>
      </c>
      <c r="K360" s="4" t="str">
        <f t="shared" si="10"/>
        <v>Active</v>
      </c>
      <c r="L360" s="4">
        <f t="shared" si="11"/>
        <v>0</v>
      </c>
    </row>
    <row r="361" spans="1:12" x14ac:dyDescent="0.3">
      <c r="A361" s="4" t="s">
        <v>748</v>
      </c>
      <c r="B361" s="4" t="s">
        <v>749</v>
      </c>
      <c r="C361" s="4" t="s">
        <v>27</v>
      </c>
      <c r="D361" s="4" t="s">
        <v>13</v>
      </c>
      <c r="E361" s="5">
        <v>45446</v>
      </c>
      <c r="F361" s="4" t="s">
        <v>31</v>
      </c>
      <c r="G361" s="4" t="s">
        <v>15</v>
      </c>
      <c r="H361" s="6">
        <v>22</v>
      </c>
      <c r="I361" s="4" t="b">
        <v>0</v>
      </c>
      <c r="J361" s="4" t="b">
        <v>0</v>
      </c>
      <c r="K361" s="4" t="str">
        <f t="shared" si="10"/>
        <v>Active</v>
      </c>
      <c r="L361" s="4">
        <f t="shared" si="11"/>
        <v>0</v>
      </c>
    </row>
    <row r="362" spans="1:12" x14ac:dyDescent="0.3">
      <c r="A362" s="4" t="s">
        <v>750</v>
      </c>
      <c r="B362" s="4" t="s">
        <v>751</v>
      </c>
      <c r="C362" s="4" t="s">
        <v>23</v>
      </c>
      <c r="D362" s="4" t="s">
        <v>101</v>
      </c>
      <c r="E362" s="5">
        <v>45577</v>
      </c>
      <c r="F362" s="4" t="s">
        <v>14</v>
      </c>
      <c r="G362" s="4" t="s">
        <v>32</v>
      </c>
      <c r="H362" s="6">
        <v>30</v>
      </c>
      <c r="I362" s="4" t="b">
        <v>1</v>
      </c>
      <c r="J362" s="4" t="b">
        <v>0</v>
      </c>
      <c r="K362" s="4" t="str">
        <f t="shared" si="10"/>
        <v>Active</v>
      </c>
      <c r="L362" s="4">
        <f t="shared" si="11"/>
        <v>0</v>
      </c>
    </row>
    <row r="363" spans="1:12" x14ac:dyDescent="0.3">
      <c r="A363" s="4" t="s">
        <v>752</v>
      </c>
      <c r="B363" s="4" t="s">
        <v>753</v>
      </c>
      <c r="C363" s="4" t="s">
        <v>38</v>
      </c>
      <c r="D363" s="4" t="s">
        <v>19</v>
      </c>
      <c r="E363" s="5">
        <v>44943</v>
      </c>
      <c r="F363" s="4" t="s">
        <v>14</v>
      </c>
      <c r="G363" s="4" t="s">
        <v>15</v>
      </c>
      <c r="H363" s="6">
        <v>42</v>
      </c>
      <c r="I363" s="4" t="b">
        <v>0</v>
      </c>
      <c r="J363" s="4" t="b">
        <v>0</v>
      </c>
      <c r="K363" s="4" t="str">
        <f t="shared" si="10"/>
        <v>Active</v>
      </c>
      <c r="L363" s="4">
        <f t="shared" si="11"/>
        <v>0</v>
      </c>
    </row>
    <row r="364" spans="1:12" x14ac:dyDescent="0.3">
      <c r="A364" s="4" t="s">
        <v>754</v>
      </c>
      <c r="B364" s="4" t="s">
        <v>755</v>
      </c>
      <c r="C364" s="4" t="s">
        <v>12</v>
      </c>
      <c r="D364" s="4" t="s">
        <v>19</v>
      </c>
      <c r="E364" s="5">
        <v>45599</v>
      </c>
      <c r="F364" s="4" t="s">
        <v>14</v>
      </c>
      <c r="G364" s="4" t="s">
        <v>15</v>
      </c>
      <c r="H364" s="6">
        <v>19</v>
      </c>
      <c r="I364" s="4" t="b">
        <v>0</v>
      </c>
      <c r="J364" s="4" t="b">
        <v>0</v>
      </c>
      <c r="K364" s="4" t="str">
        <f t="shared" si="10"/>
        <v>Active</v>
      </c>
      <c r="L364" s="4">
        <f t="shared" si="11"/>
        <v>0</v>
      </c>
    </row>
    <row r="365" spans="1:12" x14ac:dyDescent="0.3">
      <c r="A365" s="4" t="s">
        <v>756</v>
      </c>
      <c r="B365" s="4" t="s">
        <v>757</v>
      </c>
      <c r="C365" s="4" t="s">
        <v>38</v>
      </c>
      <c r="D365" s="4" t="s">
        <v>13</v>
      </c>
      <c r="E365" s="5">
        <v>44972</v>
      </c>
      <c r="F365" s="4" t="s">
        <v>35</v>
      </c>
      <c r="G365" s="4" t="s">
        <v>32</v>
      </c>
      <c r="H365" s="6">
        <v>5</v>
      </c>
      <c r="I365" s="4" t="b">
        <v>0</v>
      </c>
      <c r="J365" s="4" t="b">
        <v>0</v>
      </c>
      <c r="K365" s="4" t="str">
        <f t="shared" si="10"/>
        <v>Active</v>
      </c>
      <c r="L365" s="4">
        <f t="shared" si="11"/>
        <v>0</v>
      </c>
    </row>
    <row r="366" spans="1:12" x14ac:dyDescent="0.3">
      <c r="A366" s="4" t="s">
        <v>758</v>
      </c>
      <c r="B366" s="4" t="s">
        <v>759</v>
      </c>
      <c r="C366" s="4" t="s">
        <v>23</v>
      </c>
      <c r="D366" s="4" t="s">
        <v>28</v>
      </c>
      <c r="E366" s="5">
        <v>45402</v>
      </c>
      <c r="F366" s="4" t="s">
        <v>35</v>
      </c>
      <c r="G366" s="4" t="s">
        <v>15</v>
      </c>
      <c r="H366" s="6">
        <v>18</v>
      </c>
      <c r="I366" s="4" t="b">
        <v>0</v>
      </c>
      <c r="J366" s="4" t="b">
        <v>0</v>
      </c>
      <c r="K366" s="4" t="str">
        <f t="shared" si="10"/>
        <v>Active</v>
      </c>
      <c r="L366" s="4">
        <f t="shared" si="11"/>
        <v>0</v>
      </c>
    </row>
    <row r="367" spans="1:12" x14ac:dyDescent="0.3">
      <c r="A367" s="4" t="s">
        <v>760</v>
      </c>
      <c r="B367" s="4" t="s">
        <v>761</v>
      </c>
      <c r="C367" s="4" t="s">
        <v>12</v>
      </c>
      <c r="D367" s="4" t="s">
        <v>13</v>
      </c>
      <c r="E367" s="5">
        <v>45395</v>
      </c>
      <c r="F367" s="4" t="s">
        <v>24</v>
      </c>
      <c r="G367" s="4" t="s">
        <v>15</v>
      </c>
      <c r="H367" s="6">
        <v>3</v>
      </c>
      <c r="I367" s="4" t="b">
        <v>0</v>
      </c>
      <c r="J367" s="4" t="b">
        <v>1</v>
      </c>
      <c r="K367" s="4" t="str">
        <f t="shared" si="10"/>
        <v>Churned</v>
      </c>
      <c r="L367" s="4">
        <f t="shared" si="11"/>
        <v>1</v>
      </c>
    </row>
    <row r="368" spans="1:12" x14ac:dyDescent="0.3">
      <c r="A368" s="4" t="s">
        <v>762</v>
      </c>
      <c r="B368" s="4" t="s">
        <v>763</v>
      </c>
      <c r="C368" s="4" t="s">
        <v>38</v>
      </c>
      <c r="D368" s="4" t="s">
        <v>65</v>
      </c>
      <c r="E368" s="5">
        <v>44969</v>
      </c>
      <c r="F368" s="4" t="s">
        <v>20</v>
      </c>
      <c r="G368" s="4" t="s">
        <v>39</v>
      </c>
      <c r="H368" s="6">
        <v>30</v>
      </c>
      <c r="I368" s="4" t="b">
        <v>0</v>
      </c>
      <c r="J368" s="4" t="b">
        <v>1</v>
      </c>
      <c r="K368" s="4" t="str">
        <f t="shared" si="10"/>
        <v>Churned</v>
      </c>
      <c r="L368" s="4">
        <f t="shared" si="11"/>
        <v>1</v>
      </c>
    </row>
    <row r="369" spans="1:12" x14ac:dyDescent="0.3">
      <c r="A369" s="4" t="s">
        <v>764</v>
      </c>
      <c r="B369" s="4" t="s">
        <v>765</v>
      </c>
      <c r="C369" s="4" t="s">
        <v>23</v>
      </c>
      <c r="D369" s="4" t="s">
        <v>13</v>
      </c>
      <c r="E369" s="5">
        <v>45483</v>
      </c>
      <c r="F369" s="4" t="s">
        <v>35</v>
      </c>
      <c r="G369" s="4" t="s">
        <v>39</v>
      </c>
      <c r="H369" s="6">
        <v>69</v>
      </c>
      <c r="I369" s="4" t="b">
        <v>0</v>
      </c>
      <c r="J369" s="4" t="b">
        <v>0</v>
      </c>
      <c r="K369" s="4" t="str">
        <f t="shared" si="10"/>
        <v>Active</v>
      </c>
      <c r="L369" s="4">
        <f t="shared" si="11"/>
        <v>0</v>
      </c>
    </row>
    <row r="370" spans="1:12" x14ac:dyDescent="0.3">
      <c r="A370" s="4" t="s">
        <v>766</v>
      </c>
      <c r="B370" s="4" t="s">
        <v>767</v>
      </c>
      <c r="C370" s="4" t="s">
        <v>12</v>
      </c>
      <c r="D370" s="4" t="s">
        <v>82</v>
      </c>
      <c r="E370" s="5">
        <v>45292</v>
      </c>
      <c r="F370" s="4" t="s">
        <v>14</v>
      </c>
      <c r="G370" s="4" t="s">
        <v>39</v>
      </c>
      <c r="H370" s="6">
        <v>105</v>
      </c>
      <c r="I370" s="4" t="b">
        <v>0</v>
      </c>
      <c r="J370" s="4" t="b">
        <v>0</v>
      </c>
      <c r="K370" s="4" t="str">
        <f t="shared" si="10"/>
        <v>Active</v>
      </c>
      <c r="L370" s="4">
        <f t="shared" si="11"/>
        <v>0</v>
      </c>
    </row>
    <row r="371" spans="1:12" x14ac:dyDescent="0.3">
      <c r="A371" s="4" t="s">
        <v>768</v>
      </c>
      <c r="B371" s="4" t="s">
        <v>769</v>
      </c>
      <c r="C371" s="4" t="s">
        <v>38</v>
      </c>
      <c r="D371" s="4" t="s">
        <v>13</v>
      </c>
      <c r="E371" s="5">
        <v>45054</v>
      </c>
      <c r="F371" s="4" t="s">
        <v>31</v>
      </c>
      <c r="G371" s="4" t="s">
        <v>32</v>
      </c>
      <c r="H371" s="6">
        <v>28</v>
      </c>
      <c r="I371" s="4" t="b">
        <v>0</v>
      </c>
      <c r="J371" s="4" t="b">
        <v>1</v>
      </c>
      <c r="K371" s="4" t="str">
        <f t="shared" si="10"/>
        <v>Churned</v>
      </c>
      <c r="L371" s="4">
        <f t="shared" si="11"/>
        <v>1</v>
      </c>
    </row>
    <row r="372" spans="1:12" x14ac:dyDescent="0.3">
      <c r="A372" s="4" t="s">
        <v>770</v>
      </c>
      <c r="B372" s="4" t="s">
        <v>771</v>
      </c>
      <c r="C372" s="4" t="s">
        <v>23</v>
      </c>
      <c r="D372" s="4" t="s">
        <v>13</v>
      </c>
      <c r="E372" s="5">
        <v>45377</v>
      </c>
      <c r="F372" s="4" t="s">
        <v>35</v>
      </c>
      <c r="G372" s="4" t="s">
        <v>39</v>
      </c>
      <c r="H372" s="6">
        <v>33</v>
      </c>
      <c r="I372" s="4" t="b">
        <v>0</v>
      </c>
      <c r="J372" s="4" t="b">
        <v>0</v>
      </c>
      <c r="K372" s="4" t="str">
        <f t="shared" si="10"/>
        <v>Active</v>
      </c>
      <c r="L372" s="4">
        <f t="shared" si="11"/>
        <v>0</v>
      </c>
    </row>
    <row r="373" spans="1:12" x14ac:dyDescent="0.3">
      <c r="A373" s="4" t="s">
        <v>772</v>
      </c>
      <c r="B373" s="4" t="s">
        <v>773</v>
      </c>
      <c r="C373" s="4" t="s">
        <v>23</v>
      </c>
      <c r="D373" s="4" t="s">
        <v>13</v>
      </c>
      <c r="E373" s="5">
        <v>45635</v>
      </c>
      <c r="F373" s="4" t="s">
        <v>20</v>
      </c>
      <c r="G373" s="4" t="s">
        <v>39</v>
      </c>
      <c r="H373" s="6">
        <v>15</v>
      </c>
      <c r="I373" s="4" t="b">
        <v>0</v>
      </c>
      <c r="J373" s="4" t="b">
        <v>0</v>
      </c>
      <c r="K373" s="4" t="str">
        <f t="shared" si="10"/>
        <v>Active</v>
      </c>
      <c r="L373" s="4">
        <f t="shared" si="11"/>
        <v>0</v>
      </c>
    </row>
    <row r="374" spans="1:12" x14ac:dyDescent="0.3">
      <c r="A374" s="4" t="s">
        <v>774</v>
      </c>
      <c r="B374" s="4" t="s">
        <v>775</v>
      </c>
      <c r="C374" s="4" t="s">
        <v>23</v>
      </c>
      <c r="D374" s="4" t="s">
        <v>13</v>
      </c>
      <c r="E374" s="5">
        <v>45011</v>
      </c>
      <c r="F374" s="4" t="s">
        <v>20</v>
      </c>
      <c r="G374" s="4" t="s">
        <v>15</v>
      </c>
      <c r="H374" s="6">
        <v>1</v>
      </c>
      <c r="I374" s="4" t="b">
        <v>0</v>
      </c>
      <c r="J374" s="4" t="b">
        <v>0</v>
      </c>
      <c r="K374" s="4" t="str">
        <f t="shared" si="10"/>
        <v>Active</v>
      </c>
      <c r="L374" s="4">
        <f t="shared" si="11"/>
        <v>0</v>
      </c>
    </row>
    <row r="375" spans="1:12" x14ac:dyDescent="0.3">
      <c r="A375" s="4" t="s">
        <v>776</v>
      </c>
      <c r="B375" s="4" t="s">
        <v>777</v>
      </c>
      <c r="C375" s="4" t="s">
        <v>38</v>
      </c>
      <c r="D375" s="4" t="s">
        <v>13</v>
      </c>
      <c r="E375" s="5">
        <v>45485</v>
      </c>
      <c r="F375" s="4" t="s">
        <v>24</v>
      </c>
      <c r="G375" s="4" t="s">
        <v>39</v>
      </c>
      <c r="H375" s="6">
        <v>2</v>
      </c>
      <c r="I375" s="4" t="b">
        <v>0</v>
      </c>
      <c r="J375" s="4" t="b">
        <v>0</v>
      </c>
      <c r="K375" s="4" t="str">
        <f t="shared" si="10"/>
        <v>Active</v>
      </c>
      <c r="L375" s="4">
        <f t="shared" si="11"/>
        <v>0</v>
      </c>
    </row>
    <row r="376" spans="1:12" x14ac:dyDescent="0.3">
      <c r="A376" s="4" t="s">
        <v>778</v>
      </c>
      <c r="B376" s="4" t="s">
        <v>779</v>
      </c>
      <c r="C376" s="4" t="s">
        <v>38</v>
      </c>
      <c r="D376" s="4" t="s">
        <v>13</v>
      </c>
      <c r="E376" s="5">
        <v>45603</v>
      </c>
      <c r="F376" s="4" t="s">
        <v>20</v>
      </c>
      <c r="G376" s="4" t="s">
        <v>32</v>
      </c>
      <c r="H376" s="6">
        <v>39</v>
      </c>
      <c r="I376" s="4" t="b">
        <v>0</v>
      </c>
      <c r="J376" s="4" t="b">
        <v>0</v>
      </c>
      <c r="K376" s="4" t="str">
        <f t="shared" si="10"/>
        <v>Active</v>
      </c>
      <c r="L376" s="4">
        <f t="shared" si="11"/>
        <v>0</v>
      </c>
    </row>
    <row r="377" spans="1:12" x14ac:dyDescent="0.3">
      <c r="A377" s="4" t="s">
        <v>780</v>
      </c>
      <c r="B377" s="4" t="s">
        <v>781</v>
      </c>
      <c r="C377" s="4" t="s">
        <v>18</v>
      </c>
      <c r="D377" s="4" t="s">
        <v>28</v>
      </c>
      <c r="E377" s="5">
        <v>45363</v>
      </c>
      <c r="F377" s="4" t="s">
        <v>14</v>
      </c>
      <c r="G377" s="4" t="s">
        <v>39</v>
      </c>
      <c r="H377" s="6">
        <v>16</v>
      </c>
      <c r="I377" s="4" t="b">
        <v>1</v>
      </c>
      <c r="J377" s="4" t="b">
        <v>0</v>
      </c>
      <c r="K377" s="4" t="str">
        <f t="shared" si="10"/>
        <v>Active</v>
      </c>
      <c r="L377" s="4">
        <f t="shared" si="11"/>
        <v>0</v>
      </c>
    </row>
    <row r="378" spans="1:12" x14ac:dyDescent="0.3">
      <c r="A378" s="4" t="s">
        <v>782</v>
      </c>
      <c r="B378" s="4" t="s">
        <v>783</v>
      </c>
      <c r="C378" s="4" t="s">
        <v>38</v>
      </c>
      <c r="D378" s="4" t="s">
        <v>28</v>
      </c>
      <c r="E378" s="5">
        <v>44970</v>
      </c>
      <c r="F378" s="4" t="s">
        <v>31</v>
      </c>
      <c r="G378" s="4" t="s">
        <v>39</v>
      </c>
      <c r="H378" s="6">
        <v>9</v>
      </c>
      <c r="I378" s="4" t="b">
        <v>0</v>
      </c>
      <c r="J378" s="4" t="b">
        <v>0</v>
      </c>
      <c r="K378" s="4" t="str">
        <f t="shared" si="10"/>
        <v>Active</v>
      </c>
      <c r="L378" s="4">
        <f t="shared" si="11"/>
        <v>0</v>
      </c>
    </row>
    <row r="379" spans="1:12" x14ac:dyDescent="0.3">
      <c r="A379" s="4" t="s">
        <v>784</v>
      </c>
      <c r="B379" s="4" t="s">
        <v>785</v>
      </c>
      <c r="C379" s="4" t="s">
        <v>12</v>
      </c>
      <c r="D379" s="4" t="s">
        <v>13</v>
      </c>
      <c r="E379" s="5">
        <v>45581</v>
      </c>
      <c r="F379" s="4" t="s">
        <v>31</v>
      </c>
      <c r="G379" s="4" t="s">
        <v>39</v>
      </c>
      <c r="H379" s="6">
        <v>13</v>
      </c>
      <c r="I379" s="4" t="b">
        <v>1</v>
      </c>
      <c r="J379" s="4" t="b">
        <v>0</v>
      </c>
      <c r="K379" s="4" t="str">
        <f t="shared" si="10"/>
        <v>Active</v>
      </c>
      <c r="L379" s="4">
        <f t="shared" si="11"/>
        <v>0</v>
      </c>
    </row>
    <row r="380" spans="1:12" x14ac:dyDescent="0.3">
      <c r="A380" s="4" t="s">
        <v>786</v>
      </c>
      <c r="B380" s="4" t="s">
        <v>787</v>
      </c>
      <c r="C380" s="4" t="s">
        <v>18</v>
      </c>
      <c r="D380" s="4" t="s">
        <v>101</v>
      </c>
      <c r="E380" s="5">
        <v>45452</v>
      </c>
      <c r="F380" s="4" t="s">
        <v>35</v>
      </c>
      <c r="G380" s="4" t="s">
        <v>32</v>
      </c>
      <c r="H380" s="6">
        <v>22</v>
      </c>
      <c r="I380" s="4" t="b">
        <v>1</v>
      </c>
      <c r="J380" s="4" t="b">
        <v>0</v>
      </c>
      <c r="K380" s="4" t="str">
        <f t="shared" si="10"/>
        <v>Active</v>
      </c>
      <c r="L380" s="4">
        <f t="shared" si="11"/>
        <v>0</v>
      </c>
    </row>
    <row r="381" spans="1:12" x14ac:dyDescent="0.3">
      <c r="A381" s="4" t="s">
        <v>788</v>
      </c>
      <c r="B381" s="4" t="s">
        <v>789</v>
      </c>
      <c r="C381" s="4" t="s">
        <v>23</v>
      </c>
      <c r="D381" s="4" t="s">
        <v>13</v>
      </c>
      <c r="E381" s="5">
        <v>45621</v>
      </c>
      <c r="F381" s="4" t="s">
        <v>24</v>
      </c>
      <c r="G381" s="4" t="s">
        <v>15</v>
      </c>
      <c r="H381" s="6">
        <v>13</v>
      </c>
      <c r="I381" s="4" t="b">
        <v>0</v>
      </c>
      <c r="J381" s="4" t="b">
        <v>0</v>
      </c>
      <c r="K381" s="4" t="str">
        <f t="shared" si="10"/>
        <v>Active</v>
      </c>
      <c r="L381" s="4">
        <f t="shared" si="11"/>
        <v>0</v>
      </c>
    </row>
    <row r="382" spans="1:12" x14ac:dyDescent="0.3">
      <c r="A382" s="4" t="s">
        <v>790</v>
      </c>
      <c r="B382" s="4" t="s">
        <v>791</v>
      </c>
      <c r="C382" s="4" t="s">
        <v>38</v>
      </c>
      <c r="D382" s="4" t="s">
        <v>13</v>
      </c>
      <c r="E382" s="5">
        <v>45587</v>
      </c>
      <c r="F382" s="4" t="s">
        <v>20</v>
      </c>
      <c r="G382" s="4" t="s">
        <v>15</v>
      </c>
      <c r="H382" s="6">
        <v>34</v>
      </c>
      <c r="I382" s="4" t="b">
        <v>0</v>
      </c>
      <c r="J382" s="4" t="b">
        <v>0</v>
      </c>
      <c r="K382" s="4" t="str">
        <f t="shared" si="10"/>
        <v>Active</v>
      </c>
      <c r="L382" s="4">
        <f t="shared" si="11"/>
        <v>0</v>
      </c>
    </row>
    <row r="383" spans="1:12" x14ac:dyDescent="0.3">
      <c r="A383" s="4" t="s">
        <v>792</v>
      </c>
      <c r="B383" s="4" t="s">
        <v>793</v>
      </c>
      <c r="C383" s="4" t="s">
        <v>18</v>
      </c>
      <c r="D383" s="4" t="s">
        <v>28</v>
      </c>
      <c r="E383" s="5">
        <v>45546</v>
      </c>
      <c r="F383" s="4" t="s">
        <v>14</v>
      </c>
      <c r="G383" s="4" t="s">
        <v>39</v>
      </c>
      <c r="H383" s="6">
        <v>16</v>
      </c>
      <c r="I383" s="4" t="b">
        <v>0</v>
      </c>
      <c r="J383" s="4" t="b">
        <v>0</v>
      </c>
      <c r="K383" s="4" t="str">
        <f t="shared" si="10"/>
        <v>Active</v>
      </c>
      <c r="L383" s="4">
        <f t="shared" si="11"/>
        <v>0</v>
      </c>
    </row>
    <row r="384" spans="1:12" x14ac:dyDescent="0.3">
      <c r="A384" s="4" t="s">
        <v>794</v>
      </c>
      <c r="B384" s="4" t="s">
        <v>795</v>
      </c>
      <c r="C384" s="4" t="s">
        <v>12</v>
      </c>
      <c r="D384" s="4" t="s">
        <v>13</v>
      </c>
      <c r="E384" s="5">
        <v>45381</v>
      </c>
      <c r="F384" s="4" t="s">
        <v>20</v>
      </c>
      <c r="G384" s="4" t="s">
        <v>39</v>
      </c>
      <c r="H384" s="6">
        <v>31</v>
      </c>
      <c r="I384" s="4" t="b">
        <v>0</v>
      </c>
      <c r="J384" s="4" t="b">
        <v>0</v>
      </c>
      <c r="K384" s="4" t="str">
        <f t="shared" si="10"/>
        <v>Active</v>
      </c>
      <c r="L384" s="4">
        <f t="shared" si="11"/>
        <v>0</v>
      </c>
    </row>
    <row r="385" spans="1:12" x14ac:dyDescent="0.3">
      <c r="A385" s="4" t="s">
        <v>796</v>
      </c>
      <c r="B385" s="4" t="s">
        <v>797</v>
      </c>
      <c r="C385" s="4" t="s">
        <v>38</v>
      </c>
      <c r="D385" s="4" t="s">
        <v>28</v>
      </c>
      <c r="E385" s="5">
        <v>45334</v>
      </c>
      <c r="F385" s="4" t="s">
        <v>35</v>
      </c>
      <c r="G385" s="4" t="s">
        <v>15</v>
      </c>
      <c r="H385" s="6">
        <v>40</v>
      </c>
      <c r="I385" s="4" t="b">
        <v>0</v>
      </c>
      <c r="J385" s="4" t="b">
        <v>0</v>
      </c>
      <c r="K385" s="4" t="str">
        <f t="shared" si="10"/>
        <v>Active</v>
      </c>
      <c r="L385" s="4">
        <f t="shared" si="11"/>
        <v>0</v>
      </c>
    </row>
    <row r="386" spans="1:12" x14ac:dyDescent="0.3">
      <c r="A386" s="4" t="s">
        <v>798</v>
      </c>
      <c r="B386" s="4" t="s">
        <v>799</v>
      </c>
      <c r="C386" s="4" t="s">
        <v>18</v>
      </c>
      <c r="D386" s="4" t="s">
        <v>13</v>
      </c>
      <c r="E386" s="5">
        <v>44953</v>
      </c>
      <c r="F386" s="4" t="s">
        <v>31</v>
      </c>
      <c r="G386" s="4" t="s">
        <v>32</v>
      </c>
      <c r="H386" s="6">
        <v>23</v>
      </c>
      <c r="I386" s="4" t="b">
        <v>0</v>
      </c>
      <c r="J386" s="4" t="b">
        <v>0</v>
      </c>
      <c r="K386" s="4" t="str">
        <f t="shared" si="10"/>
        <v>Active</v>
      </c>
      <c r="L386" s="4">
        <f t="shared" si="11"/>
        <v>0</v>
      </c>
    </row>
    <row r="387" spans="1:12" x14ac:dyDescent="0.3">
      <c r="A387" s="4" t="s">
        <v>800</v>
      </c>
      <c r="B387" s="4" t="s">
        <v>801</v>
      </c>
      <c r="C387" s="4" t="s">
        <v>38</v>
      </c>
      <c r="D387" s="4" t="s">
        <v>19</v>
      </c>
      <c r="E387" s="5">
        <v>45047</v>
      </c>
      <c r="F387" s="4" t="s">
        <v>31</v>
      </c>
      <c r="G387" s="4" t="s">
        <v>15</v>
      </c>
      <c r="H387" s="6">
        <v>27</v>
      </c>
      <c r="I387" s="4" t="b">
        <v>0</v>
      </c>
      <c r="J387" s="4" t="b">
        <v>0</v>
      </c>
      <c r="K387" s="4" t="str">
        <f t="shared" ref="K387:K450" si="12">IF(J387=TRUE,"Churned","Active")</f>
        <v>Active</v>
      </c>
      <c r="L387" s="4">
        <f t="shared" ref="L387:L450" si="13">IF(J387=TRUE,1,0)</f>
        <v>0</v>
      </c>
    </row>
    <row r="388" spans="1:12" x14ac:dyDescent="0.3">
      <c r="A388" s="4" t="s">
        <v>802</v>
      </c>
      <c r="B388" s="4" t="s">
        <v>803</v>
      </c>
      <c r="C388" s="4" t="s">
        <v>38</v>
      </c>
      <c r="D388" s="4" t="s">
        <v>28</v>
      </c>
      <c r="E388" s="5">
        <v>45553</v>
      </c>
      <c r="F388" s="4" t="s">
        <v>31</v>
      </c>
      <c r="G388" s="4" t="s">
        <v>15</v>
      </c>
      <c r="H388" s="6">
        <v>41</v>
      </c>
      <c r="I388" s="4" t="b">
        <v>1</v>
      </c>
      <c r="J388" s="4" t="b">
        <v>0</v>
      </c>
      <c r="K388" s="4" t="str">
        <f t="shared" si="12"/>
        <v>Active</v>
      </c>
      <c r="L388" s="4">
        <f t="shared" si="13"/>
        <v>0</v>
      </c>
    </row>
    <row r="389" spans="1:12" x14ac:dyDescent="0.3">
      <c r="A389" s="4" t="s">
        <v>804</v>
      </c>
      <c r="B389" s="4" t="s">
        <v>805</v>
      </c>
      <c r="C389" s="4" t="s">
        <v>18</v>
      </c>
      <c r="D389" s="4" t="s">
        <v>82</v>
      </c>
      <c r="E389" s="5">
        <v>45052</v>
      </c>
      <c r="F389" s="4" t="s">
        <v>31</v>
      </c>
      <c r="G389" s="4" t="s">
        <v>15</v>
      </c>
      <c r="H389" s="6">
        <v>2</v>
      </c>
      <c r="I389" s="4" t="b">
        <v>0</v>
      </c>
      <c r="J389" s="4" t="b">
        <v>0</v>
      </c>
      <c r="K389" s="4" t="str">
        <f t="shared" si="12"/>
        <v>Active</v>
      </c>
      <c r="L389" s="4">
        <f t="shared" si="13"/>
        <v>0</v>
      </c>
    </row>
    <row r="390" spans="1:12" x14ac:dyDescent="0.3">
      <c r="A390" s="4" t="s">
        <v>806</v>
      </c>
      <c r="B390" s="4" t="s">
        <v>807</v>
      </c>
      <c r="C390" s="4" t="s">
        <v>23</v>
      </c>
      <c r="D390" s="4" t="s">
        <v>101</v>
      </c>
      <c r="E390" s="5">
        <v>45657</v>
      </c>
      <c r="F390" s="4" t="s">
        <v>14</v>
      </c>
      <c r="G390" s="4" t="s">
        <v>32</v>
      </c>
      <c r="H390" s="6">
        <v>3</v>
      </c>
      <c r="I390" s="4" t="b">
        <v>0</v>
      </c>
      <c r="J390" s="4" t="b">
        <v>0</v>
      </c>
      <c r="K390" s="4" t="str">
        <f t="shared" si="12"/>
        <v>Active</v>
      </c>
      <c r="L390" s="4">
        <f t="shared" si="13"/>
        <v>0</v>
      </c>
    </row>
    <row r="391" spans="1:12" x14ac:dyDescent="0.3">
      <c r="A391" s="4" t="s">
        <v>808</v>
      </c>
      <c r="B391" s="4" t="s">
        <v>809</v>
      </c>
      <c r="C391" s="4" t="s">
        <v>12</v>
      </c>
      <c r="D391" s="4" t="s">
        <v>13</v>
      </c>
      <c r="E391" s="5">
        <v>45282</v>
      </c>
      <c r="F391" s="4" t="s">
        <v>14</v>
      </c>
      <c r="G391" s="4" t="s">
        <v>39</v>
      </c>
      <c r="H391" s="6">
        <v>14</v>
      </c>
      <c r="I391" s="4" t="b">
        <v>1</v>
      </c>
      <c r="J391" s="4" t="b">
        <v>0</v>
      </c>
      <c r="K391" s="4" t="str">
        <f t="shared" si="12"/>
        <v>Active</v>
      </c>
      <c r="L391" s="4">
        <f t="shared" si="13"/>
        <v>0</v>
      </c>
    </row>
    <row r="392" spans="1:12" x14ac:dyDescent="0.3">
      <c r="A392" s="4" t="s">
        <v>810</v>
      </c>
      <c r="B392" s="4" t="s">
        <v>811</v>
      </c>
      <c r="C392" s="4" t="s">
        <v>18</v>
      </c>
      <c r="D392" s="4" t="s">
        <v>19</v>
      </c>
      <c r="E392" s="5">
        <v>45088</v>
      </c>
      <c r="F392" s="4" t="s">
        <v>20</v>
      </c>
      <c r="G392" s="4" t="s">
        <v>15</v>
      </c>
      <c r="H392" s="6">
        <v>19</v>
      </c>
      <c r="I392" s="4" t="b">
        <v>0</v>
      </c>
      <c r="J392" s="4" t="b">
        <v>0</v>
      </c>
      <c r="K392" s="4" t="str">
        <f t="shared" si="12"/>
        <v>Active</v>
      </c>
      <c r="L392" s="4">
        <f t="shared" si="13"/>
        <v>0</v>
      </c>
    </row>
    <row r="393" spans="1:12" x14ac:dyDescent="0.3">
      <c r="A393" s="4" t="s">
        <v>812</v>
      </c>
      <c r="B393" s="4" t="s">
        <v>813</v>
      </c>
      <c r="C393" s="4" t="s">
        <v>18</v>
      </c>
      <c r="D393" s="4" t="s">
        <v>19</v>
      </c>
      <c r="E393" s="5">
        <v>45051</v>
      </c>
      <c r="F393" s="4" t="s">
        <v>35</v>
      </c>
      <c r="G393" s="4" t="s">
        <v>39</v>
      </c>
      <c r="H393" s="6">
        <v>6</v>
      </c>
      <c r="I393" s="4" t="b">
        <v>0</v>
      </c>
      <c r="J393" s="4" t="b">
        <v>0</v>
      </c>
      <c r="K393" s="4" t="str">
        <f t="shared" si="12"/>
        <v>Active</v>
      </c>
      <c r="L393" s="4">
        <f t="shared" si="13"/>
        <v>0</v>
      </c>
    </row>
    <row r="394" spans="1:12" x14ac:dyDescent="0.3">
      <c r="A394" s="4" t="s">
        <v>814</v>
      </c>
      <c r="B394" s="4" t="s">
        <v>815</v>
      </c>
      <c r="C394" s="4" t="s">
        <v>38</v>
      </c>
      <c r="D394" s="4" t="s">
        <v>13</v>
      </c>
      <c r="E394" s="5">
        <v>44953</v>
      </c>
      <c r="F394" s="4" t="s">
        <v>14</v>
      </c>
      <c r="G394" s="4" t="s">
        <v>39</v>
      </c>
      <c r="H394" s="6">
        <v>30</v>
      </c>
      <c r="I394" s="4" t="b">
        <v>1</v>
      </c>
      <c r="J394" s="4" t="b">
        <v>0</v>
      </c>
      <c r="K394" s="4" t="str">
        <f t="shared" si="12"/>
        <v>Active</v>
      </c>
      <c r="L394" s="4">
        <f t="shared" si="13"/>
        <v>0</v>
      </c>
    </row>
    <row r="395" spans="1:12" x14ac:dyDescent="0.3">
      <c r="A395" s="4" t="s">
        <v>816</v>
      </c>
      <c r="B395" s="4" t="s">
        <v>817</v>
      </c>
      <c r="C395" s="4" t="s">
        <v>18</v>
      </c>
      <c r="D395" s="4" t="s">
        <v>28</v>
      </c>
      <c r="E395" s="5">
        <v>45491</v>
      </c>
      <c r="F395" s="4" t="s">
        <v>24</v>
      </c>
      <c r="G395" s="4" t="s">
        <v>15</v>
      </c>
      <c r="H395" s="6">
        <v>15</v>
      </c>
      <c r="I395" s="4" t="b">
        <v>0</v>
      </c>
      <c r="J395" s="4" t="b">
        <v>0</v>
      </c>
      <c r="K395" s="4" t="str">
        <f t="shared" si="12"/>
        <v>Active</v>
      </c>
      <c r="L395" s="4">
        <f t="shared" si="13"/>
        <v>0</v>
      </c>
    </row>
    <row r="396" spans="1:12" x14ac:dyDescent="0.3">
      <c r="A396" s="4" t="s">
        <v>818</v>
      </c>
      <c r="B396" s="4" t="s">
        <v>819</v>
      </c>
      <c r="C396" s="4" t="s">
        <v>23</v>
      </c>
      <c r="D396" s="4" t="s">
        <v>101</v>
      </c>
      <c r="E396" s="5">
        <v>45243</v>
      </c>
      <c r="F396" s="4" t="s">
        <v>31</v>
      </c>
      <c r="G396" s="4" t="s">
        <v>32</v>
      </c>
      <c r="H396" s="6">
        <v>20</v>
      </c>
      <c r="I396" s="4" t="b">
        <v>0</v>
      </c>
      <c r="J396" s="4" t="b">
        <v>1</v>
      </c>
      <c r="K396" s="4" t="str">
        <f t="shared" si="12"/>
        <v>Churned</v>
      </c>
      <c r="L396" s="4">
        <f t="shared" si="13"/>
        <v>1</v>
      </c>
    </row>
    <row r="397" spans="1:12" x14ac:dyDescent="0.3">
      <c r="A397" s="4" t="s">
        <v>820</v>
      </c>
      <c r="B397" s="4" t="s">
        <v>821</v>
      </c>
      <c r="C397" s="4" t="s">
        <v>23</v>
      </c>
      <c r="D397" s="4" t="s">
        <v>44</v>
      </c>
      <c r="E397" s="5">
        <v>45347</v>
      </c>
      <c r="F397" s="4" t="s">
        <v>24</v>
      </c>
      <c r="G397" s="4" t="s">
        <v>15</v>
      </c>
      <c r="H397" s="6">
        <v>55</v>
      </c>
      <c r="I397" s="4" t="b">
        <v>0</v>
      </c>
      <c r="J397" s="4" t="b">
        <v>1</v>
      </c>
      <c r="K397" s="4" t="str">
        <f t="shared" si="12"/>
        <v>Churned</v>
      </c>
      <c r="L397" s="4">
        <f t="shared" si="13"/>
        <v>1</v>
      </c>
    </row>
    <row r="398" spans="1:12" x14ac:dyDescent="0.3">
      <c r="A398" s="4" t="s">
        <v>822</v>
      </c>
      <c r="B398" s="4" t="s">
        <v>823</v>
      </c>
      <c r="C398" s="4" t="s">
        <v>12</v>
      </c>
      <c r="D398" s="4" t="s">
        <v>13</v>
      </c>
      <c r="E398" s="5">
        <v>45251</v>
      </c>
      <c r="F398" s="4" t="s">
        <v>20</v>
      </c>
      <c r="G398" s="4" t="s">
        <v>39</v>
      </c>
      <c r="H398" s="6">
        <v>7</v>
      </c>
      <c r="I398" s="4" t="b">
        <v>0</v>
      </c>
      <c r="J398" s="4" t="b">
        <v>1</v>
      </c>
      <c r="K398" s="4" t="str">
        <f t="shared" si="12"/>
        <v>Churned</v>
      </c>
      <c r="L398" s="4">
        <f t="shared" si="13"/>
        <v>1</v>
      </c>
    </row>
    <row r="399" spans="1:12" x14ac:dyDescent="0.3">
      <c r="A399" s="4" t="s">
        <v>824</v>
      </c>
      <c r="B399" s="4" t="s">
        <v>825</v>
      </c>
      <c r="C399" s="4" t="s">
        <v>27</v>
      </c>
      <c r="D399" s="4" t="s">
        <v>28</v>
      </c>
      <c r="E399" s="5">
        <v>45058</v>
      </c>
      <c r="F399" s="4" t="s">
        <v>35</v>
      </c>
      <c r="G399" s="4" t="s">
        <v>15</v>
      </c>
      <c r="H399" s="6">
        <v>17</v>
      </c>
      <c r="I399" s="4" t="b">
        <v>0</v>
      </c>
      <c r="J399" s="4" t="b">
        <v>0</v>
      </c>
      <c r="K399" s="4" t="str">
        <f t="shared" si="12"/>
        <v>Active</v>
      </c>
      <c r="L399" s="4">
        <f t="shared" si="13"/>
        <v>0</v>
      </c>
    </row>
    <row r="400" spans="1:12" x14ac:dyDescent="0.3">
      <c r="A400" s="4" t="s">
        <v>826</v>
      </c>
      <c r="B400" s="4" t="s">
        <v>827</v>
      </c>
      <c r="C400" s="4" t="s">
        <v>27</v>
      </c>
      <c r="D400" s="4" t="s">
        <v>65</v>
      </c>
      <c r="E400" s="5">
        <v>45370</v>
      </c>
      <c r="F400" s="4" t="s">
        <v>24</v>
      </c>
      <c r="G400" s="4" t="s">
        <v>15</v>
      </c>
      <c r="H400" s="6">
        <v>1</v>
      </c>
      <c r="I400" s="4" t="b">
        <v>0</v>
      </c>
      <c r="J400" s="4" t="b">
        <v>0</v>
      </c>
      <c r="K400" s="4" t="str">
        <f t="shared" si="12"/>
        <v>Active</v>
      </c>
      <c r="L400" s="4">
        <f t="shared" si="13"/>
        <v>0</v>
      </c>
    </row>
    <row r="401" spans="1:12" x14ac:dyDescent="0.3">
      <c r="A401" s="4" t="s">
        <v>828</v>
      </c>
      <c r="B401" s="4" t="s">
        <v>829</v>
      </c>
      <c r="C401" s="4" t="s">
        <v>18</v>
      </c>
      <c r="D401" s="4" t="s">
        <v>13</v>
      </c>
      <c r="E401" s="5">
        <v>45457</v>
      </c>
      <c r="F401" s="4" t="s">
        <v>35</v>
      </c>
      <c r="G401" s="4" t="s">
        <v>39</v>
      </c>
      <c r="H401" s="6">
        <v>69</v>
      </c>
      <c r="I401" s="4" t="b">
        <v>0</v>
      </c>
      <c r="J401" s="4" t="b">
        <v>1</v>
      </c>
      <c r="K401" s="4" t="str">
        <f t="shared" si="12"/>
        <v>Churned</v>
      </c>
      <c r="L401" s="4">
        <f t="shared" si="13"/>
        <v>1</v>
      </c>
    </row>
    <row r="402" spans="1:12" x14ac:dyDescent="0.3">
      <c r="A402" s="4" t="s">
        <v>830</v>
      </c>
      <c r="B402" s="4" t="s">
        <v>831</v>
      </c>
      <c r="C402" s="4" t="s">
        <v>18</v>
      </c>
      <c r="D402" s="4" t="s">
        <v>13</v>
      </c>
      <c r="E402" s="5">
        <v>45653</v>
      </c>
      <c r="F402" s="4" t="s">
        <v>20</v>
      </c>
      <c r="G402" s="4" t="s">
        <v>39</v>
      </c>
      <c r="H402" s="6">
        <v>28</v>
      </c>
      <c r="I402" s="4" t="b">
        <v>1</v>
      </c>
      <c r="J402" s="4" t="b">
        <v>1</v>
      </c>
      <c r="K402" s="4" t="str">
        <f t="shared" si="12"/>
        <v>Churned</v>
      </c>
      <c r="L402" s="4">
        <f t="shared" si="13"/>
        <v>1</v>
      </c>
    </row>
    <row r="403" spans="1:12" x14ac:dyDescent="0.3">
      <c r="A403" s="4" t="s">
        <v>832</v>
      </c>
      <c r="B403" s="4" t="s">
        <v>833</v>
      </c>
      <c r="C403" s="4" t="s">
        <v>38</v>
      </c>
      <c r="D403" s="4" t="s">
        <v>13</v>
      </c>
      <c r="E403" s="5">
        <v>45007</v>
      </c>
      <c r="F403" s="4" t="s">
        <v>20</v>
      </c>
      <c r="G403" s="4" t="s">
        <v>39</v>
      </c>
      <c r="H403" s="6">
        <v>7</v>
      </c>
      <c r="I403" s="4" t="b">
        <v>0</v>
      </c>
      <c r="J403" s="4" t="b">
        <v>0</v>
      </c>
      <c r="K403" s="4" t="str">
        <f t="shared" si="12"/>
        <v>Active</v>
      </c>
      <c r="L403" s="4">
        <f t="shared" si="13"/>
        <v>0</v>
      </c>
    </row>
    <row r="404" spans="1:12" x14ac:dyDescent="0.3">
      <c r="A404" s="4" t="s">
        <v>834</v>
      </c>
      <c r="B404" s="4" t="s">
        <v>835</v>
      </c>
      <c r="C404" s="4" t="s">
        <v>38</v>
      </c>
      <c r="D404" s="4" t="s">
        <v>28</v>
      </c>
      <c r="E404" s="5">
        <v>45055</v>
      </c>
      <c r="F404" s="4" t="s">
        <v>24</v>
      </c>
      <c r="G404" s="4" t="s">
        <v>32</v>
      </c>
      <c r="H404" s="6">
        <v>22</v>
      </c>
      <c r="I404" s="4" t="b">
        <v>0</v>
      </c>
      <c r="J404" s="4" t="b">
        <v>0</v>
      </c>
      <c r="K404" s="4" t="str">
        <f t="shared" si="12"/>
        <v>Active</v>
      </c>
      <c r="L404" s="4">
        <f t="shared" si="13"/>
        <v>0</v>
      </c>
    </row>
    <row r="405" spans="1:12" x14ac:dyDescent="0.3">
      <c r="A405" s="4" t="s">
        <v>836</v>
      </c>
      <c r="B405" s="4" t="s">
        <v>837</v>
      </c>
      <c r="C405" s="4" t="s">
        <v>18</v>
      </c>
      <c r="D405" s="4" t="s">
        <v>13</v>
      </c>
      <c r="E405" s="5">
        <v>45583</v>
      </c>
      <c r="F405" s="4" t="s">
        <v>20</v>
      </c>
      <c r="G405" s="4" t="s">
        <v>15</v>
      </c>
      <c r="H405" s="6">
        <v>117</v>
      </c>
      <c r="I405" s="4" t="b">
        <v>0</v>
      </c>
      <c r="J405" s="4" t="b">
        <v>0</v>
      </c>
      <c r="K405" s="4" t="str">
        <f t="shared" si="12"/>
        <v>Active</v>
      </c>
      <c r="L405" s="4">
        <f t="shared" si="13"/>
        <v>0</v>
      </c>
    </row>
    <row r="406" spans="1:12" x14ac:dyDescent="0.3">
      <c r="A406" s="4" t="s">
        <v>838</v>
      </c>
      <c r="B406" s="4" t="s">
        <v>839</v>
      </c>
      <c r="C406" s="4" t="s">
        <v>27</v>
      </c>
      <c r="D406" s="4" t="s">
        <v>19</v>
      </c>
      <c r="E406" s="5">
        <v>45102</v>
      </c>
      <c r="F406" s="4" t="s">
        <v>20</v>
      </c>
      <c r="G406" s="4" t="s">
        <v>39</v>
      </c>
      <c r="H406" s="6">
        <v>3</v>
      </c>
      <c r="I406" s="4" t="b">
        <v>0</v>
      </c>
      <c r="J406" s="4" t="b">
        <v>0</v>
      </c>
      <c r="K406" s="4" t="str">
        <f t="shared" si="12"/>
        <v>Active</v>
      </c>
      <c r="L406" s="4">
        <f t="shared" si="13"/>
        <v>0</v>
      </c>
    </row>
    <row r="407" spans="1:12" x14ac:dyDescent="0.3">
      <c r="A407" s="4" t="s">
        <v>840</v>
      </c>
      <c r="B407" s="4" t="s">
        <v>841</v>
      </c>
      <c r="C407" s="4" t="s">
        <v>12</v>
      </c>
      <c r="D407" s="4" t="s">
        <v>44</v>
      </c>
      <c r="E407" s="5">
        <v>45504</v>
      </c>
      <c r="F407" s="4" t="s">
        <v>24</v>
      </c>
      <c r="G407" s="4" t="s">
        <v>15</v>
      </c>
      <c r="H407" s="6">
        <v>4</v>
      </c>
      <c r="I407" s="4" t="b">
        <v>1</v>
      </c>
      <c r="J407" s="4" t="b">
        <v>0</v>
      </c>
      <c r="K407" s="4" t="str">
        <f t="shared" si="12"/>
        <v>Active</v>
      </c>
      <c r="L407" s="4">
        <f t="shared" si="13"/>
        <v>0</v>
      </c>
    </row>
    <row r="408" spans="1:12" x14ac:dyDescent="0.3">
      <c r="A408" s="4" t="s">
        <v>842</v>
      </c>
      <c r="B408" s="4" t="s">
        <v>843</v>
      </c>
      <c r="C408" s="4" t="s">
        <v>27</v>
      </c>
      <c r="D408" s="4" t="s">
        <v>13</v>
      </c>
      <c r="E408" s="5">
        <v>44973</v>
      </c>
      <c r="F408" s="4" t="s">
        <v>35</v>
      </c>
      <c r="G408" s="4" t="s">
        <v>32</v>
      </c>
      <c r="H408" s="6">
        <v>21</v>
      </c>
      <c r="I408" s="4" t="b">
        <v>0</v>
      </c>
      <c r="J408" s="4" t="b">
        <v>0</v>
      </c>
      <c r="K408" s="4" t="str">
        <f t="shared" si="12"/>
        <v>Active</v>
      </c>
      <c r="L408" s="4">
        <f t="shared" si="13"/>
        <v>0</v>
      </c>
    </row>
    <row r="409" spans="1:12" x14ac:dyDescent="0.3">
      <c r="A409" s="4" t="s">
        <v>844</v>
      </c>
      <c r="B409" s="4" t="s">
        <v>845</v>
      </c>
      <c r="C409" s="4" t="s">
        <v>27</v>
      </c>
      <c r="D409" s="4" t="s">
        <v>28</v>
      </c>
      <c r="E409" s="5">
        <v>45353</v>
      </c>
      <c r="F409" s="4" t="s">
        <v>31</v>
      </c>
      <c r="G409" s="4" t="s">
        <v>32</v>
      </c>
      <c r="H409" s="6">
        <v>3</v>
      </c>
      <c r="I409" s="4" t="b">
        <v>0</v>
      </c>
      <c r="J409" s="4" t="b">
        <v>0</v>
      </c>
      <c r="K409" s="4" t="str">
        <f t="shared" si="12"/>
        <v>Active</v>
      </c>
      <c r="L409" s="4">
        <f t="shared" si="13"/>
        <v>0</v>
      </c>
    </row>
    <row r="410" spans="1:12" x14ac:dyDescent="0.3">
      <c r="A410" s="4" t="s">
        <v>846</v>
      </c>
      <c r="B410" s="4" t="s">
        <v>847</v>
      </c>
      <c r="C410" s="4" t="s">
        <v>38</v>
      </c>
      <c r="D410" s="4" t="s">
        <v>28</v>
      </c>
      <c r="E410" s="5">
        <v>45485</v>
      </c>
      <c r="F410" s="4" t="s">
        <v>14</v>
      </c>
      <c r="G410" s="4" t="s">
        <v>39</v>
      </c>
      <c r="H410" s="6">
        <v>10</v>
      </c>
      <c r="I410" s="4" t="b">
        <v>0</v>
      </c>
      <c r="J410" s="4" t="b">
        <v>0</v>
      </c>
      <c r="K410" s="4" t="str">
        <f t="shared" si="12"/>
        <v>Active</v>
      </c>
      <c r="L410" s="4">
        <f t="shared" si="13"/>
        <v>0</v>
      </c>
    </row>
    <row r="411" spans="1:12" x14ac:dyDescent="0.3">
      <c r="A411" s="4" t="s">
        <v>848</v>
      </c>
      <c r="B411" s="4" t="s">
        <v>849</v>
      </c>
      <c r="C411" s="4" t="s">
        <v>23</v>
      </c>
      <c r="D411" s="4" t="s">
        <v>13</v>
      </c>
      <c r="E411" s="5">
        <v>45177</v>
      </c>
      <c r="F411" s="4" t="s">
        <v>24</v>
      </c>
      <c r="G411" s="4" t="s">
        <v>32</v>
      </c>
      <c r="H411" s="6">
        <v>6</v>
      </c>
      <c r="I411" s="4" t="b">
        <v>0</v>
      </c>
      <c r="J411" s="4" t="b">
        <v>0</v>
      </c>
      <c r="K411" s="4" t="str">
        <f t="shared" si="12"/>
        <v>Active</v>
      </c>
      <c r="L411" s="4">
        <f t="shared" si="13"/>
        <v>0</v>
      </c>
    </row>
    <row r="412" spans="1:12" x14ac:dyDescent="0.3">
      <c r="A412" s="4" t="s">
        <v>850</v>
      </c>
      <c r="B412" s="4" t="s">
        <v>851</v>
      </c>
      <c r="C412" s="4" t="s">
        <v>18</v>
      </c>
      <c r="D412" s="4" t="s">
        <v>13</v>
      </c>
      <c r="E412" s="5">
        <v>44988</v>
      </c>
      <c r="F412" s="4" t="s">
        <v>31</v>
      </c>
      <c r="G412" s="4" t="s">
        <v>39</v>
      </c>
      <c r="H412" s="6">
        <v>44</v>
      </c>
      <c r="I412" s="4" t="b">
        <v>0</v>
      </c>
      <c r="J412" s="4" t="b">
        <v>0</v>
      </c>
      <c r="K412" s="4" t="str">
        <f t="shared" si="12"/>
        <v>Active</v>
      </c>
      <c r="L412" s="4">
        <f t="shared" si="13"/>
        <v>0</v>
      </c>
    </row>
    <row r="413" spans="1:12" x14ac:dyDescent="0.3">
      <c r="A413" s="4" t="s">
        <v>852</v>
      </c>
      <c r="B413" s="4" t="s">
        <v>853</v>
      </c>
      <c r="C413" s="4" t="s">
        <v>38</v>
      </c>
      <c r="D413" s="4" t="s">
        <v>28</v>
      </c>
      <c r="E413" s="5">
        <v>45135</v>
      </c>
      <c r="F413" s="4" t="s">
        <v>14</v>
      </c>
      <c r="G413" s="4" t="s">
        <v>32</v>
      </c>
      <c r="H413" s="6">
        <v>1</v>
      </c>
      <c r="I413" s="4" t="b">
        <v>0</v>
      </c>
      <c r="J413" s="4" t="b">
        <v>0</v>
      </c>
      <c r="K413" s="4" t="str">
        <f t="shared" si="12"/>
        <v>Active</v>
      </c>
      <c r="L413" s="4">
        <f t="shared" si="13"/>
        <v>0</v>
      </c>
    </row>
    <row r="414" spans="1:12" x14ac:dyDescent="0.3">
      <c r="A414" s="4" t="s">
        <v>854</v>
      </c>
      <c r="B414" s="4" t="s">
        <v>855</v>
      </c>
      <c r="C414" s="4" t="s">
        <v>38</v>
      </c>
      <c r="D414" s="4" t="s">
        <v>101</v>
      </c>
      <c r="E414" s="5">
        <v>45253</v>
      </c>
      <c r="F414" s="4" t="s">
        <v>35</v>
      </c>
      <c r="G414" s="4" t="s">
        <v>39</v>
      </c>
      <c r="H414" s="6">
        <v>39</v>
      </c>
      <c r="I414" s="4" t="b">
        <v>0</v>
      </c>
      <c r="J414" s="4" t="b">
        <v>0</v>
      </c>
      <c r="K414" s="4" t="str">
        <f t="shared" si="12"/>
        <v>Active</v>
      </c>
      <c r="L414" s="4">
        <f t="shared" si="13"/>
        <v>0</v>
      </c>
    </row>
    <row r="415" spans="1:12" x14ac:dyDescent="0.3">
      <c r="A415" s="4" t="s">
        <v>856</v>
      </c>
      <c r="B415" s="4" t="s">
        <v>857</v>
      </c>
      <c r="C415" s="4" t="s">
        <v>27</v>
      </c>
      <c r="D415" s="4" t="s">
        <v>13</v>
      </c>
      <c r="E415" s="5">
        <v>45454</v>
      </c>
      <c r="F415" s="4" t="s">
        <v>35</v>
      </c>
      <c r="G415" s="4" t="s">
        <v>39</v>
      </c>
      <c r="H415" s="6">
        <v>4</v>
      </c>
      <c r="I415" s="4" t="b">
        <v>0</v>
      </c>
      <c r="J415" s="4" t="b">
        <v>0</v>
      </c>
      <c r="K415" s="4" t="str">
        <f t="shared" si="12"/>
        <v>Active</v>
      </c>
      <c r="L415" s="4">
        <f t="shared" si="13"/>
        <v>0</v>
      </c>
    </row>
    <row r="416" spans="1:12" x14ac:dyDescent="0.3">
      <c r="A416" s="4" t="s">
        <v>858</v>
      </c>
      <c r="B416" s="4" t="s">
        <v>859</v>
      </c>
      <c r="C416" s="4" t="s">
        <v>38</v>
      </c>
      <c r="D416" s="4" t="s">
        <v>13</v>
      </c>
      <c r="E416" s="5">
        <v>45052</v>
      </c>
      <c r="F416" s="4" t="s">
        <v>35</v>
      </c>
      <c r="G416" s="4" t="s">
        <v>15</v>
      </c>
      <c r="H416" s="6">
        <v>29</v>
      </c>
      <c r="I416" s="4" t="b">
        <v>0</v>
      </c>
      <c r="J416" s="4" t="b">
        <v>0</v>
      </c>
      <c r="K416" s="4" t="str">
        <f t="shared" si="12"/>
        <v>Active</v>
      </c>
      <c r="L416" s="4">
        <f t="shared" si="13"/>
        <v>0</v>
      </c>
    </row>
    <row r="417" spans="1:12" x14ac:dyDescent="0.3">
      <c r="A417" s="4" t="s">
        <v>860</v>
      </c>
      <c r="B417" s="4" t="s">
        <v>861</v>
      </c>
      <c r="C417" s="4" t="s">
        <v>38</v>
      </c>
      <c r="D417" s="4" t="s">
        <v>65</v>
      </c>
      <c r="E417" s="5">
        <v>44978</v>
      </c>
      <c r="F417" s="4" t="s">
        <v>20</v>
      </c>
      <c r="G417" s="4" t="s">
        <v>39</v>
      </c>
      <c r="H417" s="6">
        <v>19</v>
      </c>
      <c r="I417" s="4" t="b">
        <v>1</v>
      </c>
      <c r="J417" s="4" t="b">
        <v>1</v>
      </c>
      <c r="K417" s="4" t="str">
        <f t="shared" si="12"/>
        <v>Churned</v>
      </c>
      <c r="L417" s="4">
        <f t="shared" si="13"/>
        <v>1</v>
      </c>
    </row>
    <row r="418" spans="1:12" x14ac:dyDescent="0.3">
      <c r="A418" s="4" t="s">
        <v>862</v>
      </c>
      <c r="B418" s="4" t="s">
        <v>863</v>
      </c>
      <c r="C418" s="4" t="s">
        <v>18</v>
      </c>
      <c r="D418" s="4" t="s">
        <v>44</v>
      </c>
      <c r="E418" s="5">
        <v>45181</v>
      </c>
      <c r="F418" s="4" t="s">
        <v>20</v>
      </c>
      <c r="G418" s="4" t="s">
        <v>32</v>
      </c>
      <c r="H418" s="6">
        <v>50</v>
      </c>
      <c r="I418" s="4" t="b">
        <v>0</v>
      </c>
      <c r="J418" s="4" t="b">
        <v>0</v>
      </c>
      <c r="K418" s="4" t="str">
        <f t="shared" si="12"/>
        <v>Active</v>
      </c>
      <c r="L418" s="4">
        <f t="shared" si="13"/>
        <v>0</v>
      </c>
    </row>
    <row r="419" spans="1:12" x14ac:dyDescent="0.3">
      <c r="A419" s="4" t="s">
        <v>864</v>
      </c>
      <c r="B419" s="4" t="s">
        <v>865</v>
      </c>
      <c r="C419" s="4" t="s">
        <v>18</v>
      </c>
      <c r="D419" s="4" t="s">
        <v>19</v>
      </c>
      <c r="E419" s="5">
        <v>45247</v>
      </c>
      <c r="F419" s="4" t="s">
        <v>31</v>
      </c>
      <c r="G419" s="4" t="s">
        <v>32</v>
      </c>
      <c r="H419" s="6">
        <v>13</v>
      </c>
      <c r="I419" s="4" t="b">
        <v>1</v>
      </c>
      <c r="J419" s="4" t="b">
        <v>1</v>
      </c>
      <c r="K419" s="4" t="str">
        <f t="shared" si="12"/>
        <v>Churned</v>
      </c>
      <c r="L419" s="4">
        <f t="shared" si="13"/>
        <v>1</v>
      </c>
    </row>
    <row r="420" spans="1:12" x14ac:dyDescent="0.3">
      <c r="A420" s="4" t="s">
        <v>866</v>
      </c>
      <c r="B420" s="4" t="s">
        <v>867</v>
      </c>
      <c r="C420" s="4" t="s">
        <v>23</v>
      </c>
      <c r="D420" s="4" t="s">
        <v>82</v>
      </c>
      <c r="E420" s="5">
        <v>45405</v>
      </c>
      <c r="F420" s="4" t="s">
        <v>31</v>
      </c>
      <c r="G420" s="4" t="s">
        <v>15</v>
      </c>
      <c r="H420" s="6">
        <v>23</v>
      </c>
      <c r="I420" s="4" t="b">
        <v>0</v>
      </c>
      <c r="J420" s="4" t="b">
        <v>0</v>
      </c>
      <c r="K420" s="4" t="str">
        <f t="shared" si="12"/>
        <v>Active</v>
      </c>
      <c r="L420" s="4">
        <f t="shared" si="13"/>
        <v>0</v>
      </c>
    </row>
    <row r="421" spans="1:12" x14ac:dyDescent="0.3">
      <c r="A421" s="4" t="s">
        <v>868</v>
      </c>
      <c r="B421" s="4" t="s">
        <v>869</v>
      </c>
      <c r="C421" s="4" t="s">
        <v>23</v>
      </c>
      <c r="D421" s="4" t="s">
        <v>13</v>
      </c>
      <c r="E421" s="5">
        <v>45019</v>
      </c>
      <c r="F421" s="4" t="s">
        <v>35</v>
      </c>
      <c r="G421" s="4" t="s">
        <v>15</v>
      </c>
      <c r="H421" s="6">
        <v>13</v>
      </c>
      <c r="I421" s="4" t="b">
        <v>1</v>
      </c>
      <c r="J421" s="4" t="b">
        <v>0</v>
      </c>
      <c r="K421" s="4" t="str">
        <f t="shared" si="12"/>
        <v>Active</v>
      </c>
      <c r="L421" s="4">
        <f t="shared" si="13"/>
        <v>0</v>
      </c>
    </row>
    <row r="422" spans="1:12" x14ac:dyDescent="0.3">
      <c r="A422" s="4" t="s">
        <v>870</v>
      </c>
      <c r="B422" s="4" t="s">
        <v>871</v>
      </c>
      <c r="C422" s="4" t="s">
        <v>38</v>
      </c>
      <c r="D422" s="4" t="s">
        <v>13</v>
      </c>
      <c r="E422" s="5">
        <v>45524</v>
      </c>
      <c r="F422" s="4" t="s">
        <v>14</v>
      </c>
      <c r="G422" s="4" t="s">
        <v>39</v>
      </c>
      <c r="H422" s="6">
        <v>6</v>
      </c>
      <c r="I422" s="4" t="b">
        <v>0</v>
      </c>
      <c r="J422" s="4" t="b">
        <v>0</v>
      </c>
      <c r="K422" s="4" t="str">
        <f t="shared" si="12"/>
        <v>Active</v>
      </c>
      <c r="L422" s="4">
        <f t="shared" si="13"/>
        <v>0</v>
      </c>
    </row>
    <row r="423" spans="1:12" x14ac:dyDescent="0.3">
      <c r="A423" s="4" t="s">
        <v>872</v>
      </c>
      <c r="B423" s="4" t="s">
        <v>873</v>
      </c>
      <c r="C423" s="4" t="s">
        <v>23</v>
      </c>
      <c r="D423" s="4" t="s">
        <v>13</v>
      </c>
      <c r="E423" s="5">
        <v>45538</v>
      </c>
      <c r="F423" s="4" t="s">
        <v>24</v>
      </c>
      <c r="G423" s="4" t="s">
        <v>15</v>
      </c>
      <c r="H423" s="6">
        <v>12</v>
      </c>
      <c r="I423" s="4" t="b">
        <v>1</v>
      </c>
      <c r="J423" s="4" t="b">
        <v>1</v>
      </c>
      <c r="K423" s="4" t="str">
        <f t="shared" si="12"/>
        <v>Churned</v>
      </c>
      <c r="L423" s="4">
        <f t="shared" si="13"/>
        <v>1</v>
      </c>
    </row>
    <row r="424" spans="1:12" x14ac:dyDescent="0.3">
      <c r="A424" s="4" t="s">
        <v>874</v>
      </c>
      <c r="B424" s="4" t="s">
        <v>875</v>
      </c>
      <c r="C424" s="4" t="s">
        <v>18</v>
      </c>
      <c r="D424" s="4" t="s">
        <v>82</v>
      </c>
      <c r="E424" s="5">
        <v>45368</v>
      </c>
      <c r="F424" s="4" t="s">
        <v>14</v>
      </c>
      <c r="G424" s="4" t="s">
        <v>39</v>
      </c>
      <c r="H424" s="6">
        <v>9</v>
      </c>
      <c r="I424" s="4" t="b">
        <v>0</v>
      </c>
      <c r="J424" s="4" t="b">
        <v>0</v>
      </c>
      <c r="K424" s="4" t="str">
        <f t="shared" si="12"/>
        <v>Active</v>
      </c>
      <c r="L424" s="4">
        <f t="shared" si="13"/>
        <v>0</v>
      </c>
    </row>
    <row r="425" spans="1:12" x14ac:dyDescent="0.3">
      <c r="A425" s="4" t="s">
        <v>876</v>
      </c>
      <c r="B425" s="4" t="s">
        <v>877</v>
      </c>
      <c r="C425" s="4" t="s">
        <v>12</v>
      </c>
      <c r="D425" s="4" t="s">
        <v>13</v>
      </c>
      <c r="E425" s="5">
        <v>45301</v>
      </c>
      <c r="F425" s="4" t="s">
        <v>20</v>
      </c>
      <c r="G425" s="4" t="s">
        <v>32</v>
      </c>
      <c r="H425" s="6">
        <v>6</v>
      </c>
      <c r="I425" s="4" t="b">
        <v>0</v>
      </c>
      <c r="J425" s="4" t="b">
        <v>0</v>
      </c>
      <c r="K425" s="4" t="str">
        <f t="shared" si="12"/>
        <v>Active</v>
      </c>
      <c r="L425" s="4">
        <f t="shared" si="13"/>
        <v>0</v>
      </c>
    </row>
    <row r="426" spans="1:12" x14ac:dyDescent="0.3">
      <c r="A426" s="4" t="s">
        <v>878</v>
      </c>
      <c r="B426" s="4" t="s">
        <v>879</v>
      </c>
      <c r="C426" s="4" t="s">
        <v>38</v>
      </c>
      <c r="D426" s="4" t="s">
        <v>13</v>
      </c>
      <c r="E426" s="5">
        <v>45126</v>
      </c>
      <c r="F426" s="4" t="s">
        <v>24</v>
      </c>
      <c r="G426" s="4" t="s">
        <v>39</v>
      </c>
      <c r="H426" s="6">
        <v>30</v>
      </c>
      <c r="I426" s="4" t="b">
        <v>1</v>
      </c>
      <c r="J426" s="4" t="b">
        <v>0</v>
      </c>
      <c r="K426" s="4" t="str">
        <f t="shared" si="12"/>
        <v>Active</v>
      </c>
      <c r="L426" s="4">
        <f t="shared" si="13"/>
        <v>0</v>
      </c>
    </row>
    <row r="427" spans="1:12" x14ac:dyDescent="0.3">
      <c r="A427" s="4" t="s">
        <v>880</v>
      </c>
      <c r="B427" s="4" t="s">
        <v>881</v>
      </c>
      <c r="C427" s="4" t="s">
        <v>23</v>
      </c>
      <c r="D427" s="4" t="s">
        <v>19</v>
      </c>
      <c r="E427" s="5">
        <v>45443</v>
      </c>
      <c r="F427" s="4" t="s">
        <v>14</v>
      </c>
      <c r="G427" s="4" t="s">
        <v>32</v>
      </c>
      <c r="H427" s="6">
        <v>2</v>
      </c>
      <c r="I427" s="4" t="b">
        <v>0</v>
      </c>
      <c r="J427" s="4" t="b">
        <v>0</v>
      </c>
      <c r="K427" s="4" t="str">
        <f t="shared" si="12"/>
        <v>Active</v>
      </c>
      <c r="L427" s="4">
        <f t="shared" si="13"/>
        <v>0</v>
      </c>
    </row>
    <row r="428" spans="1:12" x14ac:dyDescent="0.3">
      <c r="A428" s="4" t="s">
        <v>882</v>
      </c>
      <c r="B428" s="4" t="s">
        <v>883</v>
      </c>
      <c r="C428" s="4" t="s">
        <v>27</v>
      </c>
      <c r="D428" s="4" t="s">
        <v>13</v>
      </c>
      <c r="E428" s="5">
        <v>45623</v>
      </c>
      <c r="F428" s="4" t="s">
        <v>24</v>
      </c>
      <c r="G428" s="4" t="s">
        <v>39</v>
      </c>
      <c r="H428" s="6">
        <v>3</v>
      </c>
      <c r="I428" s="4" t="b">
        <v>0</v>
      </c>
      <c r="J428" s="4" t="b">
        <v>0</v>
      </c>
      <c r="K428" s="4" t="str">
        <f t="shared" si="12"/>
        <v>Active</v>
      </c>
      <c r="L428" s="4">
        <f t="shared" si="13"/>
        <v>0</v>
      </c>
    </row>
    <row r="429" spans="1:12" x14ac:dyDescent="0.3">
      <c r="A429" s="4" t="s">
        <v>884</v>
      </c>
      <c r="B429" s="4" t="s">
        <v>885</v>
      </c>
      <c r="C429" s="4" t="s">
        <v>38</v>
      </c>
      <c r="D429" s="4" t="s">
        <v>13</v>
      </c>
      <c r="E429" s="5">
        <v>45309</v>
      </c>
      <c r="F429" s="4" t="s">
        <v>14</v>
      </c>
      <c r="G429" s="4" t="s">
        <v>15</v>
      </c>
      <c r="H429" s="6">
        <v>24</v>
      </c>
      <c r="I429" s="4" t="b">
        <v>0</v>
      </c>
      <c r="J429" s="4" t="b">
        <v>1</v>
      </c>
      <c r="K429" s="4" t="str">
        <f t="shared" si="12"/>
        <v>Churned</v>
      </c>
      <c r="L429" s="4">
        <f t="shared" si="13"/>
        <v>1</v>
      </c>
    </row>
    <row r="430" spans="1:12" x14ac:dyDescent="0.3">
      <c r="A430" s="4" t="s">
        <v>886</v>
      </c>
      <c r="B430" s="4" t="s">
        <v>887</v>
      </c>
      <c r="C430" s="4" t="s">
        <v>27</v>
      </c>
      <c r="D430" s="4" t="s">
        <v>13</v>
      </c>
      <c r="E430" s="5">
        <v>45130</v>
      </c>
      <c r="F430" s="4" t="s">
        <v>20</v>
      </c>
      <c r="G430" s="4" t="s">
        <v>15</v>
      </c>
      <c r="H430" s="6">
        <v>7</v>
      </c>
      <c r="I430" s="4" t="b">
        <v>0</v>
      </c>
      <c r="J430" s="4" t="b">
        <v>1</v>
      </c>
      <c r="K430" s="4" t="str">
        <f t="shared" si="12"/>
        <v>Churned</v>
      </c>
      <c r="L430" s="4">
        <f t="shared" si="13"/>
        <v>1</v>
      </c>
    </row>
    <row r="431" spans="1:12" x14ac:dyDescent="0.3">
      <c r="A431" s="4" t="s">
        <v>888</v>
      </c>
      <c r="B431" s="4" t="s">
        <v>889</v>
      </c>
      <c r="C431" s="4" t="s">
        <v>12</v>
      </c>
      <c r="D431" s="4" t="s">
        <v>13</v>
      </c>
      <c r="E431" s="5">
        <v>44973</v>
      </c>
      <c r="F431" s="4" t="s">
        <v>14</v>
      </c>
      <c r="G431" s="4" t="s">
        <v>39</v>
      </c>
      <c r="H431" s="6">
        <v>8</v>
      </c>
      <c r="I431" s="4" t="b">
        <v>1</v>
      </c>
      <c r="J431" s="4" t="b">
        <v>1</v>
      </c>
      <c r="K431" s="4" t="str">
        <f t="shared" si="12"/>
        <v>Churned</v>
      </c>
      <c r="L431" s="4">
        <f t="shared" si="13"/>
        <v>1</v>
      </c>
    </row>
    <row r="432" spans="1:12" x14ac:dyDescent="0.3">
      <c r="A432" s="4" t="s">
        <v>890</v>
      </c>
      <c r="B432" s="4" t="s">
        <v>891</v>
      </c>
      <c r="C432" s="4" t="s">
        <v>23</v>
      </c>
      <c r="D432" s="4" t="s">
        <v>13</v>
      </c>
      <c r="E432" s="5">
        <v>45458</v>
      </c>
      <c r="F432" s="4" t="s">
        <v>20</v>
      </c>
      <c r="G432" s="4" t="s">
        <v>15</v>
      </c>
      <c r="H432" s="6">
        <v>10</v>
      </c>
      <c r="I432" s="4" t="b">
        <v>1</v>
      </c>
      <c r="J432" s="4" t="b">
        <v>0</v>
      </c>
      <c r="K432" s="4" t="str">
        <f t="shared" si="12"/>
        <v>Active</v>
      </c>
      <c r="L432" s="4">
        <f t="shared" si="13"/>
        <v>0</v>
      </c>
    </row>
    <row r="433" spans="1:12" x14ac:dyDescent="0.3">
      <c r="A433" s="4" t="s">
        <v>892</v>
      </c>
      <c r="B433" s="4" t="s">
        <v>893</v>
      </c>
      <c r="C433" s="4" t="s">
        <v>27</v>
      </c>
      <c r="D433" s="4" t="s">
        <v>13</v>
      </c>
      <c r="E433" s="5">
        <v>45262</v>
      </c>
      <c r="F433" s="4" t="s">
        <v>31</v>
      </c>
      <c r="G433" s="4" t="s">
        <v>32</v>
      </c>
      <c r="H433" s="6">
        <v>23</v>
      </c>
      <c r="I433" s="4" t="b">
        <v>0</v>
      </c>
      <c r="J433" s="4" t="b">
        <v>0</v>
      </c>
      <c r="K433" s="4" t="str">
        <f t="shared" si="12"/>
        <v>Active</v>
      </c>
      <c r="L433" s="4">
        <f t="shared" si="13"/>
        <v>0</v>
      </c>
    </row>
    <row r="434" spans="1:12" x14ac:dyDescent="0.3">
      <c r="A434" s="4" t="s">
        <v>894</v>
      </c>
      <c r="B434" s="4" t="s">
        <v>895</v>
      </c>
      <c r="C434" s="4" t="s">
        <v>27</v>
      </c>
      <c r="D434" s="4" t="s">
        <v>13</v>
      </c>
      <c r="E434" s="5">
        <v>45233</v>
      </c>
      <c r="F434" s="4" t="s">
        <v>20</v>
      </c>
      <c r="G434" s="4" t="s">
        <v>32</v>
      </c>
      <c r="H434" s="6">
        <v>3</v>
      </c>
      <c r="I434" s="4" t="b">
        <v>1</v>
      </c>
      <c r="J434" s="4" t="b">
        <v>0</v>
      </c>
      <c r="K434" s="4" t="str">
        <f t="shared" si="12"/>
        <v>Active</v>
      </c>
      <c r="L434" s="4">
        <f t="shared" si="13"/>
        <v>0</v>
      </c>
    </row>
    <row r="435" spans="1:12" x14ac:dyDescent="0.3">
      <c r="A435" s="4" t="s">
        <v>896</v>
      </c>
      <c r="B435" s="4" t="s">
        <v>897</v>
      </c>
      <c r="C435" s="4" t="s">
        <v>27</v>
      </c>
      <c r="D435" s="4" t="s">
        <v>13</v>
      </c>
      <c r="E435" s="5">
        <v>45428</v>
      </c>
      <c r="F435" s="4" t="s">
        <v>24</v>
      </c>
      <c r="G435" s="4" t="s">
        <v>39</v>
      </c>
      <c r="H435" s="6">
        <v>24</v>
      </c>
      <c r="I435" s="4" t="b">
        <v>1</v>
      </c>
      <c r="J435" s="4" t="b">
        <v>0</v>
      </c>
      <c r="K435" s="4" t="str">
        <f t="shared" si="12"/>
        <v>Active</v>
      </c>
      <c r="L435" s="4">
        <f t="shared" si="13"/>
        <v>0</v>
      </c>
    </row>
    <row r="436" spans="1:12" x14ac:dyDescent="0.3">
      <c r="A436" s="4" t="s">
        <v>898</v>
      </c>
      <c r="B436" s="4" t="s">
        <v>899</v>
      </c>
      <c r="C436" s="4" t="s">
        <v>12</v>
      </c>
      <c r="D436" s="4" t="s">
        <v>101</v>
      </c>
      <c r="E436" s="5">
        <v>45266</v>
      </c>
      <c r="F436" s="4" t="s">
        <v>20</v>
      </c>
      <c r="G436" s="4" t="s">
        <v>39</v>
      </c>
      <c r="H436" s="6">
        <v>1</v>
      </c>
      <c r="I436" s="4" t="b">
        <v>0</v>
      </c>
      <c r="J436" s="4" t="b">
        <v>0</v>
      </c>
      <c r="K436" s="4" t="str">
        <f t="shared" si="12"/>
        <v>Active</v>
      </c>
      <c r="L436" s="4">
        <f t="shared" si="13"/>
        <v>0</v>
      </c>
    </row>
    <row r="437" spans="1:12" x14ac:dyDescent="0.3">
      <c r="A437" s="4" t="s">
        <v>900</v>
      </c>
      <c r="B437" s="4" t="s">
        <v>901</v>
      </c>
      <c r="C437" s="4" t="s">
        <v>12</v>
      </c>
      <c r="D437" s="4" t="s">
        <v>13</v>
      </c>
      <c r="E437" s="5">
        <v>45631</v>
      </c>
      <c r="F437" s="4" t="s">
        <v>14</v>
      </c>
      <c r="G437" s="4" t="s">
        <v>32</v>
      </c>
      <c r="H437" s="6">
        <v>40</v>
      </c>
      <c r="I437" s="4" t="b">
        <v>0</v>
      </c>
      <c r="J437" s="4" t="b">
        <v>0</v>
      </c>
      <c r="K437" s="4" t="str">
        <f t="shared" si="12"/>
        <v>Active</v>
      </c>
      <c r="L437" s="4">
        <f t="shared" si="13"/>
        <v>0</v>
      </c>
    </row>
    <row r="438" spans="1:12" x14ac:dyDescent="0.3">
      <c r="A438" s="4" t="s">
        <v>902</v>
      </c>
      <c r="B438" s="4" t="s">
        <v>903</v>
      </c>
      <c r="C438" s="4" t="s">
        <v>27</v>
      </c>
      <c r="D438" s="4" t="s">
        <v>13</v>
      </c>
      <c r="E438" s="5">
        <v>45519</v>
      </c>
      <c r="F438" s="4" t="s">
        <v>24</v>
      </c>
      <c r="G438" s="4" t="s">
        <v>32</v>
      </c>
      <c r="H438" s="6">
        <v>8</v>
      </c>
      <c r="I438" s="4" t="b">
        <v>0</v>
      </c>
      <c r="J438" s="4" t="b">
        <v>1</v>
      </c>
      <c r="K438" s="4" t="str">
        <f t="shared" si="12"/>
        <v>Churned</v>
      </c>
      <c r="L438" s="4">
        <f t="shared" si="13"/>
        <v>1</v>
      </c>
    </row>
    <row r="439" spans="1:12" x14ac:dyDescent="0.3">
      <c r="A439" s="4" t="s">
        <v>904</v>
      </c>
      <c r="B439" s="4" t="s">
        <v>905</v>
      </c>
      <c r="C439" s="4" t="s">
        <v>18</v>
      </c>
      <c r="D439" s="4" t="s">
        <v>13</v>
      </c>
      <c r="E439" s="5">
        <v>45418</v>
      </c>
      <c r="F439" s="4" t="s">
        <v>20</v>
      </c>
      <c r="G439" s="4" t="s">
        <v>39</v>
      </c>
      <c r="H439" s="6">
        <v>45</v>
      </c>
      <c r="I439" s="4" t="b">
        <v>0</v>
      </c>
      <c r="J439" s="4" t="b">
        <v>0</v>
      </c>
      <c r="K439" s="4" t="str">
        <f t="shared" si="12"/>
        <v>Active</v>
      </c>
      <c r="L439" s="4">
        <f t="shared" si="13"/>
        <v>0</v>
      </c>
    </row>
    <row r="440" spans="1:12" x14ac:dyDescent="0.3">
      <c r="A440" s="4" t="s">
        <v>906</v>
      </c>
      <c r="B440" s="4" t="s">
        <v>907</v>
      </c>
      <c r="C440" s="4" t="s">
        <v>18</v>
      </c>
      <c r="D440" s="4" t="s">
        <v>13</v>
      </c>
      <c r="E440" s="5">
        <v>45078</v>
      </c>
      <c r="F440" s="4" t="s">
        <v>24</v>
      </c>
      <c r="G440" s="4" t="s">
        <v>15</v>
      </c>
      <c r="H440" s="6">
        <v>12</v>
      </c>
      <c r="I440" s="4" t="b">
        <v>0</v>
      </c>
      <c r="J440" s="4" t="b">
        <v>0</v>
      </c>
      <c r="K440" s="4" t="str">
        <f t="shared" si="12"/>
        <v>Active</v>
      </c>
      <c r="L440" s="4">
        <f t="shared" si="13"/>
        <v>0</v>
      </c>
    </row>
    <row r="441" spans="1:12" x14ac:dyDescent="0.3">
      <c r="A441" s="4" t="s">
        <v>908</v>
      </c>
      <c r="B441" s="4" t="s">
        <v>909</v>
      </c>
      <c r="C441" s="4" t="s">
        <v>23</v>
      </c>
      <c r="D441" s="4" t="s">
        <v>13</v>
      </c>
      <c r="E441" s="5">
        <v>44946</v>
      </c>
      <c r="F441" s="4" t="s">
        <v>35</v>
      </c>
      <c r="G441" s="4" t="s">
        <v>39</v>
      </c>
      <c r="H441" s="6">
        <v>26</v>
      </c>
      <c r="I441" s="4" t="b">
        <v>1</v>
      </c>
      <c r="J441" s="4" t="b">
        <v>1</v>
      </c>
      <c r="K441" s="4" t="str">
        <f t="shared" si="12"/>
        <v>Churned</v>
      </c>
      <c r="L441" s="4">
        <f t="shared" si="13"/>
        <v>1</v>
      </c>
    </row>
    <row r="442" spans="1:12" x14ac:dyDescent="0.3">
      <c r="A442" s="4" t="s">
        <v>910</v>
      </c>
      <c r="B442" s="4" t="s">
        <v>911</v>
      </c>
      <c r="C442" s="4" t="s">
        <v>18</v>
      </c>
      <c r="D442" s="4" t="s">
        <v>13</v>
      </c>
      <c r="E442" s="5">
        <v>45634</v>
      </c>
      <c r="F442" s="4" t="s">
        <v>20</v>
      </c>
      <c r="G442" s="4" t="s">
        <v>39</v>
      </c>
      <c r="H442" s="6">
        <v>5</v>
      </c>
      <c r="I442" s="4" t="b">
        <v>0</v>
      </c>
      <c r="J442" s="4" t="b">
        <v>0</v>
      </c>
      <c r="K442" s="4" t="str">
        <f t="shared" si="12"/>
        <v>Active</v>
      </c>
      <c r="L442" s="4">
        <f t="shared" si="13"/>
        <v>0</v>
      </c>
    </row>
    <row r="443" spans="1:12" x14ac:dyDescent="0.3">
      <c r="A443" s="4" t="s">
        <v>912</v>
      </c>
      <c r="B443" s="4" t="s">
        <v>913</v>
      </c>
      <c r="C443" s="4" t="s">
        <v>18</v>
      </c>
      <c r="D443" s="4" t="s">
        <v>13</v>
      </c>
      <c r="E443" s="5">
        <v>44990</v>
      </c>
      <c r="F443" s="4" t="s">
        <v>20</v>
      </c>
      <c r="G443" s="4" t="s">
        <v>39</v>
      </c>
      <c r="H443" s="6">
        <v>4</v>
      </c>
      <c r="I443" s="4" t="b">
        <v>0</v>
      </c>
      <c r="J443" s="4" t="b">
        <v>0</v>
      </c>
      <c r="K443" s="4" t="str">
        <f t="shared" si="12"/>
        <v>Active</v>
      </c>
      <c r="L443" s="4">
        <f t="shared" si="13"/>
        <v>0</v>
      </c>
    </row>
    <row r="444" spans="1:12" x14ac:dyDescent="0.3">
      <c r="A444" s="4" t="s">
        <v>914</v>
      </c>
      <c r="B444" s="4" t="s">
        <v>915</v>
      </c>
      <c r="C444" s="4" t="s">
        <v>23</v>
      </c>
      <c r="D444" s="4" t="s">
        <v>13</v>
      </c>
      <c r="E444" s="5">
        <v>45605</v>
      </c>
      <c r="F444" s="4" t="s">
        <v>14</v>
      </c>
      <c r="G444" s="4" t="s">
        <v>15</v>
      </c>
      <c r="H444" s="6">
        <v>4</v>
      </c>
      <c r="I444" s="4" t="b">
        <v>0</v>
      </c>
      <c r="J444" s="4" t="b">
        <v>0</v>
      </c>
      <c r="K444" s="4" t="str">
        <f t="shared" si="12"/>
        <v>Active</v>
      </c>
      <c r="L444" s="4">
        <f t="shared" si="13"/>
        <v>0</v>
      </c>
    </row>
    <row r="445" spans="1:12" x14ac:dyDescent="0.3">
      <c r="A445" s="4" t="s">
        <v>916</v>
      </c>
      <c r="B445" s="4" t="s">
        <v>917</v>
      </c>
      <c r="C445" s="4" t="s">
        <v>27</v>
      </c>
      <c r="D445" s="4" t="s">
        <v>13</v>
      </c>
      <c r="E445" s="5">
        <v>45397</v>
      </c>
      <c r="F445" s="4" t="s">
        <v>14</v>
      </c>
      <c r="G445" s="4" t="s">
        <v>32</v>
      </c>
      <c r="H445" s="6">
        <v>13</v>
      </c>
      <c r="I445" s="4" t="b">
        <v>0</v>
      </c>
      <c r="J445" s="4" t="b">
        <v>0</v>
      </c>
      <c r="K445" s="4" t="str">
        <f t="shared" si="12"/>
        <v>Active</v>
      </c>
      <c r="L445" s="4">
        <f t="shared" si="13"/>
        <v>0</v>
      </c>
    </row>
    <row r="446" spans="1:12" x14ac:dyDescent="0.3">
      <c r="A446" s="4" t="s">
        <v>918</v>
      </c>
      <c r="B446" s="4" t="s">
        <v>919</v>
      </c>
      <c r="C446" s="4" t="s">
        <v>38</v>
      </c>
      <c r="D446" s="4" t="s">
        <v>28</v>
      </c>
      <c r="E446" s="5">
        <v>45624</v>
      </c>
      <c r="F446" s="4" t="s">
        <v>35</v>
      </c>
      <c r="G446" s="4" t="s">
        <v>15</v>
      </c>
      <c r="H446" s="6">
        <v>5</v>
      </c>
      <c r="I446" s="4" t="b">
        <v>0</v>
      </c>
      <c r="J446" s="4" t="b">
        <v>0</v>
      </c>
      <c r="K446" s="4" t="str">
        <f t="shared" si="12"/>
        <v>Active</v>
      </c>
      <c r="L446" s="4">
        <f t="shared" si="13"/>
        <v>0</v>
      </c>
    </row>
    <row r="447" spans="1:12" x14ac:dyDescent="0.3">
      <c r="A447" s="4" t="s">
        <v>920</v>
      </c>
      <c r="B447" s="4" t="s">
        <v>921</v>
      </c>
      <c r="C447" s="4" t="s">
        <v>27</v>
      </c>
      <c r="D447" s="4" t="s">
        <v>13</v>
      </c>
      <c r="E447" s="5">
        <v>45212</v>
      </c>
      <c r="F447" s="4" t="s">
        <v>14</v>
      </c>
      <c r="G447" s="4" t="s">
        <v>39</v>
      </c>
      <c r="H447" s="6">
        <v>21</v>
      </c>
      <c r="I447" s="4" t="b">
        <v>0</v>
      </c>
      <c r="J447" s="4" t="b">
        <v>0</v>
      </c>
      <c r="K447" s="4" t="str">
        <f t="shared" si="12"/>
        <v>Active</v>
      </c>
      <c r="L447" s="4">
        <f t="shared" si="13"/>
        <v>0</v>
      </c>
    </row>
    <row r="448" spans="1:12" x14ac:dyDescent="0.3">
      <c r="A448" s="4" t="s">
        <v>922</v>
      </c>
      <c r="B448" s="4" t="s">
        <v>923</v>
      </c>
      <c r="C448" s="4" t="s">
        <v>18</v>
      </c>
      <c r="D448" s="4" t="s">
        <v>28</v>
      </c>
      <c r="E448" s="5">
        <v>45648</v>
      </c>
      <c r="F448" s="4" t="s">
        <v>31</v>
      </c>
      <c r="G448" s="4" t="s">
        <v>39</v>
      </c>
      <c r="H448" s="6">
        <v>1</v>
      </c>
      <c r="I448" s="4" t="b">
        <v>1</v>
      </c>
      <c r="J448" s="4" t="b">
        <v>0</v>
      </c>
      <c r="K448" s="4" t="str">
        <f t="shared" si="12"/>
        <v>Active</v>
      </c>
      <c r="L448" s="4">
        <f t="shared" si="13"/>
        <v>0</v>
      </c>
    </row>
    <row r="449" spans="1:12" x14ac:dyDescent="0.3">
      <c r="A449" s="4" t="s">
        <v>924</v>
      </c>
      <c r="B449" s="4" t="s">
        <v>925</v>
      </c>
      <c r="C449" s="4" t="s">
        <v>38</v>
      </c>
      <c r="D449" s="4" t="s">
        <v>13</v>
      </c>
      <c r="E449" s="5">
        <v>45418</v>
      </c>
      <c r="F449" s="4" t="s">
        <v>14</v>
      </c>
      <c r="G449" s="4" t="s">
        <v>39</v>
      </c>
      <c r="H449" s="6">
        <v>12</v>
      </c>
      <c r="I449" s="4" t="b">
        <v>0</v>
      </c>
      <c r="J449" s="4" t="b">
        <v>0</v>
      </c>
      <c r="K449" s="4" t="str">
        <f t="shared" si="12"/>
        <v>Active</v>
      </c>
      <c r="L449" s="4">
        <f t="shared" si="13"/>
        <v>0</v>
      </c>
    </row>
    <row r="450" spans="1:12" x14ac:dyDescent="0.3">
      <c r="A450" s="4" t="s">
        <v>926</v>
      </c>
      <c r="B450" s="4" t="s">
        <v>927</v>
      </c>
      <c r="C450" s="4" t="s">
        <v>27</v>
      </c>
      <c r="D450" s="4" t="s">
        <v>28</v>
      </c>
      <c r="E450" s="5">
        <v>45051</v>
      </c>
      <c r="F450" s="4" t="s">
        <v>31</v>
      </c>
      <c r="G450" s="4" t="s">
        <v>39</v>
      </c>
      <c r="H450" s="6">
        <v>27</v>
      </c>
      <c r="I450" s="4" t="b">
        <v>0</v>
      </c>
      <c r="J450" s="4" t="b">
        <v>0</v>
      </c>
      <c r="K450" s="4" t="str">
        <f t="shared" si="12"/>
        <v>Active</v>
      </c>
      <c r="L450" s="4">
        <f t="shared" si="13"/>
        <v>0</v>
      </c>
    </row>
    <row r="451" spans="1:12" x14ac:dyDescent="0.3">
      <c r="A451" s="4" t="s">
        <v>928</v>
      </c>
      <c r="B451" s="4" t="s">
        <v>929</v>
      </c>
      <c r="C451" s="4" t="s">
        <v>18</v>
      </c>
      <c r="D451" s="4" t="s">
        <v>13</v>
      </c>
      <c r="E451" s="5">
        <v>45280</v>
      </c>
      <c r="F451" s="4" t="s">
        <v>14</v>
      </c>
      <c r="G451" s="4" t="s">
        <v>32</v>
      </c>
      <c r="H451" s="6">
        <v>9</v>
      </c>
      <c r="I451" s="4" t="b">
        <v>0</v>
      </c>
      <c r="J451" s="4" t="b">
        <v>1</v>
      </c>
      <c r="K451" s="4" t="str">
        <f t="shared" ref="K451:K501" si="14">IF(J451=TRUE,"Churned","Active")</f>
        <v>Churned</v>
      </c>
      <c r="L451" s="4">
        <f t="shared" ref="L451:L501" si="15">IF(J451=TRUE,1,0)</f>
        <v>1</v>
      </c>
    </row>
    <row r="452" spans="1:12" x14ac:dyDescent="0.3">
      <c r="A452" s="4" t="s">
        <v>930</v>
      </c>
      <c r="B452" s="4" t="s">
        <v>931</v>
      </c>
      <c r="C452" s="4" t="s">
        <v>38</v>
      </c>
      <c r="D452" s="4" t="s">
        <v>65</v>
      </c>
      <c r="E452" s="5">
        <v>45007</v>
      </c>
      <c r="F452" s="4" t="s">
        <v>14</v>
      </c>
      <c r="G452" s="4" t="s">
        <v>32</v>
      </c>
      <c r="H452" s="6">
        <v>40</v>
      </c>
      <c r="I452" s="4" t="b">
        <v>0</v>
      </c>
      <c r="J452" s="4" t="b">
        <v>0</v>
      </c>
      <c r="K452" s="4" t="str">
        <f t="shared" si="14"/>
        <v>Active</v>
      </c>
      <c r="L452" s="4">
        <f t="shared" si="15"/>
        <v>0</v>
      </c>
    </row>
    <row r="453" spans="1:12" x14ac:dyDescent="0.3">
      <c r="A453" s="4" t="s">
        <v>932</v>
      </c>
      <c r="B453" s="4" t="s">
        <v>933</v>
      </c>
      <c r="C453" s="4" t="s">
        <v>18</v>
      </c>
      <c r="D453" s="4" t="s">
        <v>13</v>
      </c>
      <c r="E453" s="5">
        <v>45417</v>
      </c>
      <c r="F453" s="4" t="s">
        <v>20</v>
      </c>
      <c r="G453" s="4" t="s">
        <v>39</v>
      </c>
      <c r="H453" s="6">
        <v>25</v>
      </c>
      <c r="I453" s="4" t="b">
        <v>0</v>
      </c>
      <c r="J453" s="4" t="b">
        <v>0</v>
      </c>
      <c r="K453" s="4" t="str">
        <f t="shared" si="14"/>
        <v>Active</v>
      </c>
      <c r="L453" s="4">
        <f t="shared" si="15"/>
        <v>0</v>
      </c>
    </row>
    <row r="454" spans="1:12" x14ac:dyDescent="0.3">
      <c r="A454" s="4" t="s">
        <v>934</v>
      </c>
      <c r="B454" s="4" t="s">
        <v>935</v>
      </c>
      <c r="C454" s="4" t="s">
        <v>38</v>
      </c>
      <c r="D454" s="4" t="s">
        <v>13</v>
      </c>
      <c r="E454" s="5">
        <v>45502</v>
      </c>
      <c r="F454" s="4" t="s">
        <v>20</v>
      </c>
      <c r="G454" s="4" t="s">
        <v>32</v>
      </c>
      <c r="H454" s="6">
        <v>46</v>
      </c>
      <c r="I454" s="4" t="b">
        <v>0</v>
      </c>
      <c r="J454" s="4" t="b">
        <v>0</v>
      </c>
      <c r="K454" s="4" t="str">
        <f t="shared" si="14"/>
        <v>Active</v>
      </c>
      <c r="L454" s="4">
        <f t="shared" si="15"/>
        <v>0</v>
      </c>
    </row>
    <row r="455" spans="1:12" x14ac:dyDescent="0.3">
      <c r="A455" s="4" t="s">
        <v>936</v>
      </c>
      <c r="B455" s="4" t="s">
        <v>937</v>
      </c>
      <c r="C455" s="4" t="s">
        <v>18</v>
      </c>
      <c r="D455" s="4" t="s">
        <v>13</v>
      </c>
      <c r="E455" s="5">
        <v>45527</v>
      </c>
      <c r="F455" s="4" t="s">
        <v>20</v>
      </c>
      <c r="G455" s="4" t="s">
        <v>15</v>
      </c>
      <c r="H455" s="6">
        <v>17</v>
      </c>
      <c r="I455" s="4" t="b">
        <v>0</v>
      </c>
      <c r="J455" s="4" t="b">
        <v>0</v>
      </c>
      <c r="K455" s="4" t="str">
        <f t="shared" si="14"/>
        <v>Active</v>
      </c>
      <c r="L455" s="4">
        <f t="shared" si="15"/>
        <v>0</v>
      </c>
    </row>
    <row r="456" spans="1:12" x14ac:dyDescent="0.3">
      <c r="A456" s="4" t="s">
        <v>938</v>
      </c>
      <c r="B456" s="4" t="s">
        <v>939</v>
      </c>
      <c r="C456" s="4" t="s">
        <v>18</v>
      </c>
      <c r="D456" s="4" t="s">
        <v>13</v>
      </c>
      <c r="E456" s="5">
        <v>45580</v>
      </c>
      <c r="F456" s="4" t="s">
        <v>31</v>
      </c>
      <c r="G456" s="4" t="s">
        <v>39</v>
      </c>
      <c r="H456" s="6">
        <v>19</v>
      </c>
      <c r="I456" s="4" t="b">
        <v>0</v>
      </c>
      <c r="J456" s="4" t="b">
        <v>0</v>
      </c>
      <c r="K456" s="4" t="str">
        <f t="shared" si="14"/>
        <v>Active</v>
      </c>
      <c r="L456" s="4">
        <f t="shared" si="15"/>
        <v>0</v>
      </c>
    </row>
    <row r="457" spans="1:12" x14ac:dyDescent="0.3">
      <c r="A457" s="4" t="s">
        <v>940</v>
      </c>
      <c r="B457" s="4" t="s">
        <v>941</v>
      </c>
      <c r="C457" s="4" t="s">
        <v>12</v>
      </c>
      <c r="D457" s="4" t="s">
        <v>28</v>
      </c>
      <c r="E457" s="5">
        <v>45410</v>
      </c>
      <c r="F457" s="4" t="s">
        <v>35</v>
      </c>
      <c r="G457" s="4" t="s">
        <v>15</v>
      </c>
      <c r="H457" s="6">
        <v>2</v>
      </c>
      <c r="I457" s="4" t="b">
        <v>0</v>
      </c>
      <c r="J457" s="4" t="b">
        <v>0</v>
      </c>
      <c r="K457" s="4" t="str">
        <f t="shared" si="14"/>
        <v>Active</v>
      </c>
      <c r="L457" s="4">
        <f t="shared" si="15"/>
        <v>0</v>
      </c>
    </row>
    <row r="458" spans="1:12" x14ac:dyDescent="0.3">
      <c r="A458" s="4" t="s">
        <v>942</v>
      </c>
      <c r="B458" s="4" t="s">
        <v>943</v>
      </c>
      <c r="C458" s="4" t="s">
        <v>18</v>
      </c>
      <c r="D458" s="4" t="s">
        <v>13</v>
      </c>
      <c r="E458" s="5">
        <v>45490</v>
      </c>
      <c r="F458" s="4" t="s">
        <v>31</v>
      </c>
      <c r="G458" s="4" t="s">
        <v>39</v>
      </c>
      <c r="H458" s="6">
        <v>3</v>
      </c>
      <c r="I458" s="4" t="b">
        <v>0</v>
      </c>
      <c r="J458" s="4" t="b">
        <v>0</v>
      </c>
      <c r="K458" s="4" t="str">
        <f t="shared" si="14"/>
        <v>Active</v>
      </c>
      <c r="L458" s="4">
        <f t="shared" si="15"/>
        <v>0</v>
      </c>
    </row>
    <row r="459" spans="1:12" x14ac:dyDescent="0.3">
      <c r="A459" s="4" t="s">
        <v>944</v>
      </c>
      <c r="B459" s="4" t="s">
        <v>945</v>
      </c>
      <c r="C459" s="4" t="s">
        <v>18</v>
      </c>
      <c r="D459" s="4" t="s">
        <v>19</v>
      </c>
      <c r="E459" s="5">
        <v>45593</v>
      </c>
      <c r="F459" s="4" t="s">
        <v>14</v>
      </c>
      <c r="G459" s="4" t="s">
        <v>39</v>
      </c>
      <c r="H459" s="6">
        <v>3</v>
      </c>
      <c r="I459" s="4" t="b">
        <v>0</v>
      </c>
      <c r="J459" s="4" t="b">
        <v>0</v>
      </c>
      <c r="K459" s="4" t="str">
        <f t="shared" si="14"/>
        <v>Active</v>
      </c>
      <c r="L459" s="4">
        <f t="shared" si="15"/>
        <v>0</v>
      </c>
    </row>
    <row r="460" spans="1:12" x14ac:dyDescent="0.3">
      <c r="A460" s="4" t="s">
        <v>946</v>
      </c>
      <c r="B460" s="4" t="s">
        <v>947</v>
      </c>
      <c r="C460" s="4" t="s">
        <v>12</v>
      </c>
      <c r="D460" s="4" t="s">
        <v>65</v>
      </c>
      <c r="E460" s="5">
        <v>45219</v>
      </c>
      <c r="F460" s="4" t="s">
        <v>24</v>
      </c>
      <c r="G460" s="4" t="s">
        <v>32</v>
      </c>
      <c r="H460" s="6">
        <v>5</v>
      </c>
      <c r="I460" s="4" t="b">
        <v>0</v>
      </c>
      <c r="J460" s="4" t="b">
        <v>0</v>
      </c>
      <c r="K460" s="4" t="str">
        <f t="shared" si="14"/>
        <v>Active</v>
      </c>
      <c r="L460" s="4">
        <f t="shared" si="15"/>
        <v>0</v>
      </c>
    </row>
    <row r="461" spans="1:12" x14ac:dyDescent="0.3">
      <c r="A461" s="4" t="s">
        <v>948</v>
      </c>
      <c r="B461" s="4" t="s">
        <v>949</v>
      </c>
      <c r="C461" s="4" t="s">
        <v>18</v>
      </c>
      <c r="D461" s="4" t="s">
        <v>13</v>
      </c>
      <c r="E461" s="5">
        <v>45514</v>
      </c>
      <c r="F461" s="4" t="s">
        <v>24</v>
      </c>
      <c r="G461" s="4" t="s">
        <v>15</v>
      </c>
      <c r="H461" s="6">
        <v>14</v>
      </c>
      <c r="I461" s="4" t="b">
        <v>0</v>
      </c>
      <c r="J461" s="4" t="b">
        <v>0</v>
      </c>
      <c r="K461" s="4" t="str">
        <f t="shared" si="14"/>
        <v>Active</v>
      </c>
      <c r="L461" s="4">
        <f t="shared" si="15"/>
        <v>0</v>
      </c>
    </row>
    <row r="462" spans="1:12" x14ac:dyDescent="0.3">
      <c r="A462" s="4" t="s">
        <v>950</v>
      </c>
      <c r="B462" s="4" t="s">
        <v>951</v>
      </c>
      <c r="C462" s="4" t="s">
        <v>18</v>
      </c>
      <c r="D462" s="4" t="s">
        <v>65</v>
      </c>
      <c r="E462" s="5">
        <v>45354</v>
      </c>
      <c r="F462" s="4" t="s">
        <v>24</v>
      </c>
      <c r="G462" s="4" t="s">
        <v>39</v>
      </c>
      <c r="H462" s="6">
        <v>3</v>
      </c>
      <c r="I462" s="4" t="b">
        <v>0</v>
      </c>
      <c r="J462" s="4" t="b">
        <v>0</v>
      </c>
      <c r="K462" s="4" t="str">
        <f t="shared" si="14"/>
        <v>Active</v>
      </c>
      <c r="L462" s="4">
        <f t="shared" si="15"/>
        <v>0</v>
      </c>
    </row>
    <row r="463" spans="1:12" x14ac:dyDescent="0.3">
      <c r="A463" s="4" t="s">
        <v>952</v>
      </c>
      <c r="B463" s="4" t="s">
        <v>953</v>
      </c>
      <c r="C463" s="4" t="s">
        <v>18</v>
      </c>
      <c r="D463" s="4" t="s">
        <v>65</v>
      </c>
      <c r="E463" s="5">
        <v>45434</v>
      </c>
      <c r="F463" s="4" t="s">
        <v>14</v>
      </c>
      <c r="G463" s="4" t="s">
        <v>15</v>
      </c>
      <c r="H463" s="6">
        <v>5</v>
      </c>
      <c r="I463" s="4" t="b">
        <v>0</v>
      </c>
      <c r="J463" s="4" t="b">
        <v>0</v>
      </c>
      <c r="K463" s="4" t="str">
        <f t="shared" si="14"/>
        <v>Active</v>
      </c>
      <c r="L463" s="4">
        <f t="shared" si="15"/>
        <v>0</v>
      </c>
    </row>
    <row r="464" spans="1:12" x14ac:dyDescent="0.3">
      <c r="A464" s="4" t="s">
        <v>954</v>
      </c>
      <c r="B464" s="4" t="s">
        <v>955</v>
      </c>
      <c r="C464" s="4" t="s">
        <v>38</v>
      </c>
      <c r="D464" s="4" t="s">
        <v>13</v>
      </c>
      <c r="E464" s="5">
        <v>44936</v>
      </c>
      <c r="F464" s="4" t="s">
        <v>24</v>
      </c>
      <c r="G464" s="4" t="s">
        <v>39</v>
      </c>
      <c r="H464" s="6">
        <v>29</v>
      </c>
      <c r="I464" s="4" t="b">
        <v>1</v>
      </c>
      <c r="J464" s="4" t="b">
        <v>0</v>
      </c>
      <c r="K464" s="4" t="str">
        <f t="shared" si="14"/>
        <v>Active</v>
      </c>
      <c r="L464" s="4">
        <f t="shared" si="15"/>
        <v>0</v>
      </c>
    </row>
    <row r="465" spans="1:12" x14ac:dyDescent="0.3">
      <c r="A465" s="4" t="s">
        <v>956</v>
      </c>
      <c r="B465" s="4" t="s">
        <v>957</v>
      </c>
      <c r="C465" s="4" t="s">
        <v>23</v>
      </c>
      <c r="D465" s="4" t="s">
        <v>101</v>
      </c>
      <c r="E465" s="5">
        <v>45218</v>
      </c>
      <c r="F465" s="4" t="s">
        <v>20</v>
      </c>
      <c r="G465" s="4" t="s">
        <v>32</v>
      </c>
      <c r="H465" s="6">
        <v>12</v>
      </c>
      <c r="I465" s="4" t="b">
        <v>0</v>
      </c>
      <c r="J465" s="4" t="b">
        <v>1</v>
      </c>
      <c r="K465" s="4" t="str">
        <f t="shared" si="14"/>
        <v>Churned</v>
      </c>
      <c r="L465" s="4">
        <f t="shared" si="15"/>
        <v>1</v>
      </c>
    </row>
    <row r="466" spans="1:12" x14ac:dyDescent="0.3">
      <c r="A466" s="4" t="s">
        <v>958</v>
      </c>
      <c r="B466" s="4" t="s">
        <v>959</v>
      </c>
      <c r="C466" s="4" t="s">
        <v>18</v>
      </c>
      <c r="D466" s="4" t="s">
        <v>82</v>
      </c>
      <c r="E466" s="5">
        <v>45432</v>
      </c>
      <c r="F466" s="4" t="s">
        <v>31</v>
      </c>
      <c r="G466" s="4" t="s">
        <v>39</v>
      </c>
      <c r="H466" s="6">
        <v>3</v>
      </c>
      <c r="I466" s="4" t="b">
        <v>0</v>
      </c>
      <c r="J466" s="4" t="b">
        <v>0</v>
      </c>
      <c r="K466" s="4" t="str">
        <f t="shared" si="14"/>
        <v>Active</v>
      </c>
      <c r="L466" s="4">
        <f t="shared" si="15"/>
        <v>0</v>
      </c>
    </row>
    <row r="467" spans="1:12" x14ac:dyDescent="0.3">
      <c r="A467" s="4" t="s">
        <v>960</v>
      </c>
      <c r="B467" s="4" t="s">
        <v>961</v>
      </c>
      <c r="C467" s="4" t="s">
        <v>12</v>
      </c>
      <c r="D467" s="4" t="s">
        <v>13</v>
      </c>
      <c r="E467" s="5">
        <v>45124</v>
      </c>
      <c r="F467" s="4" t="s">
        <v>31</v>
      </c>
      <c r="G467" s="4" t="s">
        <v>32</v>
      </c>
      <c r="H467" s="6">
        <v>35</v>
      </c>
      <c r="I467" s="4" t="b">
        <v>0</v>
      </c>
      <c r="J467" s="4" t="b">
        <v>0</v>
      </c>
      <c r="K467" s="4" t="str">
        <f t="shared" si="14"/>
        <v>Active</v>
      </c>
      <c r="L467" s="4">
        <f t="shared" si="15"/>
        <v>0</v>
      </c>
    </row>
    <row r="468" spans="1:12" x14ac:dyDescent="0.3">
      <c r="A468" s="4" t="s">
        <v>962</v>
      </c>
      <c r="B468" s="4" t="s">
        <v>963</v>
      </c>
      <c r="C468" s="4" t="s">
        <v>18</v>
      </c>
      <c r="D468" s="4" t="s">
        <v>13</v>
      </c>
      <c r="E468" s="5">
        <v>45190</v>
      </c>
      <c r="F468" s="4" t="s">
        <v>14</v>
      </c>
      <c r="G468" s="4" t="s">
        <v>39</v>
      </c>
      <c r="H468" s="6">
        <v>19</v>
      </c>
      <c r="I468" s="4" t="b">
        <v>0</v>
      </c>
      <c r="J468" s="4" t="b">
        <v>1</v>
      </c>
      <c r="K468" s="4" t="str">
        <f t="shared" si="14"/>
        <v>Churned</v>
      </c>
      <c r="L468" s="4">
        <f t="shared" si="15"/>
        <v>1</v>
      </c>
    </row>
    <row r="469" spans="1:12" x14ac:dyDescent="0.3">
      <c r="A469" s="4" t="s">
        <v>964</v>
      </c>
      <c r="B469" s="4" t="s">
        <v>965</v>
      </c>
      <c r="C469" s="4" t="s">
        <v>18</v>
      </c>
      <c r="D469" s="4" t="s">
        <v>13</v>
      </c>
      <c r="E469" s="5">
        <v>45508</v>
      </c>
      <c r="F469" s="4" t="s">
        <v>31</v>
      </c>
      <c r="G469" s="4" t="s">
        <v>39</v>
      </c>
      <c r="H469" s="6">
        <v>3</v>
      </c>
      <c r="I469" s="4" t="b">
        <v>1</v>
      </c>
      <c r="J469" s="4" t="b">
        <v>0</v>
      </c>
      <c r="K469" s="4" t="str">
        <f t="shared" si="14"/>
        <v>Active</v>
      </c>
      <c r="L469" s="4">
        <f t="shared" si="15"/>
        <v>0</v>
      </c>
    </row>
    <row r="470" spans="1:12" x14ac:dyDescent="0.3">
      <c r="A470" s="4" t="s">
        <v>966</v>
      </c>
      <c r="B470" s="4" t="s">
        <v>967</v>
      </c>
      <c r="C470" s="4" t="s">
        <v>38</v>
      </c>
      <c r="D470" s="4" t="s">
        <v>13</v>
      </c>
      <c r="E470" s="5">
        <v>45454</v>
      </c>
      <c r="F470" s="4" t="s">
        <v>24</v>
      </c>
      <c r="G470" s="4" t="s">
        <v>15</v>
      </c>
      <c r="H470" s="6">
        <v>21</v>
      </c>
      <c r="I470" s="4" t="b">
        <v>0</v>
      </c>
      <c r="J470" s="4" t="b">
        <v>0</v>
      </c>
      <c r="K470" s="4" t="str">
        <f t="shared" si="14"/>
        <v>Active</v>
      </c>
      <c r="L470" s="4">
        <f t="shared" si="15"/>
        <v>0</v>
      </c>
    </row>
    <row r="471" spans="1:12" x14ac:dyDescent="0.3">
      <c r="A471" s="4" t="s">
        <v>968</v>
      </c>
      <c r="B471" s="4" t="s">
        <v>969</v>
      </c>
      <c r="C471" s="4" t="s">
        <v>23</v>
      </c>
      <c r="D471" s="4" t="s">
        <v>13</v>
      </c>
      <c r="E471" s="5">
        <v>45070</v>
      </c>
      <c r="F471" s="4" t="s">
        <v>35</v>
      </c>
      <c r="G471" s="4" t="s">
        <v>15</v>
      </c>
      <c r="H471" s="6">
        <v>32</v>
      </c>
      <c r="I471" s="4" t="b">
        <v>0</v>
      </c>
      <c r="J471" s="4" t="b">
        <v>0</v>
      </c>
      <c r="K471" s="4" t="str">
        <f t="shared" si="14"/>
        <v>Active</v>
      </c>
      <c r="L471" s="4">
        <f t="shared" si="15"/>
        <v>0</v>
      </c>
    </row>
    <row r="472" spans="1:12" x14ac:dyDescent="0.3">
      <c r="A472" s="4" t="s">
        <v>970</v>
      </c>
      <c r="B472" s="4" t="s">
        <v>971</v>
      </c>
      <c r="C472" s="4" t="s">
        <v>23</v>
      </c>
      <c r="D472" s="4" t="s">
        <v>13</v>
      </c>
      <c r="E472" s="5">
        <v>45194</v>
      </c>
      <c r="F472" s="4" t="s">
        <v>14</v>
      </c>
      <c r="G472" s="4" t="s">
        <v>39</v>
      </c>
      <c r="H472" s="6">
        <v>4</v>
      </c>
      <c r="I472" s="4" t="b">
        <v>1</v>
      </c>
      <c r="J472" s="4" t="b">
        <v>0</v>
      </c>
      <c r="K472" s="4" t="str">
        <f t="shared" si="14"/>
        <v>Active</v>
      </c>
      <c r="L472" s="4">
        <f t="shared" si="15"/>
        <v>0</v>
      </c>
    </row>
    <row r="473" spans="1:12" x14ac:dyDescent="0.3">
      <c r="A473" s="4" t="s">
        <v>972</v>
      </c>
      <c r="B473" s="4" t="s">
        <v>973</v>
      </c>
      <c r="C473" s="4" t="s">
        <v>27</v>
      </c>
      <c r="D473" s="4" t="s">
        <v>19</v>
      </c>
      <c r="E473" s="5">
        <v>45236</v>
      </c>
      <c r="F473" s="4" t="s">
        <v>24</v>
      </c>
      <c r="G473" s="4" t="s">
        <v>39</v>
      </c>
      <c r="H473" s="6">
        <v>1</v>
      </c>
      <c r="I473" s="4" t="b">
        <v>0</v>
      </c>
      <c r="J473" s="4" t="b">
        <v>0</v>
      </c>
      <c r="K473" s="4" t="str">
        <f t="shared" si="14"/>
        <v>Active</v>
      </c>
      <c r="L473" s="4">
        <f t="shared" si="15"/>
        <v>0</v>
      </c>
    </row>
    <row r="474" spans="1:12" x14ac:dyDescent="0.3">
      <c r="A474" s="4" t="s">
        <v>974</v>
      </c>
      <c r="B474" s="4" t="s">
        <v>975</v>
      </c>
      <c r="C474" s="4" t="s">
        <v>38</v>
      </c>
      <c r="D474" s="4" t="s">
        <v>28</v>
      </c>
      <c r="E474" s="5">
        <v>45596</v>
      </c>
      <c r="F474" s="4" t="s">
        <v>24</v>
      </c>
      <c r="G474" s="4" t="s">
        <v>32</v>
      </c>
      <c r="H474" s="6">
        <v>1</v>
      </c>
      <c r="I474" s="4" t="b">
        <v>1</v>
      </c>
      <c r="J474" s="4" t="b">
        <v>0</v>
      </c>
      <c r="K474" s="4" t="str">
        <f t="shared" si="14"/>
        <v>Active</v>
      </c>
      <c r="L474" s="4">
        <f t="shared" si="15"/>
        <v>0</v>
      </c>
    </row>
    <row r="475" spans="1:12" x14ac:dyDescent="0.3">
      <c r="A475" s="4" t="s">
        <v>976</v>
      </c>
      <c r="B475" s="4" t="s">
        <v>977</v>
      </c>
      <c r="C475" s="4" t="s">
        <v>23</v>
      </c>
      <c r="D475" s="4" t="s">
        <v>13</v>
      </c>
      <c r="E475" s="5">
        <v>45048</v>
      </c>
      <c r="F475" s="4" t="s">
        <v>31</v>
      </c>
      <c r="G475" s="4" t="s">
        <v>32</v>
      </c>
      <c r="H475" s="6">
        <v>54</v>
      </c>
      <c r="I475" s="4" t="b">
        <v>0</v>
      </c>
      <c r="J475" s="4" t="b">
        <v>0</v>
      </c>
      <c r="K475" s="4" t="str">
        <f t="shared" si="14"/>
        <v>Active</v>
      </c>
      <c r="L475" s="4">
        <f t="shared" si="15"/>
        <v>0</v>
      </c>
    </row>
    <row r="476" spans="1:12" x14ac:dyDescent="0.3">
      <c r="A476" s="4" t="s">
        <v>978</v>
      </c>
      <c r="B476" s="4" t="s">
        <v>979</v>
      </c>
      <c r="C476" s="4" t="s">
        <v>38</v>
      </c>
      <c r="D476" s="4" t="s">
        <v>28</v>
      </c>
      <c r="E476" s="5">
        <v>45441</v>
      </c>
      <c r="F476" s="4" t="s">
        <v>14</v>
      </c>
      <c r="G476" s="4" t="s">
        <v>39</v>
      </c>
      <c r="H476" s="6">
        <v>1</v>
      </c>
      <c r="I476" s="4" t="b">
        <v>1</v>
      </c>
      <c r="J476" s="4" t="b">
        <v>0</v>
      </c>
      <c r="K476" s="4" t="str">
        <f t="shared" si="14"/>
        <v>Active</v>
      </c>
      <c r="L476" s="4">
        <f t="shared" si="15"/>
        <v>0</v>
      </c>
    </row>
    <row r="477" spans="1:12" x14ac:dyDescent="0.3">
      <c r="A477" s="4" t="s">
        <v>980</v>
      </c>
      <c r="B477" s="4" t="s">
        <v>981</v>
      </c>
      <c r="C477" s="4" t="s">
        <v>18</v>
      </c>
      <c r="D477" s="4" t="s">
        <v>13</v>
      </c>
      <c r="E477" s="5">
        <v>45556</v>
      </c>
      <c r="F477" s="4" t="s">
        <v>35</v>
      </c>
      <c r="G477" s="4" t="s">
        <v>39</v>
      </c>
      <c r="H477" s="6">
        <v>67</v>
      </c>
      <c r="I477" s="4" t="b">
        <v>1</v>
      </c>
      <c r="J477" s="4" t="b">
        <v>0</v>
      </c>
      <c r="K477" s="4" t="str">
        <f t="shared" si="14"/>
        <v>Active</v>
      </c>
      <c r="L477" s="4">
        <f t="shared" si="15"/>
        <v>0</v>
      </c>
    </row>
    <row r="478" spans="1:12" x14ac:dyDescent="0.3">
      <c r="A478" s="4" t="s">
        <v>982</v>
      </c>
      <c r="B478" s="4" t="s">
        <v>983</v>
      </c>
      <c r="C478" s="4" t="s">
        <v>23</v>
      </c>
      <c r="D478" s="4" t="s">
        <v>19</v>
      </c>
      <c r="E478" s="5">
        <v>45083</v>
      </c>
      <c r="F478" s="4" t="s">
        <v>20</v>
      </c>
      <c r="G478" s="4" t="s">
        <v>39</v>
      </c>
      <c r="H478" s="6">
        <v>20</v>
      </c>
      <c r="I478" s="4" t="b">
        <v>0</v>
      </c>
      <c r="J478" s="4" t="b">
        <v>0</v>
      </c>
      <c r="K478" s="4" t="str">
        <f t="shared" si="14"/>
        <v>Active</v>
      </c>
      <c r="L478" s="4">
        <f t="shared" si="15"/>
        <v>0</v>
      </c>
    </row>
    <row r="479" spans="1:12" x14ac:dyDescent="0.3">
      <c r="A479" s="4" t="s">
        <v>984</v>
      </c>
      <c r="B479" s="4" t="s">
        <v>985</v>
      </c>
      <c r="C479" s="4" t="s">
        <v>27</v>
      </c>
      <c r="D479" s="4" t="s">
        <v>65</v>
      </c>
      <c r="E479" s="5">
        <v>45352</v>
      </c>
      <c r="F479" s="4" t="s">
        <v>20</v>
      </c>
      <c r="G479" s="4" t="s">
        <v>32</v>
      </c>
      <c r="H479" s="6">
        <v>14</v>
      </c>
      <c r="I479" s="4" t="b">
        <v>0</v>
      </c>
      <c r="J479" s="4" t="b">
        <v>0</v>
      </c>
      <c r="K479" s="4" t="str">
        <f t="shared" si="14"/>
        <v>Active</v>
      </c>
      <c r="L479" s="4">
        <f t="shared" si="15"/>
        <v>0</v>
      </c>
    </row>
    <row r="480" spans="1:12" x14ac:dyDescent="0.3">
      <c r="A480" s="4" t="s">
        <v>986</v>
      </c>
      <c r="B480" s="4" t="s">
        <v>987</v>
      </c>
      <c r="C480" s="4" t="s">
        <v>18</v>
      </c>
      <c r="D480" s="4" t="s">
        <v>28</v>
      </c>
      <c r="E480" s="5">
        <v>45150</v>
      </c>
      <c r="F480" s="4" t="s">
        <v>20</v>
      </c>
      <c r="G480" s="4" t="s">
        <v>15</v>
      </c>
      <c r="H480" s="6">
        <v>3</v>
      </c>
      <c r="I480" s="4" t="b">
        <v>1</v>
      </c>
      <c r="J480" s="4" t="b">
        <v>0</v>
      </c>
      <c r="K480" s="4" t="str">
        <f t="shared" si="14"/>
        <v>Active</v>
      </c>
      <c r="L480" s="4">
        <f t="shared" si="15"/>
        <v>0</v>
      </c>
    </row>
    <row r="481" spans="1:12" x14ac:dyDescent="0.3">
      <c r="A481" s="4" t="s">
        <v>988</v>
      </c>
      <c r="B481" s="4" t="s">
        <v>989</v>
      </c>
      <c r="C481" s="4" t="s">
        <v>23</v>
      </c>
      <c r="D481" s="4" t="s">
        <v>13</v>
      </c>
      <c r="E481" s="5">
        <v>45465</v>
      </c>
      <c r="F481" s="4" t="s">
        <v>14</v>
      </c>
      <c r="G481" s="4" t="s">
        <v>15</v>
      </c>
      <c r="H481" s="6">
        <v>24</v>
      </c>
      <c r="I481" s="4" t="b">
        <v>0</v>
      </c>
      <c r="J481" s="4" t="b">
        <v>0</v>
      </c>
      <c r="K481" s="4" t="str">
        <f t="shared" si="14"/>
        <v>Active</v>
      </c>
      <c r="L481" s="4">
        <f t="shared" si="15"/>
        <v>0</v>
      </c>
    </row>
    <row r="482" spans="1:12" x14ac:dyDescent="0.3">
      <c r="A482" s="4" t="s">
        <v>990</v>
      </c>
      <c r="B482" s="4" t="s">
        <v>991</v>
      </c>
      <c r="C482" s="4" t="s">
        <v>12</v>
      </c>
      <c r="D482" s="4" t="s">
        <v>13</v>
      </c>
      <c r="E482" s="5">
        <v>45504</v>
      </c>
      <c r="F482" s="4" t="s">
        <v>20</v>
      </c>
      <c r="G482" s="4" t="s">
        <v>32</v>
      </c>
      <c r="H482" s="6">
        <v>70</v>
      </c>
      <c r="I482" s="4" t="b">
        <v>1</v>
      </c>
      <c r="J482" s="4" t="b">
        <v>0</v>
      </c>
      <c r="K482" s="4" t="str">
        <f t="shared" si="14"/>
        <v>Active</v>
      </c>
      <c r="L482" s="4">
        <f t="shared" si="15"/>
        <v>0</v>
      </c>
    </row>
    <row r="483" spans="1:12" x14ac:dyDescent="0.3">
      <c r="A483" s="4" t="s">
        <v>992</v>
      </c>
      <c r="B483" s="4" t="s">
        <v>993</v>
      </c>
      <c r="C483" s="4" t="s">
        <v>27</v>
      </c>
      <c r="D483" s="4" t="s">
        <v>13</v>
      </c>
      <c r="E483" s="5">
        <v>45134</v>
      </c>
      <c r="F483" s="4" t="s">
        <v>35</v>
      </c>
      <c r="G483" s="4" t="s">
        <v>39</v>
      </c>
      <c r="H483" s="6">
        <v>11</v>
      </c>
      <c r="I483" s="4" t="b">
        <v>0</v>
      </c>
      <c r="J483" s="4" t="b">
        <v>1</v>
      </c>
      <c r="K483" s="4" t="str">
        <f t="shared" si="14"/>
        <v>Churned</v>
      </c>
      <c r="L483" s="4">
        <f t="shared" si="15"/>
        <v>1</v>
      </c>
    </row>
    <row r="484" spans="1:12" x14ac:dyDescent="0.3">
      <c r="A484" s="4" t="s">
        <v>994</v>
      </c>
      <c r="B484" s="4" t="s">
        <v>995</v>
      </c>
      <c r="C484" s="4" t="s">
        <v>23</v>
      </c>
      <c r="D484" s="4" t="s">
        <v>13</v>
      </c>
      <c r="E484" s="5">
        <v>45459</v>
      </c>
      <c r="F484" s="4" t="s">
        <v>35</v>
      </c>
      <c r="G484" s="4" t="s">
        <v>32</v>
      </c>
      <c r="H484" s="6">
        <v>23</v>
      </c>
      <c r="I484" s="4" t="b">
        <v>0</v>
      </c>
      <c r="J484" s="4" t="b">
        <v>0</v>
      </c>
      <c r="K484" s="4" t="str">
        <f t="shared" si="14"/>
        <v>Active</v>
      </c>
      <c r="L484" s="4">
        <f t="shared" si="15"/>
        <v>0</v>
      </c>
    </row>
    <row r="485" spans="1:12" x14ac:dyDescent="0.3">
      <c r="A485" s="4" t="s">
        <v>996</v>
      </c>
      <c r="B485" s="4" t="s">
        <v>997</v>
      </c>
      <c r="C485" s="4" t="s">
        <v>23</v>
      </c>
      <c r="D485" s="4" t="s">
        <v>13</v>
      </c>
      <c r="E485" s="5">
        <v>45524</v>
      </c>
      <c r="F485" s="4" t="s">
        <v>20</v>
      </c>
      <c r="G485" s="4" t="s">
        <v>39</v>
      </c>
      <c r="H485" s="6">
        <v>22</v>
      </c>
      <c r="I485" s="4" t="b">
        <v>0</v>
      </c>
      <c r="J485" s="4" t="b">
        <v>0</v>
      </c>
      <c r="K485" s="4" t="str">
        <f t="shared" si="14"/>
        <v>Active</v>
      </c>
      <c r="L485" s="4">
        <f t="shared" si="15"/>
        <v>0</v>
      </c>
    </row>
    <row r="486" spans="1:12" x14ac:dyDescent="0.3">
      <c r="A486" s="4" t="s">
        <v>998</v>
      </c>
      <c r="B486" s="4" t="s">
        <v>999</v>
      </c>
      <c r="C486" s="4" t="s">
        <v>23</v>
      </c>
      <c r="D486" s="4" t="s">
        <v>13</v>
      </c>
      <c r="E486" s="5">
        <v>44983</v>
      </c>
      <c r="F486" s="4" t="s">
        <v>31</v>
      </c>
      <c r="G486" s="4" t="s">
        <v>39</v>
      </c>
      <c r="H486" s="6">
        <v>40</v>
      </c>
      <c r="I486" s="4" t="b">
        <v>0</v>
      </c>
      <c r="J486" s="4" t="b">
        <v>1</v>
      </c>
      <c r="K486" s="4" t="str">
        <f t="shared" si="14"/>
        <v>Churned</v>
      </c>
      <c r="L486" s="4">
        <f t="shared" si="15"/>
        <v>1</v>
      </c>
    </row>
    <row r="487" spans="1:12" x14ac:dyDescent="0.3">
      <c r="A487" s="4" t="s">
        <v>1000</v>
      </c>
      <c r="B487" s="4" t="s">
        <v>1001</v>
      </c>
      <c r="C487" s="4" t="s">
        <v>12</v>
      </c>
      <c r="D487" s="4" t="s">
        <v>13</v>
      </c>
      <c r="E487" s="5">
        <v>45504</v>
      </c>
      <c r="F487" s="4" t="s">
        <v>14</v>
      </c>
      <c r="G487" s="4" t="s">
        <v>32</v>
      </c>
      <c r="H487" s="6">
        <v>53</v>
      </c>
      <c r="I487" s="4" t="b">
        <v>0</v>
      </c>
      <c r="J487" s="4" t="b">
        <v>0</v>
      </c>
      <c r="K487" s="4" t="str">
        <f t="shared" si="14"/>
        <v>Active</v>
      </c>
      <c r="L487" s="4">
        <f t="shared" si="15"/>
        <v>0</v>
      </c>
    </row>
    <row r="488" spans="1:12" x14ac:dyDescent="0.3">
      <c r="A488" s="4" t="s">
        <v>1002</v>
      </c>
      <c r="B488" s="4" t="s">
        <v>1003</v>
      </c>
      <c r="C488" s="4" t="s">
        <v>23</v>
      </c>
      <c r="D488" s="4" t="s">
        <v>13</v>
      </c>
      <c r="E488" s="5">
        <v>44949</v>
      </c>
      <c r="F488" s="4" t="s">
        <v>24</v>
      </c>
      <c r="G488" s="4" t="s">
        <v>32</v>
      </c>
      <c r="H488" s="6">
        <v>4</v>
      </c>
      <c r="I488" s="4" t="b">
        <v>0</v>
      </c>
      <c r="J488" s="4" t="b">
        <v>0</v>
      </c>
      <c r="K488" s="4" t="str">
        <f t="shared" si="14"/>
        <v>Active</v>
      </c>
      <c r="L488" s="4">
        <f t="shared" si="15"/>
        <v>0</v>
      </c>
    </row>
    <row r="489" spans="1:12" x14ac:dyDescent="0.3">
      <c r="A489" s="4" t="s">
        <v>1004</v>
      </c>
      <c r="B489" s="4" t="s">
        <v>1005</v>
      </c>
      <c r="C489" s="4" t="s">
        <v>27</v>
      </c>
      <c r="D489" s="4" t="s">
        <v>13</v>
      </c>
      <c r="E489" s="5">
        <v>45150</v>
      </c>
      <c r="F489" s="4" t="s">
        <v>31</v>
      </c>
      <c r="G489" s="4" t="s">
        <v>39</v>
      </c>
      <c r="H489" s="6">
        <v>21</v>
      </c>
      <c r="I489" s="4" t="b">
        <v>1</v>
      </c>
      <c r="J489" s="4" t="b">
        <v>0</v>
      </c>
      <c r="K489" s="4" t="str">
        <f t="shared" si="14"/>
        <v>Active</v>
      </c>
      <c r="L489" s="4">
        <f t="shared" si="15"/>
        <v>0</v>
      </c>
    </row>
    <row r="490" spans="1:12" x14ac:dyDescent="0.3">
      <c r="A490" s="4" t="s">
        <v>1006</v>
      </c>
      <c r="B490" s="4" t="s">
        <v>1007</v>
      </c>
      <c r="C490" s="4" t="s">
        <v>12</v>
      </c>
      <c r="D490" s="4" t="s">
        <v>13</v>
      </c>
      <c r="E490" s="5">
        <v>45644</v>
      </c>
      <c r="F490" s="4" t="s">
        <v>24</v>
      </c>
      <c r="G490" s="4" t="s">
        <v>15</v>
      </c>
      <c r="H490" s="6">
        <v>148</v>
      </c>
      <c r="I490" s="4" t="b">
        <v>1</v>
      </c>
      <c r="J490" s="4" t="b">
        <v>0</v>
      </c>
      <c r="K490" s="4" t="str">
        <f t="shared" si="14"/>
        <v>Active</v>
      </c>
      <c r="L490" s="4">
        <f t="shared" si="15"/>
        <v>0</v>
      </c>
    </row>
    <row r="491" spans="1:12" x14ac:dyDescent="0.3">
      <c r="A491" s="4" t="s">
        <v>1008</v>
      </c>
      <c r="B491" s="4" t="s">
        <v>1009</v>
      </c>
      <c r="C491" s="4" t="s">
        <v>12</v>
      </c>
      <c r="D491" s="4" t="s">
        <v>13</v>
      </c>
      <c r="E491" s="5">
        <v>45410</v>
      </c>
      <c r="F491" s="4" t="s">
        <v>35</v>
      </c>
      <c r="G491" s="4" t="s">
        <v>15</v>
      </c>
      <c r="H491" s="6">
        <v>10</v>
      </c>
      <c r="I491" s="4" t="b">
        <v>0</v>
      </c>
      <c r="J491" s="4" t="b">
        <v>0</v>
      </c>
      <c r="K491" s="4" t="str">
        <f t="shared" si="14"/>
        <v>Active</v>
      </c>
      <c r="L491" s="4">
        <f t="shared" si="15"/>
        <v>0</v>
      </c>
    </row>
    <row r="492" spans="1:12" x14ac:dyDescent="0.3">
      <c r="A492" s="4" t="s">
        <v>1010</v>
      </c>
      <c r="B492" s="4" t="s">
        <v>1011</v>
      </c>
      <c r="C492" s="4" t="s">
        <v>23</v>
      </c>
      <c r="D492" s="4" t="s">
        <v>13</v>
      </c>
      <c r="E492" s="5">
        <v>45583</v>
      </c>
      <c r="F492" s="4" t="s">
        <v>31</v>
      </c>
      <c r="G492" s="4" t="s">
        <v>39</v>
      </c>
      <c r="H492" s="6">
        <v>16</v>
      </c>
      <c r="I492" s="4" t="b">
        <v>0</v>
      </c>
      <c r="J492" s="4" t="b">
        <v>0</v>
      </c>
      <c r="K492" s="4" t="str">
        <f t="shared" si="14"/>
        <v>Active</v>
      </c>
      <c r="L492" s="4">
        <f t="shared" si="15"/>
        <v>0</v>
      </c>
    </row>
    <row r="493" spans="1:12" x14ac:dyDescent="0.3">
      <c r="A493" s="4" t="s">
        <v>1012</v>
      </c>
      <c r="B493" s="4" t="s">
        <v>1013</v>
      </c>
      <c r="C493" s="4" t="s">
        <v>23</v>
      </c>
      <c r="D493" s="4" t="s">
        <v>13</v>
      </c>
      <c r="E493" s="5">
        <v>45313</v>
      </c>
      <c r="F493" s="4" t="s">
        <v>20</v>
      </c>
      <c r="G493" s="4" t="s">
        <v>15</v>
      </c>
      <c r="H493" s="6">
        <v>10</v>
      </c>
      <c r="I493" s="4" t="b">
        <v>0</v>
      </c>
      <c r="J493" s="4" t="b">
        <v>0</v>
      </c>
      <c r="K493" s="4" t="str">
        <f t="shared" si="14"/>
        <v>Active</v>
      </c>
      <c r="L493" s="4">
        <f t="shared" si="15"/>
        <v>0</v>
      </c>
    </row>
    <row r="494" spans="1:12" x14ac:dyDescent="0.3">
      <c r="A494" s="4" t="s">
        <v>1014</v>
      </c>
      <c r="B494" s="4" t="s">
        <v>1015</v>
      </c>
      <c r="C494" s="4" t="s">
        <v>38</v>
      </c>
      <c r="D494" s="4" t="s">
        <v>13</v>
      </c>
      <c r="E494" s="5">
        <v>45596</v>
      </c>
      <c r="F494" s="4" t="s">
        <v>20</v>
      </c>
      <c r="G494" s="4" t="s">
        <v>39</v>
      </c>
      <c r="H494" s="6">
        <v>32</v>
      </c>
      <c r="I494" s="4" t="b">
        <v>0</v>
      </c>
      <c r="J494" s="4" t="b">
        <v>0</v>
      </c>
      <c r="K494" s="4" t="str">
        <f t="shared" si="14"/>
        <v>Active</v>
      </c>
      <c r="L494" s="4">
        <f t="shared" si="15"/>
        <v>0</v>
      </c>
    </row>
    <row r="495" spans="1:12" x14ac:dyDescent="0.3">
      <c r="A495" s="4" t="s">
        <v>1016</v>
      </c>
      <c r="B495" s="4" t="s">
        <v>1017</v>
      </c>
      <c r="C495" s="4" t="s">
        <v>18</v>
      </c>
      <c r="D495" s="4" t="s">
        <v>19</v>
      </c>
      <c r="E495" s="5">
        <v>45468</v>
      </c>
      <c r="F495" s="4" t="s">
        <v>35</v>
      </c>
      <c r="G495" s="4" t="s">
        <v>15</v>
      </c>
      <c r="H495" s="6">
        <v>11</v>
      </c>
      <c r="I495" s="4" t="b">
        <v>0</v>
      </c>
      <c r="J495" s="4" t="b">
        <v>1</v>
      </c>
      <c r="K495" s="4" t="str">
        <f t="shared" si="14"/>
        <v>Churned</v>
      </c>
      <c r="L495" s="4">
        <f t="shared" si="15"/>
        <v>1</v>
      </c>
    </row>
    <row r="496" spans="1:12" x14ac:dyDescent="0.3">
      <c r="A496" s="4" t="s">
        <v>1018</v>
      </c>
      <c r="B496" s="4" t="s">
        <v>1019</v>
      </c>
      <c r="C496" s="4" t="s">
        <v>38</v>
      </c>
      <c r="D496" s="4" t="s">
        <v>13</v>
      </c>
      <c r="E496" s="5">
        <v>44950</v>
      </c>
      <c r="F496" s="4" t="s">
        <v>20</v>
      </c>
      <c r="G496" s="4" t="s">
        <v>39</v>
      </c>
      <c r="H496" s="6">
        <v>15</v>
      </c>
      <c r="I496" s="4" t="b">
        <v>1</v>
      </c>
      <c r="J496" s="4" t="b">
        <v>0</v>
      </c>
      <c r="K496" s="4" t="str">
        <f t="shared" si="14"/>
        <v>Active</v>
      </c>
      <c r="L496" s="4">
        <f t="shared" si="15"/>
        <v>0</v>
      </c>
    </row>
    <row r="497" spans="1:12" x14ac:dyDescent="0.3">
      <c r="A497" s="4" t="s">
        <v>1020</v>
      </c>
      <c r="B497" s="4" t="s">
        <v>1021</v>
      </c>
      <c r="C497" s="4" t="s">
        <v>23</v>
      </c>
      <c r="D497" s="4" t="s">
        <v>44</v>
      </c>
      <c r="E497" s="5">
        <v>45471</v>
      </c>
      <c r="F497" s="4" t="s">
        <v>35</v>
      </c>
      <c r="G497" s="4" t="s">
        <v>39</v>
      </c>
      <c r="H497" s="6">
        <v>9</v>
      </c>
      <c r="I497" s="4" t="b">
        <v>0</v>
      </c>
      <c r="J497" s="4" t="b">
        <v>0</v>
      </c>
      <c r="K497" s="4" t="str">
        <f t="shared" si="14"/>
        <v>Active</v>
      </c>
      <c r="L497" s="4">
        <f t="shared" si="15"/>
        <v>0</v>
      </c>
    </row>
    <row r="498" spans="1:12" x14ac:dyDescent="0.3">
      <c r="A498" s="4" t="s">
        <v>1022</v>
      </c>
      <c r="B498" s="4" t="s">
        <v>1023</v>
      </c>
      <c r="C498" s="4" t="s">
        <v>18</v>
      </c>
      <c r="D498" s="4" t="s">
        <v>13</v>
      </c>
      <c r="E498" s="5">
        <v>45281</v>
      </c>
      <c r="F498" s="4" t="s">
        <v>24</v>
      </c>
      <c r="G498" s="4" t="s">
        <v>15</v>
      </c>
      <c r="H498" s="6">
        <v>9</v>
      </c>
      <c r="I498" s="4" t="b">
        <v>0</v>
      </c>
      <c r="J498" s="4" t="b">
        <v>0</v>
      </c>
      <c r="K498" s="4" t="str">
        <f t="shared" si="14"/>
        <v>Active</v>
      </c>
      <c r="L498" s="4">
        <f t="shared" si="15"/>
        <v>0</v>
      </c>
    </row>
    <row r="499" spans="1:12" x14ac:dyDescent="0.3">
      <c r="A499" s="4" t="s">
        <v>1024</v>
      </c>
      <c r="B499" s="4" t="s">
        <v>1025</v>
      </c>
      <c r="C499" s="4" t="s">
        <v>23</v>
      </c>
      <c r="D499" s="4" t="s">
        <v>28</v>
      </c>
      <c r="E499" s="5">
        <v>45603</v>
      </c>
      <c r="F499" s="4" t="s">
        <v>24</v>
      </c>
      <c r="G499" s="4" t="s">
        <v>15</v>
      </c>
      <c r="H499" s="6">
        <v>9</v>
      </c>
      <c r="I499" s="4" t="b">
        <v>0</v>
      </c>
      <c r="J499" s="4" t="b">
        <v>1</v>
      </c>
      <c r="K499" s="4" t="str">
        <f t="shared" si="14"/>
        <v>Churned</v>
      </c>
      <c r="L499" s="4">
        <f t="shared" si="15"/>
        <v>1</v>
      </c>
    </row>
    <row r="500" spans="1:12" x14ac:dyDescent="0.3">
      <c r="A500" s="4" t="s">
        <v>1026</v>
      </c>
      <c r="B500" s="4" t="s">
        <v>1027</v>
      </c>
      <c r="C500" s="4" t="s">
        <v>12</v>
      </c>
      <c r="D500" s="4" t="s">
        <v>13</v>
      </c>
      <c r="E500" s="5">
        <v>45138</v>
      </c>
      <c r="F500" s="4" t="s">
        <v>24</v>
      </c>
      <c r="G500" s="4" t="s">
        <v>39</v>
      </c>
      <c r="H500" s="6">
        <v>18</v>
      </c>
      <c r="I500" s="4" t="b">
        <v>0</v>
      </c>
      <c r="J500" s="4" t="b">
        <v>0</v>
      </c>
      <c r="K500" s="4" t="str">
        <f t="shared" si="14"/>
        <v>Active</v>
      </c>
      <c r="L500" s="4">
        <f t="shared" si="15"/>
        <v>0</v>
      </c>
    </row>
    <row r="501" spans="1:12" x14ac:dyDescent="0.3">
      <c r="A501" s="4" t="s">
        <v>1028</v>
      </c>
      <c r="B501" s="4" t="s">
        <v>1029</v>
      </c>
      <c r="C501" s="4" t="s">
        <v>12</v>
      </c>
      <c r="D501" s="4" t="s">
        <v>13</v>
      </c>
      <c r="E501" s="5">
        <v>45539</v>
      </c>
      <c r="F501" s="4" t="s">
        <v>24</v>
      </c>
      <c r="G501" s="4" t="s">
        <v>39</v>
      </c>
      <c r="H501" s="6">
        <v>12</v>
      </c>
      <c r="I501" s="4" t="b">
        <v>0</v>
      </c>
      <c r="J501" s="4" t="b">
        <v>0</v>
      </c>
      <c r="K501" s="4" t="str">
        <f t="shared" si="14"/>
        <v>Active</v>
      </c>
      <c r="L501" s="4">
        <f t="shared" si="15"/>
        <v>0</v>
      </c>
    </row>
  </sheetData>
  <autoFilter ref="A1:L501" xr:uid="{42E2D9D1-792C-44EF-A477-1F1EC48DFE39}"/>
  <conditionalFormatting sqref="A2:L501">
    <cfRule type="expression" dxfId="3" priority="1">
      <formula>$J2=TRUE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876F-483B-49AD-B543-18B16A010DBB}">
  <dimension ref="A3:E22"/>
  <sheetViews>
    <sheetView tabSelected="1"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4" width="12" bestFit="1" customWidth="1"/>
    <col min="5" max="5" width="16.44140625" bestFit="1" customWidth="1"/>
  </cols>
  <sheetData>
    <row r="3" spans="1:5" x14ac:dyDescent="0.3">
      <c r="A3" s="7" t="s">
        <v>1031</v>
      </c>
      <c r="B3" t="s">
        <v>1036</v>
      </c>
    </row>
    <row r="4" spans="1:5" x14ac:dyDescent="0.3">
      <c r="A4" s="8" t="s">
        <v>23</v>
      </c>
      <c r="B4" s="11">
        <v>0.30973451327433627</v>
      </c>
    </row>
    <row r="5" spans="1:5" x14ac:dyDescent="0.3">
      <c r="A5" s="8" t="s">
        <v>18</v>
      </c>
      <c r="B5" s="11">
        <v>0.22321428571428573</v>
      </c>
    </row>
    <row r="6" spans="1:5" x14ac:dyDescent="0.3">
      <c r="A6" s="8" t="s">
        <v>27</v>
      </c>
      <c r="B6" s="11">
        <v>0.21875</v>
      </c>
    </row>
    <row r="7" spans="1:5" x14ac:dyDescent="0.3">
      <c r="A7" s="8" t="s">
        <v>12</v>
      </c>
      <c r="B7" s="11">
        <v>0.16455696202531644</v>
      </c>
    </row>
    <row r="8" spans="1:5" x14ac:dyDescent="0.3">
      <c r="A8" s="8" t="s">
        <v>38</v>
      </c>
      <c r="B8" s="11">
        <v>0.16</v>
      </c>
    </row>
    <row r="9" spans="1:5" x14ac:dyDescent="0.3">
      <c r="A9" s="8" t="s">
        <v>1033</v>
      </c>
      <c r="B9" s="11">
        <v>0.22</v>
      </c>
    </row>
    <row r="16" spans="1:5" ht="16.2" x14ac:dyDescent="0.35">
      <c r="A16" s="28" t="s">
        <v>6049</v>
      </c>
      <c r="B16" s="28"/>
      <c r="C16" s="28"/>
      <c r="D16" s="28"/>
      <c r="E16" s="28"/>
    </row>
    <row r="17" spans="1:4" x14ac:dyDescent="0.3">
      <c r="A17" s="7" t="s">
        <v>6048</v>
      </c>
      <c r="B17" s="7" t="s">
        <v>1035</v>
      </c>
    </row>
    <row r="18" spans="1:4" x14ac:dyDescent="0.3">
      <c r="A18" s="7" t="s">
        <v>1031</v>
      </c>
      <c r="B18" t="s">
        <v>1050</v>
      </c>
      <c r="C18" t="s">
        <v>1047</v>
      </c>
      <c r="D18" t="s">
        <v>1033</v>
      </c>
    </row>
    <row r="19" spans="1:4" x14ac:dyDescent="0.3">
      <c r="A19" s="8" t="s">
        <v>15</v>
      </c>
      <c r="B19">
        <v>477.77284263959393</v>
      </c>
      <c r="C19">
        <v>471.6855036855037</v>
      </c>
      <c r="D19">
        <v>474.67977528089887</v>
      </c>
    </row>
    <row r="20" spans="1:4" x14ac:dyDescent="0.3">
      <c r="A20" s="8" t="s">
        <v>32</v>
      </c>
      <c r="B20">
        <v>5022.4263473053888</v>
      </c>
      <c r="C20">
        <v>4819.2511261261261</v>
      </c>
      <c r="D20">
        <v>4917.7138711549624</v>
      </c>
    </row>
    <row r="21" spans="1:4" x14ac:dyDescent="0.3">
      <c r="A21" s="8" t="s">
        <v>39</v>
      </c>
      <c r="B21">
        <v>1225.7601431980906</v>
      </c>
      <c r="C21">
        <v>1287.8160095579451</v>
      </c>
      <c r="D21">
        <v>1256.769552238806</v>
      </c>
    </row>
    <row r="22" spans="1:4" x14ac:dyDescent="0.3">
      <c r="A22" s="8" t="s">
        <v>1033</v>
      </c>
      <c r="B22">
        <v>2274.4404713531085</v>
      </c>
      <c r="C22">
        <v>2261.2638834186687</v>
      </c>
      <c r="D22">
        <v>2267.7494000000002</v>
      </c>
    </row>
  </sheetData>
  <mergeCells count="1">
    <mergeCell ref="A16:E16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AE4B-5BB9-41D8-BE34-95150D7885A6}">
  <dimension ref="A1:H12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6.88671875" customWidth="1"/>
    <col min="3" max="3" width="9.6640625" bestFit="1" customWidth="1"/>
    <col min="4" max="4" width="16.88671875" customWidth="1"/>
    <col min="6" max="6" width="9" bestFit="1" customWidth="1"/>
  </cols>
  <sheetData>
    <row r="1" spans="1:8" ht="15" thickBot="1" x14ac:dyDescent="0.35"/>
    <row r="2" spans="1:8" ht="23.4" x14ac:dyDescent="0.45">
      <c r="B2" s="15" t="s">
        <v>6050</v>
      </c>
      <c r="C2" s="16"/>
      <c r="D2" s="17" t="s">
        <v>6052</v>
      </c>
      <c r="E2" s="16"/>
      <c r="F2" s="17" t="s">
        <v>6053</v>
      </c>
      <c r="G2" s="16"/>
      <c r="H2" s="13"/>
    </row>
    <row r="3" spans="1:8" ht="24" thickBot="1" x14ac:dyDescent="0.5">
      <c r="B3" s="18">
        <f>SUM(subscription_raw!G:G)</f>
        <v>11338747</v>
      </c>
      <c r="C3" s="19"/>
      <c r="D3" s="19">
        <f>SUM(subscription_raw!H:H)</f>
        <v>136064964</v>
      </c>
      <c r="E3" s="19"/>
      <c r="F3" s="19">
        <f>COUNTIF(subscription_raw!L:L,FALSE)</f>
        <v>4514</v>
      </c>
      <c r="G3" s="19"/>
      <c r="H3" s="14"/>
    </row>
    <row r="6" spans="1:8" x14ac:dyDescent="0.3">
      <c r="A6" s="7" t="s">
        <v>8</v>
      </c>
      <c r="B6" t="s">
        <v>1032</v>
      </c>
    </row>
    <row r="8" spans="1:8" x14ac:dyDescent="0.3">
      <c r="A8" s="7" t="s">
        <v>1031</v>
      </c>
      <c r="B8" t="s">
        <v>6050</v>
      </c>
      <c r="C8" t="s">
        <v>6051</v>
      </c>
      <c r="D8" t="s">
        <v>6048</v>
      </c>
    </row>
    <row r="9" spans="1:8" x14ac:dyDescent="0.3">
      <c r="A9" s="8" t="s">
        <v>15</v>
      </c>
      <c r="B9">
        <v>760437</v>
      </c>
      <c r="C9">
        <v>1356</v>
      </c>
      <c r="D9">
        <v>560.79424778761063</v>
      </c>
    </row>
    <row r="10" spans="1:8" x14ac:dyDescent="0.3">
      <c r="A10" s="8" t="s">
        <v>32</v>
      </c>
      <c r="B10">
        <v>8473221</v>
      </c>
      <c r="C10">
        <v>1450</v>
      </c>
      <c r="D10">
        <v>5843.6006896551726</v>
      </c>
    </row>
    <row r="11" spans="1:8" x14ac:dyDescent="0.3">
      <c r="A11" s="8" t="s">
        <v>39</v>
      </c>
      <c r="B11">
        <v>2105089</v>
      </c>
      <c r="C11">
        <v>1416</v>
      </c>
      <c r="D11">
        <v>1486.6447740112994</v>
      </c>
    </row>
    <row r="12" spans="1:8" x14ac:dyDescent="0.3">
      <c r="A12" s="8" t="s">
        <v>1033</v>
      </c>
      <c r="B12">
        <v>11338747</v>
      </c>
      <c r="C12">
        <v>4222</v>
      </c>
      <c r="D12">
        <v>2685.634059687352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2482-4B93-4A72-8779-B3326BE2FC4C}">
  <dimension ref="A1:B24"/>
  <sheetViews>
    <sheetView workbookViewId="0">
      <selection activeCell="D9" sqref="D9"/>
    </sheetView>
  </sheetViews>
  <sheetFormatPr defaultRowHeight="14.4" x14ac:dyDescent="0.3"/>
  <cols>
    <col min="2" max="2" width="14.33203125" customWidth="1"/>
  </cols>
  <sheetData>
    <row r="1" spans="1:2" x14ac:dyDescent="0.3">
      <c r="A1" t="s">
        <v>6054</v>
      </c>
      <c r="B1" t="s">
        <v>6055</v>
      </c>
    </row>
    <row r="2" spans="1:2" x14ac:dyDescent="0.3">
      <c r="A2" t="s">
        <v>6056</v>
      </c>
      <c r="B2">
        <v>1</v>
      </c>
    </row>
    <row r="3" spans="1:2" x14ac:dyDescent="0.3">
      <c r="A3" t="s">
        <v>6057</v>
      </c>
      <c r="B3">
        <v>5</v>
      </c>
    </row>
    <row r="4" spans="1:2" x14ac:dyDescent="0.3">
      <c r="A4" t="s">
        <v>6058</v>
      </c>
      <c r="B4">
        <v>3</v>
      </c>
    </row>
    <row r="5" spans="1:2" x14ac:dyDescent="0.3">
      <c r="A5" t="s">
        <v>6059</v>
      </c>
      <c r="B5">
        <v>3</v>
      </c>
    </row>
    <row r="6" spans="1:2" x14ac:dyDescent="0.3">
      <c r="A6" t="s">
        <v>6060</v>
      </c>
      <c r="B6">
        <v>5</v>
      </c>
    </row>
    <row r="7" spans="1:2" x14ac:dyDescent="0.3">
      <c r="A7" t="s">
        <v>6061</v>
      </c>
      <c r="B7">
        <v>6</v>
      </c>
    </row>
    <row r="8" spans="1:2" x14ac:dyDescent="0.3">
      <c r="A8" t="s">
        <v>6062</v>
      </c>
      <c r="B8">
        <v>7</v>
      </c>
    </row>
    <row r="9" spans="1:2" x14ac:dyDescent="0.3">
      <c r="A9" t="s">
        <v>6063</v>
      </c>
      <c r="B9">
        <v>6</v>
      </c>
    </row>
    <row r="10" spans="1:2" x14ac:dyDescent="0.3">
      <c r="A10" t="s">
        <v>6064</v>
      </c>
      <c r="B10">
        <v>10</v>
      </c>
    </row>
    <row r="11" spans="1:2" x14ac:dyDescent="0.3">
      <c r="A11" t="s">
        <v>6065</v>
      </c>
      <c r="B11">
        <v>11</v>
      </c>
    </row>
    <row r="12" spans="1:2" x14ac:dyDescent="0.3">
      <c r="A12" t="s">
        <v>6066</v>
      </c>
      <c r="B12">
        <v>16</v>
      </c>
    </row>
    <row r="13" spans="1:2" x14ac:dyDescent="0.3">
      <c r="A13" t="s">
        <v>6067</v>
      </c>
      <c r="B13">
        <v>20</v>
      </c>
    </row>
    <row r="14" spans="1:2" x14ac:dyDescent="0.3">
      <c r="A14" t="s">
        <v>6068</v>
      </c>
      <c r="B14">
        <v>10</v>
      </c>
    </row>
    <row r="15" spans="1:2" x14ac:dyDescent="0.3">
      <c r="A15" t="s">
        <v>6069</v>
      </c>
      <c r="B15">
        <v>24</v>
      </c>
    </row>
    <row r="16" spans="1:2" x14ac:dyDescent="0.3">
      <c r="A16" t="s">
        <v>6070</v>
      </c>
      <c r="B16">
        <v>25</v>
      </c>
    </row>
    <row r="17" spans="1:2" x14ac:dyDescent="0.3">
      <c r="A17" t="s">
        <v>6071</v>
      </c>
      <c r="B17">
        <v>27</v>
      </c>
    </row>
    <row r="18" spans="1:2" x14ac:dyDescent="0.3">
      <c r="A18" t="s">
        <v>6072</v>
      </c>
      <c r="B18">
        <v>40</v>
      </c>
    </row>
    <row r="19" spans="1:2" x14ac:dyDescent="0.3">
      <c r="A19" t="s">
        <v>6073</v>
      </c>
      <c r="B19">
        <v>35</v>
      </c>
    </row>
    <row r="20" spans="1:2" x14ac:dyDescent="0.3">
      <c r="A20" t="s">
        <v>6074</v>
      </c>
      <c r="B20">
        <v>42</v>
      </c>
    </row>
    <row r="21" spans="1:2" x14ac:dyDescent="0.3">
      <c r="A21" t="s">
        <v>6075</v>
      </c>
      <c r="B21">
        <v>53</v>
      </c>
    </row>
    <row r="22" spans="1:2" x14ac:dyDescent="0.3">
      <c r="A22" t="s">
        <v>6076</v>
      </c>
      <c r="B22">
        <v>66</v>
      </c>
    </row>
    <row r="23" spans="1:2" x14ac:dyDescent="0.3">
      <c r="A23" t="s">
        <v>6077</v>
      </c>
      <c r="B23">
        <v>68</v>
      </c>
    </row>
    <row r="24" spans="1:2" x14ac:dyDescent="0.3">
      <c r="A24" t="s">
        <v>6078</v>
      </c>
      <c r="B24">
        <v>117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D722-BB42-4FCC-B95E-D22F352C681D}">
  <dimension ref="A1:G24"/>
  <sheetViews>
    <sheetView workbookViewId="0">
      <selection activeCell="L12" sqref="L12"/>
    </sheetView>
  </sheetViews>
  <sheetFormatPr defaultRowHeight="14.4" x14ac:dyDescent="0.3"/>
  <cols>
    <col min="1" max="1" width="17.5546875" customWidth="1"/>
    <col min="2" max="2" width="9.77734375" customWidth="1"/>
    <col min="3" max="3" width="10.33203125" customWidth="1"/>
    <col min="4" max="4" width="13.21875" customWidth="1"/>
    <col min="5" max="5" width="16.44140625" customWidth="1"/>
    <col min="6" max="6" width="10.77734375" customWidth="1"/>
  </cols>
  <sheetData>
    <row r="1" spans="1:7" ht="16.2" thickBot="1" x14ac:dyDescent="0.35">
      <c r="A1" s="21" t="s">
        <v>6083</v>
      </c>
      <c r="B1" s="22">
        <f>SUM(Table1[total_mrr])</f>
        <v>5021428</v>
      </c>
    </row>
    <row r="4" spans="1:7" x14ac:dyDescent="0.3">
      <c r="A4" t="s">
        <v>0</v>
      </c>
      <c r="B4" t="s">
        <v>2</v>
      </c>
      <c r="C4" t="s">
        <v>6</v>
      </c>
      <c r="D4" t="s">
        <v>6079</v>
      </c>
      <c r="E4" t="s">
        <v>6080</v>
      </c>
      <c r="F4" t="s">
        <v>6081</v>
      </c>
      <c r="G4" t="s">
        <v>6082</v>
      </c>
    </row>
    <row r="5" spans="1:7" x14ac:dyDescent="0.3">
      <c r="A5" t="s">
        <v>980</v>
      </c>
      <c r="B5" t="s">
        <v>18</v>
      </c>
      <c r="C5" t="s">
        <v>39</v>
      </c>
      <c r="D5">
        <v>8</v>
      </c>
      <c r="E5">
        <v>2</v>
      </c>
      <c r="F5">
        <v>568160</v>
      </c>
      <c r="G5" s="20" t="str">
        <f t="shared" ref="G5:G24" si="0">IF(E5&lt;2.5,"HIGH",IF(E5&lt;3.5,"MEDIUM","WATCH"))</f>
        <v>HIGH</v>
      </c>
    </row>
    <row r="6" spans="1:7" x14ac:dyDescent="0.3">
      <c r="A6" t="s">
        <v>854</v>
      </c>
      <c r="B6" t="s">
        <v>38</v>
      </c>
      <c r="C6" t="s">
        <v>39</v>
      </c>
      <c r="D6">
        <v>7</v>
      </c>
      <c r="E6">
        <v>1.9</v>
      </c>
      <c r="F6">
        <v>359436</v>
      </c>
      <c r="G6" s="9" t="str">
        <f t="shared" si="0"/>
        <v>HIGH</v>
      </c>
    </row>
    <row r="7" spans="1:7" x14ac:dyDescent="0.3">
      <c r="A7" t="s">
        <v>378</v>
      </c>
      <c r="B7" t="s">
        <v>18</v>
      </c>
      <c r="C7" t="s">
        <v>15</v>
      </c>
      <c r="D7">
        <v>5</v>
      </c>
      <c r="E7">
        <v>2</v>
      </c>
      <c r="F7">
        <v>346150</v>
      </c>
      <c r="G7" s="9" t="str">
        <f t="shared" si="0"/>
        <v>HIGH</v>
      </c>
    </row>
    <row r="8" spans="1:7" x14ac:dyDescent="0.3">
      <c r="A8" t="s">
        <v>500</v>
      </c>
      <c r="B8" t="s">
        <v>12</v>
      </c>
      <c r="C8" t="s">
        <v>15</v>
      </c>
      <c r="D8">
        <v>5</v>
      </c>
      <c r="E8">
        <v>3</v>
      </c>
      <c r="F8">
        <v>322000</v>
      </c>
      <c r="G8" t="str">
        <f t="shared" si="0"/>
        <v>MEDIUM</v>
      </c>
    </row>
    <row r="9" spans="1:7" x14ac:dyDescent="0.3">
      <c r="A9" t="s">
        <v>862</v>
      </c>
      <c r="B9" t="s">
        <v>18</v>
      </c>
      <c r="C9" t="s">
        <v>32</v>
      </c>
      <c r="D9">
        <v>6</v>
      </c>
      <c r="E9">
        <v>2.7</v>
      </c>
      <c r="F9">
        <v>286182</v>
      </c>
      <c r="G9" t="str">
        <f t="shared" si="0"/>
        <v>MEDIUM</v>
      </c>
    </row>
    <row r="10" spans="1:7" x14ac:dyDescent="0.3">
      <c r="A10" t="s">
        <v>592</v>
      </c>
      <c r="B10" t="s">
        <v>18</v>
      </c>
      <c r="C10" t="s">
        <v>15</v>
      </c>
      <c r="D10">
        <v>7</v>
      </c>
      <c r="E10">
        <v>3.1</v>
      </c>
      <c r="F10">
        <v>239232</v>
      </c>
      <c r="G10" t="str">
        <f t="shared" si="0"/>
        <v>MEDIUM</v>
      </c>
    </row>
    <row r="11" spans="1:7" x14ac:dyDescent="0.3">
      <c r="A11" t="s">
        <v>752</v>
      </c>
      <c r="B11" t="s">
        <v>38</v>
      </c>
      <c r="C11" t="s">
        <v>15</v>
      </c>
      <c r="D11">
        <v>9</v>
      </c>
      <c r="E11">
        <v>1.8</v>
      </c>
      <c r="F11">
        <v>231714</v>
      </c>
      <c r="G11" s="9" t="str">
        <f t="shared" si="0"/>
        <v>HIGH</v>
      </c>
    </row>
    <row r="12" spans="1:7" x14ac:dyDescent="0.3">
      <c r="A12" t="s">
        <v>246</v>
      </c>
      <c r="B12" t="s">
        <v>18</v>
      </c>
      <c r="C12" t="s">
        <v>39</v>
      </c>
      <c r="D12">
        <v>5</v>
      </c>
      <c r="E12">
        <v>1.4</v>
      </c>
      <c r="F12">
        <v>229360</v>
      </c>
      <c r="G12" s="9" t="str">
        <f t="shared" si="0"/>
        <v>HIGH</v>
      </c>
    </row>
    <row r="13" spans="1:7" x14ac:dyDescent="0.3">
      <c r="A13" t="s">
        <v>534</v>
      </c>
      <c r="B13" t="s">
        <v>12</v>
      </c>
      <c r="C13" t="s">
        <v>32</v>
      </c>
      <c r="D13">
        <v>6</v>
      </c>
      <c r="E13">
        <v>1.3</v>
      </c>
      <c r="F13">
        <v>222048</v>
      </c>
      <c r="G13" s="9" t="str">
        <f t="shared" si="0"/>
        <v>HIGH</v>
      </c>
    </row>
    <row r="14" spans="1:7" x14ac:dyDescent="0.3">
      <c r="A14" t="s">
        <v>520</v>
      </c>
      <c r="B14" t="s">
        <v>18</v>
      </c>
      <c r="C14" t="s">
        <v>32</v>
      </c>
      <c r="D14">
        <v>7</v>
      </c>
      <c r="E14">
        <v>2</v>
      </c>
      <c r="F14">
        <v>221963</v>
      </c>
      <c r="G14" s="9" t="str">
        <f t="shared" si="0"/>
        <v>HIGH</v>
      </c>
    </row>
    <row r="15" spans="1:7" x14ac:dyDescent="0.3">
      <c r="A15" t="s">
        <v>390</v>
      </c>
      <c r="B15" t="s">
        <v>18</v>
      </c>
      <c r="C15" t="s">
        <v>32</v>
      </c>
      <c r="D15">
        <v>5</v>
      </c>
      <c r="E15">
        <v>2.6</v>
      </c>
      <c r="F15">
        <v>219295</v>
      </c>
      <c r="G15" t="str">
        <f t="shared" si="0"/>
        <v>MEDIUM</v>
      </c>
    </row>
    <row r="16" spans="1:7" x14ac:dyDescent="0.3">
      <c r="A16" t="s">
        <v>730</v>
      </c>
      <c r="B16" t="s">
        <v>23</v>
      </c>
      <c r="C16" t="s">
        <v>15</v>
      </c>
      <c r="D16">
        <v>5</v>
      </c>
      <c r="E16">
        <v>3.2</v>
      </c>
      <c r="F16">
        <v>218165</v>
      </c>
      <c r="G16" t="str">
        <f t="shared" si="0"/>
        <v>MEDIUM</v>
      </c>
    </row>
    <row r="17" spans="1:7" x14ac:dyDescent="0.3">
      <c r="A17" t="s">
        <v>656</v>
      </c>
      <c r="B17" t="s">
        <v>38</v>
      </c>
      <c r="C17" t="s">
        <v>15</v>
      </c>
      <c r="D17">
        <v>7</v>
      </c>
      <c r="E17">
        <v>2.6</v>
      </c>
      <c r="F17">
        <v>213668</v>
      </c>
      <c r="G17" t="str">
        <f t="shared" si="0"/>
        <v>MEDIUM</v>
      </c>
    </row>
    <row r="18" spans="1:7" x14ac:dyDescent="0.3">
      <c r="A18" t="s">
        <v>304</v>
      </c>
      <c r="B18" t="s">
        <v>23</v>
      </c>
      <c r="C18" t="s">
        <v>15</v>
      </c>
      <c r="D18">
        <v>7</v>
      </c>
      <c r="E18">
        <v>3</v>
      </c>
      <c r="F18">
        <v>212695</v>
      </c>
      <c r="G18" t="str">
        <f t="shared" si="0"/>
        <v>MEDIUM</v>
      </c>
    </row>
    <row r="19" spans="1:7" x14ac:dyDescent="0.3">
      <c r="A19" t="s">
        <v>296</v>
      </c>
      <c r="B19" t="s">
        <v>18</v>
      </c>
      <c r="C19" t="s">
        <v>32</v>
      </c>
      <c r="D19">
        <v>5</v>
      </c>
      <c r="E19">
        <v>1</v>
      </c>
      <c r="F19">
        <v>212015</v>
      </c>
      <c r="G19" s="9" t="str">
        <f t="shared" si="0"/>
        <v>HIGH</v>
      </c>
    </row>
    <row r="20" spans="1:7" x14ac:dyDescent="0.3">
      <c r="A20" t="s">
        <v>536</v>
      </c>
      <c r="B20" t="s">
        <v>38</v>
      </c>
      <c r="C20" t="s">
        <v>15</v>
      </c>
      <c r="D20">
        <v>5</v>
      </c>
      <c r="E20">
        <v>2.4</v>
      </c>
      <c r="F20">
        <v>195125</v>
      </c>
      <c r="G20" s="9" t="str">
        <f t="shared" si="0"/>
        <v>HIGH</v>
      </c>
    </row>
    <row r="21" spans="1:7" x14ac:dyDescent="0.3">
      <c r="A21" t="s">
        <v>158</v>
      </c>
      <c r="B21" t="s">
        <v>18</v>
      </c>
      <c r="C21" t="s">
        <v>32</v>
      </c>
      <c r="D21">
        <v>5</v>
      </c>
      <c r="E21">
        <v>1.6</v>
      </c>
      <c r="F21">
        <v>194310</v>
      </c>
      <c r="G21" s="9" t="str">
        <f t="shared" si="0"/>
        <v>HIGH</v>
      </c>
    </row>
    <row r="22" spans="1:7" x14ac:dyDescent="0.3">
      <c r="A22" t="s">
        <v>124</v>
      </c>
      <c r="B22" t="s">
        <v>23</v>
      </c>
      <c r="C22" t="s">
        <v>32</v>
      </c>
      <c r="D22">
        <v>5</v>
      </c>
      <c r="E22">
        <v>2.6</v>
      </c>
      <c r="F22">
        <v>180030</v>
      </c>
      <c r="G22" t="str">
        <f t="shared" si="0"/>
        <v>MEDIUM</v>
      </c>
    </row>
    <row r="23" spans="1:7" x14ac:dyDescent="0.3">
      <c r="A23" t="s">
        <v>900</v>
      </c>
      <c r="B23" t="s">
        <v>12</v>
      </c>
      <c r="C23" t="s">
        <v>32</v>
      </c>
      <c r="D23">
        <v>5</v>
      </c>
      <c r="E23">
        <v>3.4</v>
      </c>
      <c r="F23">
        <v>179180</v>
      </c>
      <c r="G23" t="str">
        <f t="shared" si="0"/>
        <v>MEDIUM</v>
      </c>
    </row>
    <row r="24" spans="1:7" x14ac:dyDescent="0.3">
      <c r="A24" t="s">
        <v>948</v>
      </c>
      <c r="B24" t="s">
        <v>18</v>
      </c>
      <c r="C24" t="s">
        <v>15</v>
      </c>
      <c r="D24">
        <v>5</v>
      </c>
      <c r="E24">
        <v>2.4</v>
      </c>
      <c r="F24">
        <v>170700</v>
      </c>
      <c r="G24" s="9" t="str">
        <f t="shared" si="0"/>
        <v>HIGH</v>
      </c>
    </row>
  </sheetData>
  <conditionalFormatting sqref="G5:G24">
    <cfRule type="containsText" dxfId="2" priority="1" operator="containsText" text="HIGH">
      <formula>NOT(ISERROR(SEARCH("HIGH",G5)))</formula>
    </cfRule>
    <cfRule type="containsText" dxfId="1" priority="2" operator="containsText" text="MEDIUM">
      <formula>NOT(ISERROR(SEARCH("MEDIUM",G5)))</formula>
    </cfRule>
    <cfRule type="containsText" dxfId="0" priority="3" operator="containsText" text="HIGH">
      <formula>NOT(ISERROR(SEARCH("HIGH",G5)))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B4A9-D02A-48C1-BCAD-74C66B8DC638}">
  <dimension ref="A1:N5001"/>
  <sheetViews>
    <sheetView topLeftCell="A1394" workbookViewId="0">
      <selection activeCell="K6" sqref="K6"/>
    </sheetView>
  </sheetViews>
  <sheetFormatPr defaultRowHeight="14.4" x14ac:dyDescent="0.3"/>
  <cols>
    <col min="3" max="3" width="13.88671875" style="1" customWidth="1"/>
    <col min="4" max="4" width="13.21875" style="1" customWidth="1"/>
    <col min="5" max="5" width="13.109375" customWidth="1"/>
    <col min="7" max="7" width="16.21875" style="12" customWidth="1"/>
    <col min="8" max="8" width="9.5546875" style="12" bestFit="1" customWidth="1"/>
    <col min="11" max="11" width="11" customWidth="1"/>
    <col min="12" max="12" width="12.6640625" customWidth="1"/>
    <col min="13" max="13" width="12.21875" customWidth="1"/>
  </cols>
  <sheetData>
    <row r="1" spans="1:14" x14ac:dyDescent="0.3">
      <c r="A1" t="s">
        <v>1037</v>
      </c>
      <c r="B1" t="s">
        <v>0</v>
      </c>
      <c r="C1" s="1" t="s">
        <v>1038</v>
      </c>
      <c r="D1" s="1" t="s">
        <v>1039</v>
      </c>
      <c r="E1" t="s">
        <v>6</v>
      </c>
      <c r="F1" t="s">
        <v>7</v>
      </c>
      <c r="G1" s="12" t="s">
        <v>1040</v>
      </c>
      <c r="H1" s="12" t="s">
        <v>1041</v>
      </c>
      <c r="I1" t="s">
        <v>8</v>
      </c>
      <c r="J1" t="s">
        <v>1042</v>
      </c>
      <c r="K1" t="s">
        <v>1043</v>
      </c>
      <c r="L1" t="s">
        <v>9</v>
      </c>
      <c r="M1" t="s">
        <v>1044</v>
      </c>
      <c r="N1" t="s">
        <v>1045</v>
      </c>
    </row>
    <row r="2" spans="1:14" x14ac:dyDescent="0.3">
      <c r="A2" t="s">
        <v>1046</v>
      </c>
      <c r="B2" t="s">
        <v>478</v>
      </c>
      <c r="C2" s="1">
        <v>45283</v>
      </c>
      <c r="D2" s="1">
        <v>45394</v>
      </c>
      <c r="E2" t="s">
        <v>32</v>
      </c>
      <c r="F2">
        <v>14</v>
      </c>
      <c r="G2" s="12">
        <v>2786</v>
      </c>
      <c r="H2" s="12">
        <v>33432</v>
      </c>
      <c r="I2" t="b">
        <v>0</v>
      </c>
      <c r="J2" t="b">
        <v>0</v>
      </c>
      <c r="K2" t="b">
        <v>0</v>
      </c>
      <c r="L2" t="b">
        <v>1</v>
      </c>
      <c r="M2" t="s">
        <v>1047</v>
      </c>
      <c r="N2" t="b">
        <v>1</v>
      </c>
    </row>
    <row r="3" spans="1:14" x14ac:dyDescent="0.3">
      <c r="A3" t="s">
        <v>1048</v>
      </c>
      <c r="B3" t="s">
        <v>172</v>
      </c>
      <c r="C3" s="1">
        <v>45454</v>
      </c>
      <c r="E3" t="s">
        <v>39</v>
      </c>
      <c r="F3">
        <v>17</v>
      </c>
      <c r="G3" s="12">
        <v>833</v>
      </c>
      <c r="H3" s="12">
        <v>9996</v>
      </c>
      <c r="I3" t="b">
        <v>0</v>
      </c>
      <c r="J3" t="b">
        <v>0</v>
      </c>
      <c r="K3" t="b">
        <v>0</v>
      </c>
      <c r="L3" t="b">
        <v>0</v>
      </c>
      <c r="M3" t="s">
        <v>1047</v>
      </c>
      <c r="N3" t="b">
        <v>1</v>
      </c>
    </row>
    <row r="4" spans="1:14" x14ac:dyDescent="0.3">
      <c r="A4" t="s">
        <v>1049</v>
      </c>
      <c r="B4" t="s">
        <v>864</v>
      </c>
      <c r="C4" s="1">
        <v>45621</v>
      </c>
      <c r="E4" t="s">
        <v>32</v>
      </c>
      <c r="F4">
        <v>62</v>
      </c>
      <c r="G4" s="12">
        <v>0</v>
      </c>
      <c r="H4" s="12">
        <v>0</v>
      </c>
      <c r="I4" t="b">
        <v>1</v>
      </c>
      <c r="J4" t="b">
        <v>1</v>
      </c>
      <c r="K4" t="b">
        <v>0</v>
      </c>
      <c r="L4" t="b">
        <v>0</v>
      </c>
      <c r="M4" t="s">
        <v>1050</v>
      </c>
      <c r="N4" t="b">
        <v>0</v>
      </c>
    </row>
    <row r="5" spans="1:14" x14ac:dyDescent="0.3">
      <c r="A5" t="s">
        <v>1051</v>
      </c>
      <c r="B5" t="s">
        <v>620</v>
      </c>
      <c r="C5" s="1">
        <v>45619</v>
      </c>
      <c r="D5" s="1">
        <v>45639</v>
      </c>
      <c r="E5" t="s">
        <v>32</v>
      </c>
      <c r="F5">
        <v>5</v>
      </c>
      <c r="G5" s="12">
        <v>995</v>
      </c>
      <c r="H5" s="12">
        <v>11940</v>
      </c>
      <c r="I5" t="b">
        <v>0</v>
      </c>
      <c r="J5" t="b">
        <v>0</v>
      </c>
      <c r="K5" t="b">
        <v>0</v>
      </c>
      <c r="L5" t="b">
        <v>1</v>
      </c>
      <c r="M5" t="s">
        <v>1047</v>
      </c>
      <c r="N5" t="b">
        <v>1</v>
      </c>
    </row>
    <row r="6" spans="1:14" x14ac:dyDescent="0.3">
      <c r="A6" t="s">
        <v>1052</v>
      </c>
      <c r="B6" t="s">
        <v>338</v>
      </c>
      <c r="C6" s="1">
        <v>45301</v>
      </c>
      <c r="E6" t="s">
        <v>32</v>
      </c>
      <c r="F6">
        <v>27</v>
      </c>
      <c r="G6" s="12">
        <v>5373</v>
      </c>
      <c r="H6" s="12">
        <v>64476</v>
      </c>
      <c r="I6" t="b">
        <v>0</v>
      </c>
      <c r="J6" t="b">
        <v>0</v>
      </c>
      <c r="K6" t="b">
        <v>0</v>
      </c>
      <c r="L6" t="b">
        <v>0</v>
      </c>
      <c r="M6" t="s">
        <v>1047</v>
      </c>
      <c r="N6" t="b">
        <v>1</v>
      </c>
    </row>
    <row r="7" spans="1:14" x14ac:dyDescent="0.3">
      <c r="A7" t="s">
        <v>1053</v>
      </c>
      <c r="B7" t="s">
        <v>452</v>
      </c>
      <c r="C7" s="1">
        <v>45517</v>
      </c>
      <c r="E7" t="s">
        <v>39</v>
      </c>
      <c r="F7">
        <v>15</v>
      </c>
      <c r="G7" s="12">
        <v>735</v>
      </c>
      <c r="H7" s="12">
        <v>8820</v>
      </c>
      <c r="I7" t="b">
        <v>0</v>
      </c>
      <c r="J7" t="b">
        <v>0</v>
      </c>
      <c r="K7" t="b">
        <v>0</v>
      </c>
      <c r="L7" t="b">
        <v>0</v>
      </c>
      <c r="M7" t="s">
        <v>1047</v>
      </c>
      <c r="N7" t="b">
        <v>1</v>
      </c>
    </row>
    <row r="8" spans="1:14" x14ac:dyDescent="0.3">
      <c r="A8" t="s">
        <v>1054</v>
      </c>
      <c r="B8" t="s">
        <v>600</v>
      </c>
      <c r="C8" s="1">
        <v>45290</v>
      </c>
      <c r="E8" t="s">
        <v>32</v>
      </c>
      <c r="F8">
        <v>4</v>
      </c>
      <c r="G8" s="12">
        <v>796</v>
      </c>
      <c r="H8" s="12">
        <v>9552</v>
      </c>
      <c r="I8" t="b">
        <v>0</v>
      </c>
      <c r="J8" t="b">
        <v>0</v>
      </c>
      <c r="K8" t="b">
        <v>0</v>
      </c>
      <c r="L8" t="b">
        <v>0</v>
      </c>
      <c r="M8" t="s">
        <v>1050</v>
      </c>
      <c r="N8" t="b">
        <v>1</v>
      </c>
    </row>
    <row r="9" spans="1:14" x14ac:dyDescent="0.3">
      <c r="A9" t="s">
        <v>1055</v>
      </c>
      <c r="B9" t="s">
        <v>598</v>
      </c>
      <c r="C9" s="1">
        <v>45649</v>
      </c>
      <c r="E9" t="s">
        <v>15</v>
      </c>
      <c r="F9">
        <v>16</v>
      </c>
      <c r="G9" s="12">
        <v>304</v>
      </c>
      <c r="H9" s="12">
        <v>3648</v>
      </c>
      <c r="I9" t="b">
        <v>0</v>
      </c>
      <c r="J9" t="b">
        <v>0</v>
      </c>
      <c r="K9" t="b">
        <v>0</v>
      </c>
      <c r="L9" t="b">
        <v>0</v>
      </c>
      <c r="M9" t="s">
        <v>1050</v>
      </c>
      <c r="N9" t="b">
        <v>1</v>
      </c>
    </row>
    <row r="10" spans="1:14" x14ac:dyDescent="0.3">
      <c r="A10" t="s">
        <v>1056</v>
      </c>
      <c r="B10" t="s">
        <v>994</v>
      </c>
      <c r="C10" s="1">
        <v>45623</v>
      </c>
      <c r="E10" t="s">
        <v>32</v>
      </c>
      <c r="F10">
        <v>23</v>
      </c>
      <c r="G10" s="12">
        <v>4577</v>
      </c>
      <c r="H10" s="12">
        <v>54924</v>
      </c>
      <c r="I10" t="b">
        <v>0</v>
      </c>
      <c r="J10" t="b">
        <v>0</v>
      </c>
      <c r="K10" t="b">
        <v>0</v>
      </c>
      <c r="L10" t="b">
        <v>0</v>
      </c>
      <c r="M10" t="s">
        <v>1050</v>
      </c>
      <c r="N10" t="b">
        <v>0</v>
      </c>
    </row>
    <row r="11" spans="1:14" x14ac:dyDescent="0.3">
      <c r="A11" t="s">
        <v>1057</v>
      </c>
      <c r="B11" t="s">
        <v>834</v>
      </c>
      <c r="C11" s="1">
        <v>45592</v>
      </c>
      <c r="E11" t="s">
        <v>39</v>
      </c>
      <c r="F11">
        <v>22</v>
      </c>
      <c r="G11" s="12">
        <v>1078</v>
      </c>
      <c r="H11" s="12">
        <v>12936</v>
      </c>
      <c r="I11" t="b">
        <v>0</v>
      </c>
      <c r="J11" t="b">
        <v>0</v>
      </c>
      <c r="K11" t="b">
        <v>0</v>
      </c>
      <c r="L11" t="b">
        <v>0</v>
      </c>
      <c r="M11" t="s">
        <v>1050</v>
      </c>
      <c r="N11" t="b">
        <v>0</v>
      </c>
    </row>
    <row r="12" spans="1:14" x14ac:dyDescent="0.3">
      <c r="A12" t="s">
        <v>1058</v>
      </c>
      <c r="B12" t="s">
        <v>448</v>
      </c>
      <c r="C12" s="1">
        <v>45328</v>
      </c>
      <c r="E12" t="s">
        <v>39</v>
      </c>
      <c r="F12">
        <v>27</v>
      </c>
      <c r="G12" s="12">
        <v>1323</v>
      </c>
      <c r="H12" s="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1050</v>
      </c>
      <c r="N12" t="b">
        <v>1</v>
      </c>
    </row>
    <row r="13" spans="1:14" x14ac:dyDescent="0.3">
      <c r="A13" t="s">
        <v>1059</v>
      </c>
      <c r="B13" t="s">
        <v>218</v>
      </c>
      <c r="C13" s="1">
        <v>45651</v>
      </c>
      <c r="E13" t="s">
        <v>32</v>
      </c>
      <c r="F13">
        <v>22</v>
      </c>
      <c r="G13" s="12">
        <v>0</v>
      </c>
      <c r="H13" s="12">
        <v>0</v>
      </c>
      <c r="I13" t="b">
        <v>1</v>
      </c>
      <c r="J13" t="b">
        <v>0</v>
      </c>
      <c r="K13" t="b">
        <v>0</v>
      </c>
      <c r="L13" t="b">
        <v>0</v>
      </c>
      <c r="M13" t="s">
        <v>1050</v>
      </c>
      <c r="N13" t="b">
        <v>1</v>
      </c>
    </row>
    <row r="14" spans="1:14" x14ac:dyDescent="0.3">
      <c r="A14" t="s">
        <v>1060</v>
      </c>
      <c r="B14" t="s">
        <v>276</v>
      </c>
      <c r="C14" s="1">
        <v>45186</v>
      </c>
      <c r="E14" t="s">
        <v>39</v>
      </c>
      <c r="F14">
        <v>26</v>
      </c>
      <c r="G14" s="12">
        <v>1274</v>
      </c>
      <c r="H14" s="12">
        <v>15288</v>
      </c>
      <c r="I14" t="b">
        <v>0</v>
      </c>
      <c r="J14" t="b">
        <v>1</v>
      </c>
      <c r="K14" t="b">
        <v>1</v>
      </c>
      <c r="L14" t="b">
        <v>0</v>
      </c>
      <c r="M14" t="s">
        <v>1047</v>
      </c>
      <c r="N14" t="b">
        <v>1</v>
      </c>
    </row>
    <row r="15" spans="1:14" x14ac:dyDescent="0.3">
      <c r="A15" t="s">
        <v>1061</v>
      </c>
      <c r="B15" t="s">
        <v>854</v>
      </c>
      <c r="C15" s="1">
        <v>45490</v>
      </c>
      <c r="E15" t="s">
        <v>15</v>
      </c>
      <c r="F15">
        <v>39</v>
      </c>
      <c r="G15" s="12">
        <v>741</v>
      </c>
      <c r="H15" s="12">
        <v>8892</v>
      </c>
      <c r="I15" t="b">
        <v>0</v>
      </c>
      <c r="J15" t="b">
        <v>0</v>
      </c>
      <c r="K15" t="b">
        <v>0</v>
      </c>
      <c r="L15" t="b">
        <v>0</v>
      </c>
      <c r="M15" t="s">
        <v>1050</v>
      </c>
      <c r="N15" t="b">
        <v>1</v>
      </c>
    </row>
    <row r="16" spans="1:14" x14ac:dyDescent="0.3">
      <c r="A16" t="s">
        <v>1062</v>
      </c>
      <c r="B16" t="s">
        <v>1020</v>
      </c>
      <c r="C16" s="1">
        <v>45577</v>
      </c>
      <c r="E16" t="s">
        <v>32</v>
      </c>
      <c r="F16">
        <v>88</v>
      </c>
      <c r="G16" s="12">
        <v>0</v>
      </c>
      <c r="H16" s="12">
        <v>0</v>
      </c>
      <c r="I16" t="b">
        <v>1</v>
      </c>
      <c r="J16" t="b">
        <v>0</v>
      </c>
      <c r="K16" t="b">
        <v>0</v>
      </c>
      <c r="L16" t="b">
        <v>0</v>
      </c>
      <c r="M16" t="s">
        <v>1047</v>
      </c>
      <c r="N16" t="b">
        <v>1</v>
      </c>
    </row>
    <row r="17" spans="1:14" x14ac:dyDescent="0.3">
      <c r="A17" t="s">
        <v>1063</v>
      </c>
      <c r="B17" t="s">
        <v>426</v>
      </c>
      <c r="C17" s="1">
        <v>45553</v>
      </c>
      <c r="E17" t="s">
        <v>39</v>
      </c>
      <c r="F17">
        <v>45</v>
      </c>
      <c r="G17" s="12">
        <v>2205</v>
      </c>
      <c r="H17" s="12">
        <v>26460</v>
      </c>
      <c r="I17" t="b">
        <v>0</v>
      </c>
      <c r="J17" t="b">
        <v>0</v>
      </c>
      <c r="K17" t="b">
        <v>0</v>
      </c>
      <c r="L17" t="b">
        <v>0</v>
      </c>
      <c r="M17" t="s">
        <v>1047</v>
      </c>
      <c r="N17" t="b">
        <v>1</v>
      </c>
    </row>
    <row r="18" spans="1:14" x14ac:dyDescent="0.3">
      <c r="A18" t="s">
        <v>1064</v>
      </c>
      <c r="B18" t="s">
        <v>368</v>
      </c>
      <c r="C18" s="1">
        <v>45128</v>
      </c>
      <c r="D18" s="1">
        <v>45507</v>
      </c>
      <c r="E18" t="s">
        <v>39</v>
      </c>
      <c r="F18">
        <v>34</v>
      </c>
      <c r="G18" s="12">
        <v>0</v>
      </c>
      <c r="H18" s="12">
        <v>0</v>
      </c>
      <c r="I18" t="b">
        <v>1</v>
      </c>
      <c r="J18" t="b">
        <v>0</v>
      </c>
      <c r="K18" t="b">
        <v>0</v>
      </c>
      <c r="L18" t="b">
        <v>1</v>
      </c>
      <c r="M18" t="s">
        <v>1047</v>
      </c>
      <c r="N18" t="b">
        <v>1</v>
      </c>
    </row>
    <row r="19" spans="1:14" x14ac:dyDescent="0.3">
      <c r="A19" t="s">
        <v>1065</v>
      </c>
      <c r="B19" t="s">
        <v>578</v>
      </c>
      <c r="C19" s="1">
        <v>45449</v>
      </c>
      <c r="D19" s="1">
        <v>45517</v>
      </c>
      <c r="E19" t="s">
        <v>15</v>
      </c>
      <c r="F19">
        <v>8</v>
      </c>
      <c r="G19" s="12">
        <v>152</v>
      </c>
      <c r="H19" s="12">
        <v>1824</v>
      </c>
      <c r="I19" t="b">
        <v>0</v>
      </c>
      <c r="J19" t="b">
        <v>0</v>
      </c>
      <c r="K19" t="b">
        <v>0</v>
      </c>
      <c r="L19" t="b">
        <v>1</v>
      </c>
      <c r="M19" t="s">
        <v>1050</v>
      </c>
      <c r="N19" t="b">
        <v>0</v>
      </c>
    </row>
    <row r="20" spans="1:14" x14ac:dyDescent="0.3">
      <c r="A20" t="s">
        <v>1066</v>
      </c>
      <c r="B20" t="s">
        <v>718</v>
      </c>
      <c r="C20" s="1">
        <v>45407</v>
      </c>
      <c r="E20" t="s">
        <v>15</v>
      </c>
      <c r="F20">
        <v>5</v>
      </c>
      <c r="G20" s="12">
        <v>95</v>
      </c>
      <c r="H20" s="12">
        <v>1140</v>
      </c>
      <c r="I20" t="b">
        <v>0</v>
      </c>
      <c r="J20" t="b">
        <v>0</v>
      </c>
      <c r="K20" t="b">
        <v>0</v>
      </c>
      <c r="L20" t="b">
        <v>0</v>
      </c>
      <c r="M20" t="s">
        <v>1047</v>
      </c>
      <c r="N20" t="b">
        <v>1</v>
      </c>
    </row>
    <row r="21" spans="1:14" x14ac:dyDescent="0.3">
      <c r="A21" t="s">
        <v>1067</v>
      </c>
      <c r="B21" t="s">
        <v>852</v>
      </c>
      <c r="C21" s="1">
        <v>45357</v>
      </c>
      <c r="E21" t="s">
        <v>39</v>
      </c>
      <c r="F21">
        <v>8</v>
      </c>
      <c r="G21" s="12">
        <v>392</v>
      </c>
      <c r="H21" s="12">
        <v>4704</v>
      </c>
      <c r="I21" t="b">
        <v>0</v>
      </c>
      <c r="J21" t="b">
        <v>0</v>
      </c>
      <c r="K21" t="b">
        <v>0</v>
      </c>
      <c r="L21" t="b">
        <v>0</v>
      </c>
      <c r="M21" t="s">
        <v>1047</v>
      </c>
      <c r="N21" t="b">
        <v>1</v>
      </c>
    </row>
    <row r="22" spans="1:14" x14ac:dyDescent="0.3">
      <c r="A22" t="s">
        <v>1068</v>
      </c>
      <c r="B22" t="s">
        <v>920</v>
      </c>
      <c r="C22" s="1">
        <v>45382</v>
      </c>
      <c r="E22" t="s">
        <v>39</v>
      </c>
      <c r="F22">
        <v>21</v>
      </c>
      <c r="G22" s="12">
        <v>0</v>
      </c>
      <c r="H22" s="12">
        <v>0</v>
      </c>
      <c r="I22" t="b">
        <v>1</v>
      </c>
      <c r="J22" t="b">
        <v>0</v>
      </c>
      <c r="K22" t="b">
        <v>0</v>
      </c>
      <c r="L22" t="b">
        <v>0</v>
      </c>
      <c r="M22" t="s">
        <v>1047</v>
      </c>
      <c r="N22" t="b">
        <v>1</v>
      </c>
    </row>
    <row r="23" spans="1:14" x14ac:dyDescent="0.3">
      <c r="A23" t="s">
        <v>1069</v>
      </c>
      <c r="B23" t="s">
        <v>246</v>
      </c>
      <c r="C23" s="1">
        <v>45630</v>
      </c>
      <c r="D23" s="1">
        <v>45653</v>
      </c>
      <c r="E23" t="s">
        <v>15</v>
      </c>
      <c r="F23">
        <v>61</v>
      </c>
      <c r="G23" s="12">
        <v>1159</v>
      </c>
      <c r="H23" s="12">
        <v>13908</v>
      </c>
      <c r="I23" t="b">
        <v>0</v>
      </c>
      <c r="J23" t="b">
        <v>0</v>
      </c>
      <c r="K23" t="b">
        <v>0</v>
      </c>
      <c r="L23" t="b">
        <v>1</v>
      </c>
      <c r="M23" t="s">
        <v>1047</v>
      </c>
      <c r="N23" t="b">
        <v>1</v>
      </c>
    </row>
    <row r="24" spans="1:14" x14ac:dyDescent="0.3">
      <c r="A24" t="s">
        <v>1070</v>
      </c>
      <c r="B24" t="s">
        <v>794</v>
      </c>
      <c r="C24" s="1">
        <v>45626</v>
      </c>
      <c r="E24" t="s">
        <v>15</v>
      </c>
      <c r="F24">
        <v>31</v>
      </c>
      <c r="G24" s="12">
        <v>589</v>
      </c>
      <c r="H24" s="12">
        <v>7068</v>
      </c>
      <c r="I24" t="b">
        <v>0</v>
      </c>
      <c r="J24" t="b">
        <v>0</v>
      </c>
      <c r="K24" t="b">
        <v>0</v>
      </c>
      <c r="L24" t="b">
        <v>0</v>
      </c>
      <c r="M24" t="s">
        <v>1047</v>
      </c>
      <c r="N24" t="b">
        <v>1</v>
      </c>
    </row>
    <row r="25" spans="1:14" x14ac:dyDescent="0.3">
      <c r="A25" t="s">
        <v>1071</v>
      </c>
      <c r="B25" t="s">
        <v>436</v>
      </c>
      <c r="C25" s="1">
        <v>45331</v>
      </c>
      <c r="E25" t="s">
        <v>32</v>
      </c>
      <c r="F25">
        <v>97</v>
      </c>
      <c r="G25" s="12">
        <v>19303</v>
      </c>
      <c r="H25" s="12">
        <v>231636</v>
      </c>
      <c r="I25" t="b">
        <v>0</v>
      </c>
      <c r="J25" t="b">
        <v>0</v>
      </c>
      <c r="K25" t="b">
        <v>0</v>
      </c>
      <c r="L25" t="b">
        <v>0</v>
      </c>
      <c r="M25" t="s">
        <v>1050</v>
      </c>
      <c r="N25" t="b">
        <v>1</v>
      </c>
    </row>
    <row r="26" spans="1:14" x14ac:dyDescent="0.3">
      <c r="A26" t="s">
        <v>1072</v>
      </c>
      <c r="B26" t="s">
        <v>824</v>
      </c>
      <c r="C26" s="1">
        <v>45347</v>
      </c>
      <c r="E26" t="s">
        <v>39</v>
      </c>
      <c r="F26">
        <v>17</v>
      </c>
      <c r="G26" s="12">
        <v>833</v>
      </c>
      <c r="H26" s="12">
        <v>9996</v>
      </c>
      <c r="I26" t="b">
        <v>0</v>
      </c>
      <c r="J26" t="b">
        <v>0</v>
      </c>
      <c r="K26" t="b">
        <v>0</v>
      </c>
      <c r="L26" t="b">
        <v>0</v>
      </c>
      <c r="M26" t="s">
        <v>1050</v>
      </c>
      <c r="N26" t="b">
        <v>1</v>
      </c>
    </row>
    <row r="27" spans="1:14" x14ac:dyDescent="0.3">
      <c r="A27" t="s">
        <v>1073</v>
      </c>
      <c r="B27" t="s">
        <v>576</v>
      </c>
      <c r="C27" s="1">
        <v>45572</v>
      </c>
      <c r="E27" t="s">
        <v>39</v>
      </c>
      <c r="F27">
        <v>8</v>
      </c>
      <c r="G27" s="12">
        <v>392</v>
      </c>
      <c r="H27" s="12">
        <v>4704</v>
      </c>
      <c r="I27" t="b">
        <v>0</v>
      </c>
      <c r="J27" t="b">
        <v>0</v>
      </c>
      <c r="K27" t="b">
        <v>0</v>
      </c>
      <c r="L27" t="b">
        <v>0</v>
      </c>
      <c r="M27" t="s">
        <v>1050</v>
      </c>
      <c r="N27" t="b">
        <v>0</v>
      </c>
    </row>
    <row r="28" spans="1:14" x14ac:dyDescent="0.3">
      <c r="A28" t="s">
        <v>1074</v>
      </c>
      <c r="B28" t="s">
        <v>398</v>
      </c>
      <c r="C28" s="1">
        <v>45519</v>
      </c>
      <c r="E28" t="s">
        <v>39</v>
      </c>
      <c r="F28">
        <v>16</v>
      </c>
      <c r="G28" s="12">
        <v>784</v>
      </c>
      <c r="H28" s="12">
        <v>9408</v>
      </c>
      <c r="I28" t="b">
        <v>0</v>
      </c>
      <c r="J28" t="b">
        <v>0</v>
      </c>
      <c r="K28" t="b">
        <v>0</v>
      </c>
      <c r="L28" t="b">
        <v>0</v>
      </c>
      <c r="M28" t="s">
        <v>1050</v>
      </c>
      <c r="N28" t="b">
        <v>1</v>
      </c>
    </row>
    <row r="29" spans="1:14" x14ac:dyDescent="0.3">
      <c r="A29" t="s">
        <v>1075</v>
      </c>
      <c r="B29" t="s">
        <v>130</v>
      </c>
      <c r="C29" s="1">
        <v>45599</v>
      </c>
      <c r="E29" t="s">
        <v>39</v>
      </c>
      <c r="F29">
        <v>50</v>
      </c>
      <c r="G29" s="12">
        <v>2450</v>
      </c>
      <c r="H29" s="12">
        <v>29400</v>
      </c>
      <c r="I29" t="b">
        <v>0</v>
      </c>
      <c r="J29" t="b">
        <v>0</v>
      </c>
      <c r="K29" t="b">
        <v>0</v>
      </c>
      <c r="L29" t="b">
        <v>0</v>
      </c>
      <c r="M29" t="s">
        <v>1047</v>
      </c>
      <c r="N29" t="b">
        <v>0</v>
      </c>
    </row>
    <row r="30" spans="1:14" x14ac:dyDescent="0.3">
      <c r="A30" t="s">
        <v>1076</v>
      </c>
      <c r="B30" t="s">
        <v>408</v>
      </c>
      <c r="C30" s="1">
        <v>45505</v>
      </c>
      <c r="E30" t="s">
        <v>39</v>
      </c>
      <c r="F30">
        <v>11</v>
      </c>
      <c r="G30" s="12">
        <v>539</v>
      </c>
      <c r="H30" s="12">
        <v>6468</v>
      </c>
      <c r="I30" t="b">
        <v>0</v>
      </c>
      <c r="J30" t="b">
        <v>0</v>
      </c>
      <c r="K30" t="b">
        <v>0</v>
      </c>
      <c r="L30" t="b">
        <v>0</v>
      </c>
      <c r="M30" t="s">
        <v>1047</v>
      </c>
      <c r="N30" t="b">
        <v>0</v>
      </c>
    </row>
    <row r="31" spans="1:14" x14ac:dyDescent="0.3">
      <c r="A31" t="s">
        <v>1077</v>
      </c>
      <c r="B31" t="s">
        <v>606</v>
      </c>
      <c r="C31" s="1">
        <v>45526</v>
      </c>
      <c r="D31" s="1">
        <v>45563</v>
      </c>
      <c r="E31" t="s">
        <v>32</v>
      </c>
      <c r="F31">
        <v>31</v>
      </c>
      <c r="G31" s="12">
        <v>6169</v>
      </c>
      <c r="H31" s="12">
        <v>74028</v>
      </c>
      <c r="I31" t="b">
        <v>0</v>
      </c>
      <c r="J31" t="b">
        <v>0</v>
      </c>
      <c r="K31" t="b">
        <v>0</v>
      </c>
      <c r="L31" t="b">
        <v>1</v>
      </c>
      <c r="M31" t="s">
        <v>1047</v>
      </c>
      <c r="N31" t="b">
        <v>1</v>
      </c>
    </row>
    <row r="32" spans="1:14" x14ac:dyDescent="0.3">
      <c r="A32" t="s">
        <v>1078</v>
      </c>
      <c r="B32" t="s">
        <v>296</v>
      </c>
      <c r="C32" s="1">
        <v>45454</v>
      </c>
      <c r="E32" t="s">
        <v>32</v>
      </c>
      <c r="F32">
        <v>28</v>
      </c>
      <c r="G32" s="12">
        <v>5572</v>
      </c>
      <c r="H32" s="12">
        <v>66864</v>
      </c>
      <c r="I32" t="b">
        <v>0</v>
      </c>
      <c r="J32" t="b">
        <v>0</v>
      </c>
      <c r="K32" t="b">
        <v>0</v>
      </c>
      <c r="L32" t="b">
        <v>0</v>
      </c>
      <c r="M32" t="s">
        <v>1050</v>
      </c>
      <c r="N32" t="b">
        <v>0</v>
      </c>
    </row>
    <row r="33" spans="1:14" x14ac:dyDescent="0.3">
      <c r="A33" t="s">
        <v>1079</v>
      </c>
      <c r="B33" t="s">
        <v>332</v>
      </c>
      <c r="C33" s="1">
        <v>45093</v>
      </c>
      <c r="E33" t="s">
        <v>15</v>
      </c>
      <c r="F33">
        <v>51</v>
      </c>
      <c r="G33" s="12">
        <v>969</v>
      </c>
      <c r="H33" s="12">
        <v>11628</v>
      </c>
      <c r="I33" t="b">
        <v>0</v>
      </c>
      <c r="J33" t="b">
        <v>0</v>
      </c>
      <c r="K33" t="b">
        <v>0</v>
      </c>
      <c r="L33" t="b">
        <v>0</v>
      </c>
      <c r="M33" t="s">
        <v>1050</v>
      </c>
      <c r="N33" t="b">
        <v>1</v>
      </c>
    </row>
    <row r="34" spans="1:14" x14ac:dyDescent="0.3">
      <c r="A34" t="s">
        <v>1080</v>
      </c>
      <c r="B34" t="s">
        <v>264</v>
      </c>
      <c r="C34" s="1">
        <v>45471</v>
      </c>
      <c r="E34" t="s">
        <v>32</v>
      </c>
      <c r="F34">
        <v>38</v>
      </c>
      <c r="G34" s="12">
        <v>0</v>
      </c>
      <c r="H34" s="12">
        <v>0</v>
      </c>
      <c r="I34" t="b">
        <v>1</v>
      </c>
      <c r="J34" t="b">
        <v>1</v>
      </c>
      <c r="K34" t="b">
        <v>1</v>
      </c>
      <c r="L34" t="b">
        <v>0</v>
      </c>
      <c r="M34" t="s">
        <v>1047</v>
      </c>
      <c r="N34" t="b">
        <v>1</v>
      </c>
    </row>
    <row r="35" spans="1:14" x14ac:dyDescent="0.3">
      <c r="A35" t="s">
        <v>1081</v>
      </c>
      <c r="B35" t="s">
        <v>540</v>
      </c>
      <c r="C35" s="1">
        <v>45651</v>
      </c>
      <c r="E35" t="s">
        <v>32</v>
      </c>
      <c r="F35">
        <v>65</v>
      </c>
      <c r="G35" s="12">
        <v>12935</v>
      </c>
      <c r="H35" s="12">
        <v>155220</v>
      </c>
      <c r="I35" t="b">
        <v>0</v>
      </c>
      <c r="J35" t="b">
        <v>0</v>
      </c>
      <c r="K35" t="b">
        <v>0</v>
      </c>
      <c r="L35" t="b">
        <v>0</v>
      </c>
      <c r="M35" t="s">
        <v>1050</v>
      </c>
      <c r="N35" t="b">
        <v>1</v>
      </c>
    </row>
    <row r="36" spans="1:14" x14ac:dyDescent="0.3">
      <c r="A36" t="s">
        <v>1082</v>
      </c>
      <c r="B36" t="s">
        <v>292</v>
      </c>
      <c r="C36" s="1">
        <v>45654</v>
      </c>
      <c r="E36" t="s">
        <v>32</v>
      </c>
      <c r="F36">
        <v>29</v>
      </c>
      <c r="G36" s="12">
        <v>0</v>
      </c>
      <c r="H36" s="12">
        <v>0</v>
      </c>
      <c r="I36" t="b">
        <v>1</v>
      </c>
      <c r="J36" t="b">
        <v>0</v>
      </c>
      <c r="K36" t="b">
        <v>0</v>
      </c>
      <c r="L36" t="b">
        <v>0</v>
      </c>
      <c r="M36" t="s">
        <v>1050</v>
      </c>
      <c r="N36" t="b">
        <v>1</v>
      </c>
    </row>
    <row r="37" spans="1:14" x14ac:dyDescent="0.3">
      <c r="A37" t="s">
        <v>1083</v>
      </c>
      <c r="B37" t="s">
        <v>500</v>
      </c>
      <c r="C37" s="1">
        <v>45464</v>
      </c>
      <c r="E37" t="s">
        <v>32</v>
      </c>
      <c r="F37">
        <v>92</v>
      </c>
      <c r="G37" s="12">
        <v>0</v>
      </c>
      <c r="H37" s="12">
        <v>0</v>
      </c>
      <c r="I37" t="b">
        <v>1</v>
      </c>
      <c r="J37" t="b">
        <v>0</v>
      </c>
      <c r="K37" t="b">
        <v>0</v>
      </c>
      <c r="L37" t="b">
        <v>0</v>
      </c>
      <c r="M37" t="s">
        <v>1050</v>
      </c>
      <c r="N37" t="b">
        <v>0</v>
      </c>
    </row>
    <row r="38" spans="1:14" x14ac:dyDescent="0.3">
      <c r="A38" t="s">
        <v>1084</v>
      </c>
      <c r="B38" t="s">
        <v>202</v>
      </c>
      <c r="C38" s="1">
        <v>45334</v>
      </c>
      <c r="E38" t="s">
        <v>32</v>
      </c>
      <c r="F38">
        <v>16</v>
      </c>
      <c r="G38" s="12">
        <v>3184</v>
      </c>
      <c r="H38" s="12">
        <v>38208</v>
      </c>
      <c r="I38" t="b">
        <v>0</v>
      </c>
      <c r="J38" t="b">
        <v>0</v>
      </c>
      <c r="K38" t="b">
        <v>0</v>
      </c>
      <c r="L38" t="b">
        <v>0</v>
      </c>
      <c r="M38" t="s">
        <v>1050</v>
      </c>
      <c r="N38" t="b">
        <v>1</v>
      </c>
    </row>
    <row r="39" spans="1:14" x14ac:dyDescent="0.3">
      <c r="A39" t="s">
        <v>1085</v>
      </c>
      <c r="B39" t="s">
        <v>218</v>
      </c>
      <c r="C39" s="1">
        <v>45542</v>
      </c>
      <c r="E39" t="s">
        <v>32</v>
      </c>
      <c r="F39">
        <v>9</v>
      </c>
      <c r="G39" s="12">
        <v>0</v>
      </c>
      <c r="H39" s="12">
        <v>0</v>
      </c>
      <c r="I39" t="b">
        <v>1</v>
      </c>
      <c r="J39" t="b">
        <v>1</v>
      </c>
      <c r="K39" t="b">
        <v>0</v>
      </c>
      <c r="L39" t="b">
        <v>0</v>
      </c>
      <c r="M39" t="s">
        <v>1047</v>
      </c>
      <c r="N39" t="b">
        <v>0</v>
      </c>
    </row>
    <row r="40" spans="1:14" x14ac:dyDescent="0.3">
      <c r="A40" t="s">
        <v>1086</v>
      </c>
      <c r="B40" t="s">
        <v>566</v>
      </c>
      <c r="C40" s="1">
        <v>45553</v>
      </c>
      <c r="E40" t="s">
        <v>15</v>
      </c>
      <c r="F40">
        <v>33</v>
      </c>
      <c r="G40" s="12">
        <v>627</v>
      </c>
      <c r="H40" s="12">
        <v>7524</v>
      </c>
      <c r="I40" t="b">
        <v>0</v>
      </c>
      <c r="J40" t="b">
        <v>0</v>
      </c>
      <c r="K40" t="b">
        <v>0</v>
      </c>
      <c r="L40" t="b">
        <v>0</v>
      </c>
      <c r="M40" t="s">
        <v>1047</v>
      </c>
      <c r="N40" t="b">
        <v>1</v>
      </c>
    </row>
    <row r="41" spans="1:14" x14ac:dyDescent="0.3">
      <c r="A41" t="s">
        <v>1087</v>
      </c>
      <c r="B41" t="s">
        <v>812</v>
      </c>
      <c r="C41" s="1">
        <v>45057</v>
      </c>
      <c r="E41" t="s">
        <v>39</v>
      </c>
      <c r="F41">
        <v>6</v>
      </c>
      <c r="G41" s="12">
        <v>294</v>
      </c>
      <c r="H41" s="12">
        <v>3528</v>
      </c>
      <c r="I41" t="b">
        <v>0</v>
      </c>
      <c r="J41" t="b">
        <v>0</v>
      </c>
      <c r="K41" t="b">
        <v>0</v>
      </c>
      <c r="L41" t="b">
        <v>0</v>
      </c>
      <c r="M41" t="s">
        <v>1047</v>
      </c>
      <c r="N41" t="b">
        <v>1</v>
      </c>
    </row>
    <row r="42" spans="1:14" x14ac:dyDescent="0.3">
      <c r="A42" t="s">
        <v>1088</v>
      </c>
      <c r="B42" t="s">
        <v>892</v>
      </c>
      <c r="C42" s="1">
        <v>45584</v>
      </c>
      <c r="E42" t="s">
        <v>15</v>
      </c>
      <c r="F42">
        <v>35</v>
      </c>
      <c r="G42" s="12">
        <v>665</v>
      </c>
      <c r="H42" s="12">
        <v>7980</v>
      </c>
      <c r="I42" t="b">
        <v>0</v>
      </c>
      <c r="J42" t="b">
        <v>1</v>
      </c>
      <c r="K42" t="b">
        <v>0</v>
      </c>
      <c r="L42" t="b">
        <v>0</v>
      </c>
      <c r="M42" t="s">
        <v>1047</v>
      </c>
      <c r="N42" t="b">
        <v>1</v>
      </c>
    </row>
    <row r="43" spans="1:14" x14ac:dyDescent="0.3">
      <c r="A43" t="s">
        <v>1089</v>
      </c>
      <c r="B43" t="s">
        <v>754</v>
      </c>
      <c r="C43" s="1">
        <v>45608</v>
      </c>
      <c r="E43" t="s">
        <v>15</v>
      </c>
      <c r="F43">
        <v>19</v>
      </c>
      <c r="G43" s="12">
        <v>361</v>
      </c>
      <c r="H43" s="12">
        <v>4332</v>
      </c>
      <c r="I43" t="b">
        <v>0</v>
      </c>
      <c r="J43" t="b">
        <v>0</v>
      </c>
      <c r="K43" t="b">
        <v>0</v>
      </c>
      <c r="L43" t="b">
        <v>0</v>
      </c>
      <c r="M43" t="s">
        <v>1047</v>
      </c>
      <c r="N43" t="b">
        <v>1</v>
      </c>
    </row>
    <row r="44" spans="1:14" x14ac:dyDescent="0.3">
      <c r="A44" t="s">
        <v>1090</v>
      </c>
      <c r="B44" t="s">
        <v>546</v>
      </c>
      <c r="C44" s="1">
        <v>45544</v>
      </c>
      <c r="E44" t="s">
        <v>39</v>
      </c>
      <c r="F44">
        <v>31</v>
      </c>
      <c r="G44" s="12">
        <v>1519</v>
      </c>
      <c r="H44" s="12">
        <v>18228</v>
      </c>
      <c r="I44" t="b">
        <v>0</v>
      </c>
      <c r="J44" t="b">
        <v>0</v>
      </c>
      <c r="K44" t="b">
        <v>0</v>
      </c>
      <c r="L44" t="b">
        <v>0</v>
      </c>
      <c r="M44" t="s">
        <v>1047</v>
      </c>
      <c r="N44" t="b">
        <v>1</v>
      </c>
    </row>
    <row r="45" spans="1:14" x14ac:dyDescent="0.3">
      <c r="A45" t="s">
        <v>1091</v>
      </c>
      <c r="B45" t="s">
        <v>662</v>
      </c>
      <c r="C45" s="1">
        <v>45648</v>
      </c>
      <c r="E45" t="s">
        <v>32</v>
      </c>
      <c r="F45">
        <v>41</v>
      </c>
      <c r="G45" s="12">
        <v>8159</v>
      </c>
      <c r="H45" s="12">
        <v>97908</v>
      </c>
      <c r="I45" t="b">
        <v>0</v>
      </c>
      <c r="J45" t="b">
        <v>0</v>
      </c>
      <c r="K45" t="b">
        <v>0</v>
      </c>
      <c r="L45" t="b">
        <v>0</v>
      </c>
      <c r="M45" t="s">
        <v>1050</v>
      </c>
      <c r="N45" t="b">
        <v>1</v>
      </c>
    </row>
    <row r="46" spans="1:14" x14ac:dyDescent="0.3">
      <c r="A46" t="s">
        <v>1092</v>
      </c>
      <c r="B46" t="s">
        <v>42</v>
      </c>
      <c r="C46" s="1">
        <v>45545</v>
      </c>
      <c r="E46" t="s">
        <v>32</v>
      </c>
      <c r="F46">
        <v>12</v>
      </c>
      <c r="G46" s="12">
        <v>2388</v>
      </c>
      <c r="H46" s="12">
        <v>28656</v>
      </c>
      <c r="I46" t="b">
        <v>0</v>
      </c>
      <c r="J46" t="b">
        <v>0</v>
      </c>
      <c r="K46" t="b">
        <v>0</v>
      </c>
      <c r="L46" t="b">
        <v>0</v>
      </c>
      <c r="M46" t="s">
        <v>1050</v>
      </c>
      <c r="N46" t="b">
        <v>1</v>
      </c>
    </row>
    <row r="47" spans="1:14" x14ac:dyDescent="0.3">
      <c r="A47" t="s">
        <v>1093</v>
      </c>
      <c r="B47" t="s">
        <v>36</v>
      </c>
      <c r="C47" s="1">
        <v>45367</v>
      </c>
      <c r="E47" t="s">
        <v>32</v>
      </c>
      <c r="F47">
        <v>12</v>
      </c>
      <c r="G47" s="12">
        <v>2388</v>
      </c>
      <c r="H47" s="12">
        <v>28656</v>
      </c>
      <c r="I47" t="b">
        <v>0</v>
      </c>
      <c r="J47" t="b">
        <v>0</v>
      </c>
      <c r="K47" t="b">
        <v>0</v>
      </c>
      <c r="L47" t="b">
        <v>0</v>
      </c>
      <c r="M47" t="s">
        <v>1050</v>
      </c>
      <c r="N47" t="b">
        <v>1</v>
      </c>
    </row>
    <row r="48" spans="1:14" x14ac:dyDescent="0.3">
      <c r="A48" t="s">
        <v>1094</v>
      </c>
      <c r="B48" t="s">
        <v>578</v>
      </c>
      <c r="C48" s="1">
        <v>45498</v>
      </c>
      <c r="E48" t="s">
        <v>15</v>
      </c>
      <c r="F48">
        <v>23</v>
      </c>
      <c r="G48" s="12">
        <v>437</v>
      </c>
      <c r="H48" s="12">
        <v>5244</v>
      </c>
      <c r="I48" t="b">
        <v>0</v>
      </c>
      <c r="J48" t="b">
        <v>0</v>
      </c>
      <c r="K48" t="b">
        <v>1</v>
      </c>
      <c r="L48" t="b">
        <v>0</v>
      </c>
      <c r="M48" t="s">
        <v>1050</v>
      </c>
      <c r="N48" t="b">
        <v>0</v>
      </c>
    </row>
    <row r="49" spans="1:14" x14ac:dyDescent="0.3">
      <c r="A49" t="s">
        <v>1095</v>
      </c>
      <c r="B49" t="s">
        <v>854</v>
      </c>
      <c r="C49" s="1">
        <v>45344</v>
      </c>
      <c r="E49" t="s">
        <v>15</v>
      </c>
      <c r="F49">
        <v>39</v>
      </c>
      <c r="G49" s="12">
        <v>741</v>
      </c>
      <c r="H49" s="12">
        <v>8892</v>
      </c>
      <c r="I49" t="b">
        <v>0</v>
      </c>
      <c r="J49" t="b">
        <v>0</v>
      </c>
      <c r="K49" t="b">
        <v>0</v>
      </c>
      <c r="L49" t="b">
        <v>0</v>
      </c>
      <c r="M49" t="s">
        <v>1047</v>
      </c>
      <c r="N49" t="b">
        <v>1</v>
      </c>
    </row>
    <row r="50" spans="1:14" x14ac:dyDescent="0.3">
      <c r="A50" t="s">
        <v>1096</v>
      </c>
      <c r="B50" t="s">
        <v>566</v>
      </c>
      <c r="C50" s="1">
        <v>45568</v>
      </c>
      <c r="E50" t="s">
        <v>15</v>
      </c>
      <c r="F50">
        <v>11</v>
      </c>
      <c r="G50" s="12">
        <v>209</v>
      </c>
      <c r="H50" s="12">
        <v>2508</v>
      </c>
      <c r="I50" t="b">
        <v>0</v>
      </c>
      <c r="J50" t="b">
        <v>0</v>
      </c>
      <c r="K50" t="b">
        <v>0</v>
      </c>
      <c r="L50" t="b">
        <v>0</v>
      </c>
      <c r="M50" t="s">
        <v>1047</v>
      </c>
      <c r="N50" t="b">
        <v>1</v>
      </c>
    </row>
    <row r="51" spans="1:14" x14ac:dyDescent="0.3">
      <c r="A51" t="s">
        <v>1097</v>
      </c>
      <c r="B51" t="s">
        <v>664</v>
      </c>
      <c r="C51" s="1">
        <v>45529</v>
      </c>
      <c r="E51" t="s">
        <v>39</v>
      </c>
      <c r="F51">
        <v>21</v>
      </c>
      <c r="G51" s="12">
        <v>0</v>
      </c>
      <c r="H51" s="12">
        <v>0</v>
      </c>
      <c r="I51" t="b">
        <v>1</v>
      </c>
      <c r="J51" t="b">
        <v>1</v>
      </c>
      <c r="K51" t="b">
        <v>0</v>
      </c>
      <c r="L51" t="b">
        <v>0</v>
      </c>
      <c r="M51" t="s">
        <v>1050</v>
      </c>
      <c r="N51" t="b">
        <v>1</v>
      </c>
    </row>
    <row r="52" spans="1:14" x14ac:dyDescent="0.3">
      <c r="A52" t="s">
        <v>1098</v>
      </c>
      <c r="B52" t="s">
        <v>844</v>
      </c>
      <c r="C52" s="1">
        <v>45556</v>
      </c>
      <c r="E52" t="s">
        <v>15</v>
      </c>
      <c r="F52">
        <v>62</v>
      </c>
      <c r="G52" s="12">
        <v>1178</v>
      </c>
      <c r="H52" s="12">
        <v>14136</v>
      </c>
      <c r="I52" t="b">
        <v>0</v>
      </c>
      <c r="J52" t="b">
        <v>0</v>
      </c>
      <c r="K52" t="b">
        <v>0</v>
      </c>
      <c r="L52" t="b">
        <v>0</v>
      </c>
      <c r="M52" t="s">
        <v>1050</v>
      </c>
      <c r="N52" t="b">
        <v>1</v>
      </c>
    </row>
    <row r="53" spans="1:14" x14ac:dyDescent="0.3">
      <c r="A53" t="s">
        <v>1099</v>
      </c>
      <c r="B53" t="s">
        <v>1012</v>
      </c>
      <c r="C53" s="1">
        <v>45520</v>
      </c>
      <c r="E53" t="s">
        <v>39</v>
      </c>
      <c r="F53">
        <v>21</v>
      </c>
      <c r="G53" s="12">
        <v>1029</v>
      </c>
      <c r="H53" s="12">
        <v>12348</v>
      </c>
      <c r="I53" t="b">
        <v>0</v>
      </c>
      <c r="J53" t="b">
        <v>1</v>
      </c>
      <c r="K53" t="b">
        <v>0</v>
      </c>
      <c r="L53" t="b">
        <v>0</v>
      </c>
      <c r="M53" t="s">
        <v>1047</v>
      </c>
      <c r="N53" t="b">
        <v>1</v>
      </c>
    </row>
    <row r="54" spans="1:14" x14ac:dyDescent="0.3">
      <c r="A54" t="s">
        <v>1100</v>
      </c>
      <c r="B54" t="s">
        <v>742</v>
      </c>
      <c r="C54" s="1">
        <v>45305</v>
      </c>
      <c r="D54" s="1">
        <v>45655</v>
      </c>
      <c r="E54" t="s">
        <v>39</v>
      </c>
      <c r="F54">
        <v>8</v>
      </c>
      <c r="G54" s="12">
        <v>0</v>
      </c>
      <c r="H54" s="12">
        <v>0</v>
      </c>
      <c r="I54" t="b">
        <v>1</v>
      </c>
      <c r="J54" t="b">
        <v>0</v>
      </c>
      <c r="K54" t="b">
        <v>0</v>
      </c>
      <c r="L54" t="b">
        <v>1</v>
      </c>
      <c r="M54" t="s">
        <v>1047</v>
      </c>
      <c r="N54" t="b">
        <v>1</v>
      </c>
    </row>
    <row r="55" spans="1:14" x14ac:dyDescent="0.3">
      <c r="A55" t="s">
        <v>1101</v>
      </c>
      <c r="B55" t="s">
        <v>698</v>
      </c>
      <c r="C55" s="1">
        <v>45093</v>
      </c>
      <c r="E55" t="s">
        <v>15</v>
      </c>
      <c r="F55">
        <v>41</v>
      </c>
      <c r="G55" s="12">
        <v>779</v>
      </c>
      <c r="H55" s="12">
        <v>9348</v>
      </c>
      <c r="I55" t="b">
        <v>0</v>
      </c>
      <c r="J55" t="b">
        <v>0</v>
      </c>
      <c r="K55" t="b">
        <v>0</v>
      </c>
      <c r="L55" t="b">
        <v>0</v>
      </c>
      <c r="M55" t="s">
        <v>1050</v>
      </c>
      <c r="N55" t="b">
        <v>1</v>
      </c>
    </row>
    <row r="56" spans="1:14" x14ac:dyDescent="0.3">
      <c r="A56" t="s">
        <v>1102</v>
      </c>
      <c r="B56" t="s">
        <v>418</v>
      </c>
      <c r="C56" s="1">
        <v>45553</v>
      </c>
      <c r="D56" s="1">
        <v>45613</v>
      </c>
      <c r="E56" t="s">
        <v>32</v>
      </c>
      <c r="F56">
        <v>20</v>
      </c>
      <c r="G56" s="12">
        <v>3980</v>
      </c>
      <c r="H56" s="12">
        <v>47760</v>
      </c>
      <c r="I56" t="b">
        <v>0</v>
      </c>
      <c r="J56" t="b">
        <v>0</v>
      </c>
      <c r="K56" t="b">
        <v>0</v>
      </c>
      <c r="L56" t="b">
        <v>1</v>
      </c>
      <c r="M56" t="s">
        <v>1047</v>
      </c>
      <c r="N56" t="b">
        <v>1</v>
      </c>
    </row>
    <row r="57" spans="1:14" x14ac:dyDescent="0.3">
      <c r="A57" t="s">
        <v>1103</v>
      </c>
      <c r="B57" t="s">
        <v>682</v>
      </c>
      <c r="C57" s="1">
        <v>45272</v>
      </c>
      <c r="E57" t="s">
        <v>32</v>
      </c>
      <c r="F57">
        <v>78</v>
      </c>
      <c r="G57" s="12">
        <v>15522</v>
      </c>
      <c r="H57" s="12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1047</v>
      </c>
      <c r="N57" t="b">
        <v>1</v>
      </c>
    </row>
    <row r="58" spans="1:14" x14ac:dyDescent="0.3">
      <c r="A58" t="s">
        <v>1104</v>
      </c>
      <c r="B58" t="s">
        <v>114</v>
      </c>
      <c r="C58" s="1">
        <v>45510</v>
      </c>
      <c r="E58" t="s">
        <v>39</v>
      </c>
      <c r="F58">
        <v>34</v>
      </c>
      <c r="G58" s="12">
        <v>1666</v>
      </c>
      <c r="H58" s="12">
        <v>19992</v>
      </c>
      <c r="I58" t="b">
        <v>0</v>
      </c>
      <c r="J58" t="b">
        <v>0</v>
      </c>
      <c r="K58" t="b">
        <v>0</v>
      </c>
      <c r="L58" t="b">
        <v>0</v>
      </c>
      <c r="M58" t="s">
        <v>1050</v>
      </c>
      <c r="N58" t="b">
        <v>1</v>
      </c>
    </row>
    <row r="59" spans="1:14" x14ac:dyDescent="0.3">
      <c r="A59" t="s">
        <v>1105</v>
      </c>
      <c r="B59" t="s">
        <v>608</v>
      </c>
      <c r="C59" s="1">
        <v>45185</v>
      </c>
      <c r="E59" t="s">
        <v>32</v>
      </c>
      <c r="F59">
        <v>11</v>
      </c>
      <c r="G59" s="12">
        <v>2189</v>
      </c>
      <c r="H59" s="12">
        <v>26268</v>
      </c>
      <c r="I59" t="b">
        <v>0</v>
      </c>
      <c r="J59" t="b">
        <v>0</v>
      </c>
      <c r="K59" t="b">
        <v>0</v>
      </c>
      <c r="L59" t="b">
        <v>0</v>
      </c>
      <c r="M59" t="s">
        <v>1047</v>
      </c>
      <c r="N59" t="b">
        <v>1</v>
      </c>
    </row>
    <row r="60" spans="1:14" x14ac:dyDescent="0.3">
      <c r="A60" t="s">
        <v>1106</v>
      </c>
      <c r="B60" t="s">
        <v>264</v>
      </c>
      <c r="C60" s="1">
        <v>45299</v>
      </c>
      <c r="E60" t="s">
        <v>32</v>
      </c>
      <c r="F60">
        <v>43</v>
      </c>
      <c r="G60" s="12">
        <v>8557</v>
      </c>
      <c r="H60" s="12">
        <v>102684</v>
      </c>
      <c r="I60" t="b">
        <v>0</v>
      </c>
      <c r="J60" t="b">
        <v>0</v>
      </c>
      <c r="K60" t="b">
        <v>0</v>
      </c>
      <c r="L60" t="b">
        <v>0</v>
      </c>
      <c r="M60" t="s">
        <v>1050</v>
      </c>
      <c r="N60" t="b">
        <v>0</v>
      </c>
    </row>
    <row r="61" spans="1:14" x14ac:dyDescent="0.3">
      <c r="A61" t="s">
        <v>1107</v>
      </c>
      <c r="B61" t="s">
        <v>306</v>
      </c>
      <c r="C61" s="1">
        <v>45538</v>
      </c>
      <c r="E61" t="s">
        <v>15</v>
      </c>
      <c r="F61">
        <v>50</v>
      </c>
      <c r="G61" s="12">
        <v>950</v>
      </c>
      <c r="H61" s="12">
        <v>11400</v>
      </c>
      <c r="I61" t="b">
        <v>0</v>
      </c>
      <c r="J61" t="b">
        <v>0</v>
      </c>
      <c r="K61" t="b">
        <v>0</v>
      </c>
      <c r="L61" t="b">
        <v>0</v>
      </c>
      <c r="M61" t="s">
        <v>1050</v>
      </c>
      <c r="N61" t="b">
        <v>1</v>
      </c>
    </row>
    <row r="62" spans="1:14" x14ac:dyDescent="0.3">
      <c r="A62" t="s">
        <v>1108</v>
      </c>
      <c r="B62" t="s">
        <v>950</v>
      </c>
      <c r="C62" s="1">
        <v>45632</v>
      </c>
      <c r="E62" t="s">
        <v>32</v>
      </c>
      <c r="F62">
        <v>29</v>
      </c>
      <c r="G62" s="12">
        <v>5771</v>
      </c>
      <c r="H62" s="1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1047</v>
      </c>
      <c r="N62" t="b">
        <v>0</v>
      </c>
    </row>
    <row r="63" spans="1:14" x14ac:dyDescent="0.3">
      <c r="A63" t="s">
        <v>1109</v>
      </c>
      <c r="B63" t="s">
        <v>212</v>
      </c>
      <c r="C63" s="1">
        <v>45482</v>
      </c>
      <c r="E63" t="s">
        <v>15</v>
      </c>
      <c r="F63">
        <v>48</v>
      </c>
      <c r="G63" s="12">
        <v>912</v>
      </c>
      <c r="H63" s="12">
        <v>10944</v>
      </c>
      <c r="I63" t="b">
        <v>0</v>
      </c>
      <c r="J63" t="b">
        <v>0</v>
      </c>
      <c r="K63" t="b">
        <v>0</v>
      </c>
      <c r="L63" t="b">
        <v>0</v>
      </c>
      <c r="M63" t="s">
        <v>1047</v>
      </c>
      <c r="N63" t="b">
        <v>1</v>
      </c>
    </row>
    <row r="64" spans="1:14" x14ac:dyDescent="0.3">
      <c r="A64" t="s">
        <v>1110</v>
      </c>
      <c r="B64" t="s">
        <v>630</v>
      </c>
      <c r="C64" s="1">
        <v>45406</v>
      </c>
      <c r="E64" t="s">
        <v>32</v>
      </c>
      <c r="F64">
        <v>14</v>
      </c>
      <c r="G64" s="12">
        <v>2786</v>
      </c>
      <c r="H64" s="12">
        <v>33432</v>
      </c>
      <c r="I64" t="b">
        <v>0</v>
      </c>
      <c r="J64" t="b">
        <v>0</v>
      </c>
      <c r="K64" t="b">
        <v>0</v>
      </c>
      <c r="L64" t="b">
        <v>0</v>
      </c>
      <c r="M64" t="s">
        <v>1050</v>
      </c>
      <c r="N64" t="b">
        <v>1</v>
      </c>
    </row>
    <row r="65" spans="1:14" x14ac:dyDescent="0.3">
      <c r="A65" t="s">
        <v>1111</v>
      </c>
      <c r="B65" t="s">
        <v>980</v>
      </c>
      <c r="C65" s="1">
        <v>45565</v>
      </c>
      <c r="E65" t="s">
        <v>39</v>
      </c>
      <c r="F65">
        <v>67</v>
      </c>
      <c r="G65" s="12">
        <v>3283</v>
      </c>
      <c r="H65" s="12">
        <v>39396</v>
      </c>
      <c r="I65" t="b">
        <v>0</v>
      </c>
      <c r="J65" t="b">
        <v>0</v>
      </c>
      <c r="K65" t="b">
        <v>0</v>
      </c>
      <c r="L65" t="b">
        <v>0</v>
      </c>
      <c r="M65" t="s">
        <v>1047</v>
      </c>
      <c r="N65" t="b">
        <v>1</v>
      </c>
    </row>
    <row r="66" spans="1:14" x14ac:dyDescent="0.3">
      <c r="A66" t="s">
        <v>1112</v>
      </c>
      <c r="B66" t="s">
        <v>606</v>
      </c>
      <c r="C66" s="1">
        <v>45531</v>
      </c>
      <c r="D66" s="1">
        <v>45637</v>
      </c>
      <c r="E66" t="s">
        <v>32</v>
      </c>
      <c r="F66">
        <v>10</v>
      </c>
      <c r="G66" s="12">
        <v>1990</v>
      </c>
      <c r="H66" s="12">
        <v>23880</v>
      </c>
      <c r="I66" t="b">
        <v>0</v>
      </c>
      <c r="J66" t="b">
        <v>0</v>
      </c>
      <c r="K66" t="b">
        <v>0</v>
      </c>
      <c r="L66" t="b">
        <v>1</v>
      </c>
      <c r="M66" t="s">
        <v>1050</v>
      </c>
      <c r="N66" t="b">
        <v>0</v>
      </c>
    </row>
    <row r="67" spans="1:14" x14ac:dyDescent="0.3">
      <c r="A67" t="s">
        <v>1113</v>
      </c>
      <c r="B67" t="s">
        <v>722</v>
      </c>
      <c r="C67" s="1">
        <v>45534</v>
      </c>
      <c r="E67" t="s">
        <v>39</v>
      </c>
      <c r="F67">
        <v>2</v>
      </c>
      <c r="G67" s="12">
        <v>98</v>
      </c>
      <c r="H67" s="12">
        <v>1176</v>
      </c>
      <c r="I67" t="b">
        <v>0</v>
      </c>
      <c r="J67" t="b">
        <v>0</v>
      </c>
      <c r="K67" t="b">
        <v>0</v>
      </c>
      <c r="L67" t="b">
        <v>0</v>
      </c>
      <c r="M67" t="s">
        <v>1050</v>
      </c>
      <c r="N67" t="b">
        <v>1</v>
      </c>
    </row>
    <row r="68" spans="1:14" x14ac:dyDescent="0.3">
      <c r="A68" t="s">
        <v>1114</v>
      </c>
      <c r="B68" t="s">
        <v>802</v>
      </c>
      <c r="C68" s="1">
        <v>45647</v>
      </c>
      <c r="E68" t="s">
        <v>15</v>
      </c>
      <c r="F68">
        <v>41</v>
      </c>
      <c r="G68" s="12">
        <v>779</v>
      </c>
      <c r="H68" s="12">
        <v>9348</v>
      </c>
      <c r="I68" t="b">
        <v>0</v>
      </c>
      <c r="J68" t="b">
        <v>0</v>
      </c>
      <c r="K68" t="b">
        <v>0</v>
      </c>
      <c r="L68" t="b">
        <v>0</v>
      </c>
      <c r="M68" t="s">
        <v>1047</v>
      </c>
      <c r="N68" t="b">
        <v>1</v>
      </c>
    </row>
    <row r="69" spans="1:14" x14ac:dyDescent="0.3">
      <c r="A69" t="s">
        <v>1115</v>
      </c>
      <c r="B69" t="s">
        <v>542</v>
      </c>
      <c r="C69" s="1">
        <v>45557</v>
      </c>
      <c r="E69" t="s">
        <v>39</v>
      </c>
      <c r="F69">
        <v>28</v>
      </c>
      <c r="G69" s="12">
        <v>0</v>
      </c>
      <c r="H69" s="12">
        <v>0</v>
      </c>
      <c r="I69" t="b">
        <v>1</v>
      </c>
      <c r="J69" t="b">
        <v>0</v>
      </c>
      <c r="K69" t="b">
        <v>0</v>
      </c>
      <c r="L69" t="b">
        <v>0</v>
      </c>
      <c r="M69" t="s">
        <v>1047</v>
      </c>
      <c r="N69" t="b">
        <v>1</v>
      </c>
    </row>
    <row r="70" spans="1:14" x14ac:dyDescent="0.3">
      <c r="A70" t="s">
        <v>1116</v>
      </c>
      <c r="B70" t="s">
        <v>130</v>
      </c>
      <c r="C70" s="1">
        <v>45582</v>
      </c>
      <c r="E70" t="s">
        <v>15</v>
      </c>
      <c r="F70">
        <v>47</v>
      </c>
      <c r="G70" s="12">
        <v>0</v>
      </c>
      <c r="H70" s="12">
        <v>0</v>
      </c>
      <c r="I70" t="b">
        <v>1</v>
      </c>
      <c r="J70" t="b">
        <v>0</v>
      </c>
      <c r="K70" t="b">
        <v>0</v>
      </c>
      <c r="L70" t="b">
        <v>0</v>
      </c>
      <c r="M70" t="s">
        <v>1047</v>
      </c>
      <c r="N70" t="b">
        <v>1</v>
      </c>
    </row>
    <row r="71" spans="1:14" x14ac:dyDescent="0.3">
      <c r="A71" t="s">
        <v>1117</v>
      </c>
      <c r="B71" t="s">
        <v>378</v>
      </c>
      <c r="C71" s="1">
        <v>45481</v>
      </c>
      <c r="E71" t="s">
        <v>32</v>
      </c>
      <c r="F71">
        <v>70</v>
      </c>
      <c r="G71" s="12">
        <v>13930</v>
      </c>
      <c r="H71" s="12">
        <v>167160</v>
      </c>
      <c r="I71" t="b">
        <v>0</v>
      </c>
      <c r="J71" t="b">
        <v>0</v>
      </c>
      <c r="K71" t="b">
        <v>0</v>
      </c>
      <c r="L71" t="b">
        <v>0</v>
      </c>
      <c r="M71" t="s">
        <v>1050</v>
      </c>
      <c r="N71" t="b">
        <v>1</v>
      </c>
    </row>
    <row r="72" spans="1:14" x14ac:dyDescent="0.3">
      <c r="A72" t="s">
        <v>1118</v>
      </c>
      <c r="B72" t="s">
        <v>1022</v>
      </c>
      <c r="C72" s="1">
        <v>45448</v>
      </c>
      <c r="E72" t="s">
        <v>15</v>
      </c>
      <c r="F72">
        <v>23</v>
      </c>
      <c r="G72" s="12">
        <v>0</v>
      </c>
      <c r="H72" s="12">
        <v>0</v>
      </c>
      <c r="I72" t="b">
        <v>1</v>
      </c>
      <c r="J72" t="b">
        <v>0</v>
      </c>
      <c r="K72" t="b">
        <v>0</v>
      </c>
      <c r="L72" t="b">
        <v>0</v>
      </c>
      <c r="M72" t="s">
        <v>1050</v>
      </c>
      <c r="N72" t="b">
        <v>1</v>
      </c>
    </row>
    <row r="73" spans="1:14" x14ac:dyDescent="0.3">
      <c r="A73" t="s">
        <v>1119</v>
      </c>
      <c r="B73" t="s">
        <v>832</v>
      </c>
      <c r="C73" s="1">
        <v>45468</v>
      </c>
      <c r="E73" t="s">
        <v>39</v>
      </c>
      <c r="F73">
        <v>17</v>
      </c>
      <c r="G73" s="12">
        <v>833</v>
      </c>
      <c r="H73" s="12">
        <v>9996</v>
      </c>
      <c r="I73" t="b">
        <v>0</v>
      </c>
      <c r="J73" t="b">
        <v>1</v>
      </c>
      <c r="K73" t="b">
        <v>0</v>
      </c>
      <c r="L73" t="b">
        <v>0</v>
      </c>
      <c r="M73" t="s">
        <v>1047</v>
      </c>
      <c r="N73" t="b">
        <v>1</v>
      </c>
    </row>
    <row r="74" spans="1:14" x14ac:dyDescent="0.3">
      <c r="A74" t="s">
        <v>1120</v>
      </c>
      <c r="B74" t="s">
        <v>394</v>
      </c>
      <c r="C74" s="1">
        <v>45521</v>
      </c>
      <c r="E74" t="s">
        <v>39</v>
      </c>
      <c r="F74">
        <v>16</v>
      </c>
      <c r="G74" s="12">
        <v>784</v>
      </c>
      <c r="H74" s="12">
        <v>9408</v>
      </c>
      <c r="I74" t="b">
        <v>0</v>
      </c>
      <c r="J74" t="b">
        <v>0</v>
      </c>
      <c r="K74" t="b">
        <v>0</v>
      </c>
      <c r="L74" t="b">
        <v>0</v>
      </c>
      <c r="M74" t="s">
        <v>1050</v>
      </c>
      <c r="N74" t="b">
        <v>0</v>
      </c>
    </row>
    <row r="75" spans="1:14" x14ac:dyDescent="0.3">
      <c r="A75" t="s">
        <v>1121</v>
      </c>
      <c r="B75" t="s">
        <v>220</v>
      </c>
      <c r="C75" s="1">
        <v>45582</v>
      </c>
      <c r="D75" s="1">
        <v>45630</v>
      </c>
      <c r="E75" t="s">
        <v>32</v>
      </c>
      <c r="F75">
        <v>13</v>
      </c>
      <c r="G75" s="12">
        <v>0</v>
      </c>
      <c r="H75" s="12">
        <v>0</v>
      </c>
      <c r="I75" t="b">
        <v>1</v>
      </c>
      <c r="J75" t="b">
        <v>0</v>
      </c>
      <c r="K75" t="b">
        <v>0</v>
      </c>
      <c r="L75" t="b">
        <v>1</v>
      </c>
      <c r="M75" t="s">
        <v>1047</v>
      </c>
      <c r="N75" t="b">
        <v>1</v>
      </c>
    </row>
    <row r="76" spans="1:14" x14ac:dyDescent="0.3">
      <c r="A76" t="s">
        <v>1122</v>
      </c>
      <c r="B76" t="s">
        <v>820</v>
      </c>
      <c r="C76" s="1">
        <v>45498</v>
      </c>
      <c r="E76" t="s">
        <v>15</v>
      </c>
      <c r="F76">
        <v>55</v>
      </c>
      <c r="G76" s="12">
        <v>1045</v>
      </c>
      <c r="H76" s="12">
        <v>12540</v>
      </c>
      <c r="I76" t="b">
        <v>0</v>
      </c>
      <c r="J76" t="b">
        <v>0</v>
      </c>
      <c r="K76" t="b">
        <v>0</v>
      </c>
      <c r="L76" t="b">
        <v>0</v>
      </c>
      <c r="M76" t="s">
        <v>1047</v>
      </c>
      <c r="N76" t="b">
        <v>1</v>
      </c>
    </row>
    <row r="77" spans="1:14" x14ac:dyDescent="0.3">
      <c r="A77" t="s">
        <v>1123</v>
      </c>
      <c r="B77" t="s">
        <v>114</v>
      </c>
      <c r="C77" s="1">
        <v>45273</v>
      </c>
      <c r="E77" t="s">
        <v>15</v>
      </c>
      <c r="F77">
        <v>34</v>
      </c>
      <c r="G77" s="12">
        <v>646</v>
      </c>
      <c r="H77" s="12">
        <v>7752</v>
      </c>
      <c r="I77" t="b">
        <v>0</v>
      </c>
      <c r="J77" t="b">
        <v>0</v>
      </c>
      <c r="K77" t="b">
        <v>0</v>
      </c>
      <c r="L77" t="b">
        <v>0</v>
      </c>
      <c r="M77" t="s">
        <v>1050</v>
      </c>
      <c r="N77" t="b">
        <v>0</v>
      </c>
    </row>
    <row r="78" spans="1:14" x14ac:dyDescent="0.3">
      <c r="A78" t="s">
        <v>1124</v>
      </c>
      <c r="B78" t="s">
        <v>758</v>
      </c>
      <c r="C78" s="1">
        <v>45480</v>
      </c>
      <c r="E78" t="s">
        <v>32</v>
      </c>
      <c r="F78">
        <v>20</v>
      </c>
      <c r="G78" s="12">
        <v>3980</v>
      </c>
      <c r="H78" s="12">
        <v>47760</v>
      </c>
      <c r="I78" t="b">
        <v>0</v>
      </c>
      <c r="J78" t="b">
        <v>0</v>
      </c>
      <c r="K78" t="b">
        <v>0</v>
      </c>
      <c r="L78" t="b">
        <v>0</v>
      </c>
      <c r="M78" t="s">
        <v>1050</v>
      </c>
      <c r="N78" t="b">
        <v>1</v>
      </c>
    </row>
    <row r="79" spans="1:14" x14ac:dyDescent="0.3">
      <c r="A79" t="s">
        <v>1125</v>
      </c>
      <c r="B79" t="s">
        <v>354</v>
      </c>
      <c r="C79" s="1">
        <v>45654</v>
      </c>
      <c r="E79" t="s">
        <v>15</v>
      </c>
      <c r="F79">
        <v>36</v>
      </c>
      <c r="G79" s="12">
        <v>684</v>
      </c>
      <c r="H79" s="12">
        <v>8208</v>
      </c>
      <c r="I79" t="b">
        <v>0</v>
      </c>
      <c r="J79" t="b">
        <v>0</v>
      </c>
      <c r="K79" t="b">
        <v>0</v>
      </c>
      <c r="L79" t="b">
        <v>0</v>
      </c>
      <c r="M79" t="s">
        <v>1047</v>
      </c>
      <c r="N79" t="b">
        <v>1</v>
      </c>
    </row>
    <row r="80" spans="1:14" x14ac:dyDescent="0.3">
      <c r="A80" t="s">
        <v>1126</v>
      </c>
      <c r="B80" t="s">
        <v>21</v>
      </c>
      <c r="C80" s="1">
        <v>45651</v>
      </c>
      <c r="D80" s="1">
        <v>45654</v>
      </c>
      <c r="E80" t="s">
        <v>39</v>
      </c>
      <c r="F80">
        <v>8</v>
      </c>
      <c r="G80" s="12">
        <v>0</v>
      </c>
      <c r="H80" s="12">
        <v>0</v>
      </c>
      <c r="I80" t="b">
        <v>1</v>
      </c>
      <c r="J80" t="b">
        <v>0</v>
      </c>
      <c r="K80" t="b">
        <v>0</v>
      </c>
      <c r="L80" t="b">
        <v>1</v>
      </c>
      <c r="M80" t="s">
        <v>1050</v>
      </c>
      <c r="N80" t="b">
        <v>1</v>
      </c>
    </row>
    <row r="81" spans="1:14" x14ac:dyDescent="0.3">
      <c r="A81" t="s">
        <v>1127</v>
      </c>
      <c r="B81" t="s">
        <v>808</v>
      </c>
      <c r="C81" s="1">
        <v>45420</v>
      </c>
      <c r="E81" t="s">
        <v>15</v>
      </c>
      <c r="F81">
        <v>14</v>
      </c>
      <c r="G81" s="12">
        <v>266</v>
      </c>
      <c r="H81" s="12">
        <v>3192</v>
      </c>
      <c r="I81" t="b">
        <v>0</v>
      </c>
      <c r="J81" t="b">
        <v>0</v>
      </c>
      <c r="K81" t="b">
        <v>0</v>
      </c>
      <c r="L81" t="b">
        <v>0</v>
      </c>
      <c r="M81" t="s">
        <v>1047</v>
      </c>
      <c r="N81" t="b">
        <v>0</v>
      </c>
    </row>
    <row r="82" spans="1:14" x14ac:dyDescent="0.3">
      <c r="A82" t="s">
        <v>1128</v>
      </c>
      <c r="B82" t="s">
        <v>118</v>
      </c>
      <c r="C82" s="1">
        <v>45526</v>
      </c>
      <c r="E82" t="s">
        <v>39</v>
      </c>
      <c r="F82">
        <v>4</v>
      </c>
      <c r="G82" s="12">
        <v>196</v>
      </c>
      <c r="H82" s="12">
        <v>2352</v>
      </c>
      <c r="I82" t="b">
        <v>0</v>
      </c>
      <c r="J82" t="b">
        <v>0</v>
      </c>
      <c r="K82" t="b">
        <v>0</v>
      </c>
      <c r="L82" t="b">
        <v>0</v>
      </c>
      <c r="M82" t="s">
        <v>1050</v>
      </c>
      <c r="N82" t="b">
        <v>1</v>
      </c>
    </row>
    <row r="83" spans="1:14" x14ac:dyDescent="0.3">
      <c r="A83" t="s">
        <v>1129</v>
      </c>
      <c r="B83" t="s">
        <v>600</v>
      </c>
      <c r="C83" s="1">
        <v>45635</v>
      </c>
      <c r="E83" t="s">
        <v>39</v>
      </c>
      <c r="F83">
        <v>26</v>
      </c>
      <c r="G83" s="12">
        <v>1274</v>
      </c>
      <c r="H83" s="12">
        <v>15288</v>
      </c>
      <c r="I83" t="b">
        <v>0</v>
      </c>
      <c r="J83" t="b">
        <v>0</v>
      </c>
      <c r="K83" t="b">
        <v>0</v>
      </c>
      <c r="L83" t="b">
        <v>0</v>
      </c>
      <c r="M83" t="s">
        <v>1047</v>
      </c>
      <c r="N83" t="b">
        <v>1</v>
      </c>
    </row>
    <row r="84" spans="1:14" x14ac:dyDescent="0.3">
      <c r="A84" t="s">
        <v>1130</v>
      </c>
      <c r="B84" t="s">
        <v>53</v>
      </c>
      <c r="C84" s="1">
        <v>45351</v>
      </c>
      <c r="E84" t="s">
        <v>39</v>
      </c>
      <c r="F84">
        <v>18</v>
      </c>
      <c r="G84" s="12">
        <v>0</v>
      </c>
      <c r="H84" s="12">
        <v>0</v>
      </c>
      <c r="I84" t="b">
        <v>1</v>
      </c>
      <c r="J84" t="b">
        <v>0</v>
      </c>
      <c r="K84" t="b">
        <v>0</v>
      </c>
      <c r="L84" t="b">
        <v>0</v>
      </c>
      <c r="M84" t="s">
        <v>1047</v>
      </c>
      <c r="N84" t="b">
        <v>1</v>
      </c>
    </row>
    <row r="85" spans="1:14" x14ac:dyDescent="0.3">
      <c r="A85" t="s">
        <v>1131</v>
      </c>
      <c r="B85" t="s">
        <v>640</v>
      </c>
      <c r="C85" s="1">
        <v>45539</v>
      </c>
      <c r="E85" t="s">
        <v>39</v>
      </c>
      <c r="F85">
        <v>11</v>
      </c>
      <c r="G85" s="12">
        <v>539</v>
      </c>
      <c r="H85" s="12">
        <v>6468</v>
      </c>
      <c r="I85" t="b">
        <v>0</v>
      </c>
      <c r="J85" t="b">
        <v>0</v>
      </c>
      <c r="K85" t="b">
        <v>0</v>
      </c>
      <c r="L85" t="b">
        <v>0</v>
      </c>
      <c r="M85" t="s">
        <v>1047</v>
      </c>
      <c r="N85" t="b">
        <v>1</v>
      </c>
    </row>
    <row r="86" spans="1:14" x14ac:dyDescent="0.3">
      <c r="A86" t="s">
        <v>1132</v>
      </c>
      <c r="B86" t="s">
        <v>328</v>
      </c>
      <c r="C86" s="1">
        <v>45536</v>
      </c>
      <c r="E86" t="s">
        <v>39</v>
      </c>
      <c r="F86">
        <v>27</v>
      </c>
      <c r="G86" s="12">
        <v>1323</v>
      </c>
      <c r="H86" s="12">
        <v>15876</v>
      </c>
      <c r="I86" t="b">
        <v>0</v>
      </c>
      <c r="J86" t="b">
        <v>0</v>
      </c>
      <c r="K86" t="b">
        <v>0</v>
      </c>
      <c r="L86" t="b">
        <v>0</v>
      </c>
      <c r="M86" t="s">
        <v>1047</v>
      </c>
      <c r="N86" t="b">
        <v>1</v>
      </c>
    </row>
    <row r="87" spans="1:14" x14ac:dyDescent="0.3">
      <c r="A87" t="s">
        <v>1133</v>
      </c>
      <c r="B87" t="s">
        <v>772</v>
      </c>
      <c r="C87" s="1">
        <v>45652</v>
      </c>
      <c r="E87" t="s">
        <v>15</v>
      </c>
      <c r="F87">
        <v>15</v>
      </c>
      <c r="G87" s="12">
        <v>0</v>
      </c>
      <c r="H87" s="12">
        <v>0</v>
      </c>
      <c r="I87" t="b">
        <v>1</v>
      </c>
      <c r="J87" t="b">
        <v>0</v>
      </c>
      <c r="K87" t="b">
        <v>0</v>
      </c>
      <c r="L87" t="b">
        <v>0</v>
      </c>
      <c r="M87" t="s">
        <v>1047</v>
      </c>
      <c r="N87" t="b">
        <v>1</v>
      </c>
    </row>
    <row r="88" spans="1:14" x14ac:dyDescent="0.3">
      <c r="A88" t="s">
        <v>1134</v>
      </c>
      <c r="B88" t="s">
        <v>730</v>
      </c>
      <c r="C88" s="1">
        <v>45504</v>
      </c>
      <c r="D88" s="1">
        <v>45539</v>
      </c>
      <c r="E88" t="s">
        <v>15</v>
      </c>
      <c r="F88">
        <v>41</v>
      </c>
      <c r="G88" s="12">
        <v>779</v>
      </c>
      <c r="H88" s="12">
        <v>9348</v>
      </c>
      <c r="I88" t="b">
        <v>0</v>
      </c>
      <c r="J88" t="b">
        <v>0</v>
      </c>
      <c r="K88" t="b">
        <v>0</v>
      </c>
      <c r="L88" t="b">
        <v>1</v>
      </c>
      <c r="M88" t="s">
        <v>1050</v>
      </c>
      <c r="N88" t="b">
        <v>1</v>
      </c>
    </row>
    <row r="89" spans="1:14" x14ac:dyDescent="0.3">
      <c r="A89" t="s">
        <v>1135</v>
      </c>
      <c r="B89" t="s">
        <v>338</v>
      </c>
      <c r="C89" s="1">
        <v>45365</v>
      </c>
      <c r="E89" t="s">
        <v>39</v>
      </c>
      <c r="F89">
        <v>55</v>
      </c>
      <c r="G89" s="12">
        <v>0</v>
      </c>
      <c r="H89" s="12">
        <v>0</v>
      </c>
      <c r="I89" t="b">
        <v>1</v>
      </c>
      <c r="J89" t="b">
        <v>0</v>
      </c>
      <c r="K89" t="b">
        <v>0</v>
      </c>
      <c r="L89" t="b">
        <v>0</v>
      </c>
      <c r="M89" t="s">
        <v>1047</v>
      </c>
      <c r="N89" t="b">
        <v>0</v>
      </c>
    </row>
    <row r="90" spans="1:14" x14ac:dyDescent="0.3">
      <c r="A90" t="s">
        <v>1136</v>
      </c>
      <c r="B90" t="s">
        <v>93</v>
      </c>
      <c r="C90" s="1">
        <v>45512</v>
      </c>
      <c r="E90" t="s">
        <v>39</v>
      </c>
      <c r="F90">
        <v>14</v>
      </c>
      <c r="G90" s="12">
        <v>686</v>
      </c>
      <c r="H90" s="12">
        <v>8232</v>
      </c>
      <c r="I90" t="b">
        <v>0</v>
      </c>
      <c r="J90" t="b">
        <v>0</v>
      </c>
      <c r="K90" t="b">
        <v>0</v>
      </c>
      <c r="L90" t="b">
        <v>0</v>
      </c>
      <c r="M90" t="s">
        <v>1050</v>
      </c>
      <c r="N90" t="b">
        <v>0</v>
      </c>
    </row>
    <row r="91" spans="1:14" x14ac:dyDescent="0.3">
      <c r="A91" t="s">
        <v>1137</v>
      </c>
      <c r="B91" t="s">
        <v>460</v>
      </c>
      <c r="C91" s="1">
        <v>45315</v>
      </c>
      <c r="E91" t="s">
        <v>39</v>
      </c>
      <c r="F91">
        <v>44</v>
      </c>
      <c r="G91" s="12">
        <v>2156</v>
      </c>
      <c r="H91" s="12">
        <v>25872</v>
      </c>
      <c r="I91" t="b">
        <v>0</v>
      </c>
      <c r="J91" t="b">
        <v>0</v>
      </c>
      <c r="K91" t="b">
        <v>0</v>
      </c>
      <c r="L91" t="b">
        <v>0</v>
      </c>
      <c r="M91" t="s">
        <v>1047</v>
      </c>
      <c r="N91" t="b">
        <v>1</v>
      </c>
    </row>
    <row r="92" spans="1:14" x14ac:dyDescent="0.3">
      <c r="A92" t="s">
        <v>1138</v>
      </c>
      <c r="B92" t="s">
        <v>398</v>
      </c>
      <c r="C92" s="1">
        <v>45385</v>
      </c>
      <c r="E92" t="s">
        <v>15</v>
      </c>
      <c r="F92">
        <v>38</v>
      </c>
      <c r="G92" s="12">
        <v>722</v>
      </c>
      <c r="H92" s="12">
        <v>8664</v>
      </c>
      <c r="I92" t="b">
        <v>0</v>
      </c>
      <c r="J92" t="b">
        <v>0</v>
      </c>
      <c r="K92" t="b">
        <v>0</v>
      </c>
      <c r="L92" t="b">
        <v>0</v>
      </c>
      <c r="M92" t="s">
        <v>1050</v>
      </c>
      <c r="N92" t="b">
        <v>1</v>
      </c>
    </row>
    <row r="93" spans="1:14" x14ac:dyDescent="0.3">
      <c r="A93" t="s">
        <v>1139</v>
      </c>
      <c r="B93" t="s">
        <v>638</v>
      </c>
      <c r="C93" s="1">
        <v>45652</v>
      </c>
      <c r="E93" t="s">
        <v>15</v>
      </c>
      <c r="F93">
        <v>19</v>
      </c>
      <c r="G93" s="12">
        <v>361</v>
      </c>
      <c r="H93" s="12">
        <v>4332</v>
      </c>
      <c r="I93" t="b">
        <v>0</v>
      </c>
      <c r="J93" t="b">
        <v>1</v>
      </c>
      <c r="K93" t="b">
        <v>0</v>
      </c>
      <c r="L93" t="b">
        <v>0</v>
      </c>
      <c r="M93" t="s">
        <v>1050</v>
      </c>
      <c r="N93" t="b">
        <v>1</v>
      </c>
    </row>
    <row r="94" spans="1:14" x14ac:dyDescent="0.3">
      <c r="A94" t="s">
        <v>1140</v>
      </c>
      <c r="B94" t="s">
        <v>138</v>
      </c>
      <c r="C94" s="1">
        <v>45067</v>
      </c>
      <c r="E94" t="s">
        <v>39</v>
      </c>
      <c r="F94">
        <v>20</v>
      </c>
      <c r="G94" s="12">
        <v>980</v>
      </c>
      <c r="H94" s="12">
        <v>11760</v>
      </c>
      <c r="I94" t="b">
        <v>0</v>
      </c>
      <c r="J94" t="b">
        <v>0</v>
      </c>
      <c r="K94" t="b">
        <v>0</v>
      </c>
      <c r="L94" t="b">
        <v>0</v>
      </c>
      <c r="M94" t="s">
        <v>1047</v>
      </c>
      <c r="N94" t="b">
        <v>1</v>
      </c>
    </row>
    <row r="95" spans="1:14" x14ac:dyDescent="0.3">
      <c r="A95" t="s">
        <v>1141</v>
      </c>
      <c r="B95" t="s">
        <v>1000</v>
      </c>
      <c r="C95" s="1">
        <v>45605</v>
      </c>
      <c r="D95" s="1">
        <v>45644</v>
      </c>
      <c r="E95" t="s">
        <v>39</v>
      </c>
      <c r="F95">
        <v>53</v>
      </c>
      <c r="G95" s="12">
        <v>2597</v>
      </c>
      <c r="H95" s="12">
        <v>31164</v>
      </c>
      <c r="I95" t="b">
        <v>0</v>
      </c>
      <c r="J95" t="b">
        <v>0</v>
      </c>
      <c r="K95" t="b">
        <v>0</v>
      </c>
      <c r="L95" t="b">
        <v>1</v>
      </c>
      <c r="M95" t="s">
        <v>1050</v>
      </c>
      <c r="N95" t="b">
        <v>1</v>
      </c>
    </row>
    <row r="96" spans="1:14" x14ac:dyDescent="0.3">
      <c r="A96" t="s">
        <v>1142</v>
      </c>
      <c r="B96" t="s">
        <v>852</v>
      </c>
      <c r="C96" s="1">
        <v>45472</v>
      </c>
      <c r="E96" t="s">
        <v>39</v>
      </c>
      <c r="F96">
        <v>1</v>
      </c>
      <c r="G96" s="12">
        <v>49</v>
      </c>
      <c r="H96" s="12">
        <v>588</v>
      </c>
      <c r="I96" t="b">
        <v>0</v>
      </c>
      <c r="J96" t="b">
        <v>0</v>
      </c>
      <c r="K96" t="b">
        <v>0</v>
      </c>
      <c r="L96" t="b">
        <v>0</v>
      </c>
      <c r="M96" t="s">
        <v>1050</v>
      </c>
      <c r="N96" t="b">
        <v>1</v>
      </c>
    </row>
    <row r="97" spans="1:14" x14ac:dyDescent="0.3">
      <c r="A97" t="s">
        <v>1143</v>
      </c>
      <c r="B97" t="s">
        <v>470</v>
      </c>
      <c r="C97" s="1">
        <v>45650</v>
      </c>
      <c r="E97" t="s">
        <v>32</v>
      </c>
      <c r="F97">
        <v>28</v>
      </c>
      <c r="G97" s="12">
        <v>5572</v>
      </c>
      <c r="H97" s="12">
        <v>66864</v>
      </c>
      <c r="I97" t="b">
        <v>0</v>
      </c>
      <c r="J97" t="b">
        <v>0</v>
      </c>
      <c r="K97" t="b">
        <v>0</v>
      </c>
      <c r="L97" t="b">
        <v>0</v>
      </c>
      <c r="M97" t="s">
        <v>1047</v>
      </c>
      <c r="N97" t="b">
        <v>0</v>
      </c>
    </row>
    <row r="98" spans="1:14" x14ac:dyDescent="0.3">
      <c r="A98" t="s">
        <v>1144</v>
      </c>
      <c r="B98" t="s">
        <v>336</v>
      </c>
      <c r="C98" s="1">
        <v>45496</v>
      </c>
      <c r="E98" t="s">
        <v>32</v>
      </c>
      <c r="F98">
        <v>5</v>
      </c>
      <c r="G98" s="12">
        <v>995</v>
      </c>
      <c r="H98" s="12">
        <v>11940</v>
      </c>
      <c r="I98" t="b">
        <v>0</v>
      </c>
      <c r="J98" t="b">
        <v>0</v>
      </c>
      <c r="K98" t="b">
        <v>1</v>
      </c>
      <c r="L98" t="b">
        <v>0</v>
      </c>
      <c r="M98" t="s">
        <v>1047</v>
      </c>
      <c r="N98" t="b">
        <v>1</v>
      </c>
    </row>
    <row r="99" spans="1:14" x14ac:dyDescent="0.3">
      <c r="A99" t="s">
        <v>1145</v>
      </c>
      <c r="B99" t="s">
        <v>520</v>
      </c>
      <c r="C99" s="1">
        <v>45591</v>
      </c>
      <c r="E99" t="s">
        <v>15</v>
      </c>
      <c r="F99">
        <v>41</v>
      </c>
      <c r="G99" s="12">
        <v>779</v>
      </c>
      <c r="H99" s="12">
        <v>9348</v>
      </c>
      <c r="I99" t="b">
        <v>0</v>
      </c>
      <c r="J99" t="b">
        <v>0</v>
      </c>
      <c r="K99" t="b">
        <v>0</v>
      </c>
      <c r="L99" t="b">
        <v>0</v>
      </c>
      <c r="M99" t="s">
        <v>1050</v>
      </c>
      <c r="N99" t="b">
        <v>1</v>
      </c>
    </row>
    <row r="100" spans="1:14" x14ac:dyDescent="0.3">
      <c r="A100" t="s">
        <v>1146</v>
      </c>
      <c r="B100" t="s">
        <v>1020</v>
      </c>
      <c r="C100" s="1">
        <v>45552</v>
      </c>
      <c r="E100" t="s">
        <v>39</v>
      </c>
      <c r="F100">
        <v>34</v>
      </c>
      <c r="G100" s="12">
        <v>1666</v>
      </c>
      <c r="H100" s="12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1050</v>
      </c>
      <c r="N100" t="b">
        <v>1</v>
      </c>
    </row>
    <row r="101" spans="1:14" x14ac:dyDescent="0.3">
      <c r="A101" t="s">
        <v>1147</v>
      </c>
      <c r="B101" t="s">
        <v>1020</v>
      </c>
      <c r="C101" s="1">
        <v>45618</v>
      </c>
      <c r="E101" t="s">
        <v>15</v>
      </c>
      <c r="F101">
        <v>9</v>
      </c>
      <c r="G101" s="12">
        <v>171</v>
      </c>
      <c r="H101" s="12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1050</v>
      </c>
      <c r="N101" t="b">
        <v>1</v>
      </c>
    </row>
    <row r="102" spans="1:14" x14ac:dyDescent="0.3">
      <c r="A102" t="s">
        <v>1148</v>
      </c>
      <c r="B102" t="s">
        <v>414</v>
      </c>
      <c r="C102" s="1">
        <v>45328</v>
      </c>
      <c r="E102" t="s">
        <v>39</v>
      </c>
      <c r="F102">
        <v>49</v>
      </c>
      <c r="G102" s="12">
        <v>2401</v>
      </c>
      <c r="H102" s="1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1050</v>
      </c>
      <c r="N102" t="b">
        <v>1</v>
      </c>
    </row>
    <row r="103" spans="1:14" x14ac:dyDescent="0.3">
      <c r="A103" t="s">
        <v>1149</v>
      </c>
      <c r="B103" t="s">
        <v>146</v>
      </c>
      <c r="C103" s="1">
        <v>45576</v>
      </c>
      <c r="E103" t="s">
        <v>32</v>
      </c>
      <c r="F103">
        <v>38</v>
      </c>
      <c r="G103" s="12">
        <v>7562</v>
      </c>
      <c r="H103" s="12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1047</v>
      </c>
      <c r="N103" t="b">
        <v>1</v>
      </c>
    </row>
    <row r="104" spans="1:14" x14ac:dyDescent="0.3">
      <c r="A104" t="s">
        <v>1150</v>
      </c>
      <c r="B104" t="s">
        <v>728</v>
      </c>
      <c r="C104" s="1">
        <v>45613</v>
      </c>
      <c r="E104" t="s">
        <v>32</v>
      </c>
      <c r="F104">
        <v>4</v>
      </c>
      <c r="G104" s="12">
        <v>796</v>
      </c>
      <c r="H104" s="12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1047</v>
      </c>
      <c r="N104" t="b">
        <v>1</v>
      </c>
    </row>
    <row r="105" spans="1:14" x14ac:dyDescent="0.3">
      <c r="A105" t="s">
        <v>1151</v>
      </c>
      <c r="B105" t="s">
        <v>1004</v>
      </c>
      <c r="C105" s="1">
        <v>45522</v>
      </c>
      <c r="E105" t="s">
        <v>39</v>
      </c>
      <c r="F105">
        <v>21</v>
      </c>
      <c r="G105" s="12">
        <v>1029</v>
      </c>
      <c r="H105" s="12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1047</v>
      </c>
      <c r="N105" t="b">
        <v>1</v>
      </c>
    </row>
    <row r="106" spans="1:14" x14ac:dyDescent="0.3">
      <c r="A106" t="s">
        <v>1152</v>
      </c>
      <c r="B106" t="s">
        <v>478</v>
      </c>
      <c r="C106" s="1">
        <v>45572</v>
      </c>
      <c r="E106" t="s">
        <v>39</v>
      </c>
      <c r="F106">
        <v>82</v>
      </c>
      <c r="G106" s="12">
        <v>4018</v>
      </c>
      <c r="H106" s="12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1047</v>
      </c>
      <c r="N106" t="b">
        <v>1</v>
      </c>
    </row>
    <row r="107" spans="1:14" x14ac:dyDescent="0.3">
      <c r="A107" t="s">
        <v>1153</v>
      </c>
      <c r="B107" t="s">
        <v>868</v>
      </c>
      <c r="C107" s="1">
        <v>45437</v>
      </c>
      <c r="E107" t="s">
        <v>32</v>
      </c>
      <c r="F107">
        <v>13</v>
      </c>
      <c r="G107" s="12">
        <v>0</v>
      </c>
      <c r="H107" s="12">
        <v>0</v>
      </c>
      <c r="I107" t="b">
        <v>1</v>
      </c>
      <c r="J107" t="b">
        <v>0</v>
      </c>
      <c r="K107" t="b">
        <v>0</v>
      </c>
      <c r="L107" t="b">
        <v>0</v>
      </c>
      <c r="M107" t="s">
        <v>1050</v>
      </c>
      <c r="N107" t="b">
        <v>0</v>
      </c>
    </row>
    <row r="108" spans="1:14" x14ac:dyDescent="0.3">
      <c r="A108" t="s">
        <v>1154</v>
      </c>
      <c r="B108" t="s">
        <v>172</v>
      </c>
      <c r="C108" s="1">
        <v>45521</v>
      </c>
      <c r="E108" t="s">
        <v>39</v>
      </c>
      <c r="F108">
        <v>5</v>
      </c>
      <c r="G108" s="12">
        <v>245</v>
      </c>
      <c r="H108" s="12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1047</v>
      </c>
      <c r="N108" t="b">
        <v>1</v>
      </c>
    </row>
    <row r="109" spans="1:14" x14ac:dyDescent="0.3">
      <c r="A109" t="s">
        <v>1155</v>
      </c>
      <c r="B109" t="s">
        <v>288</v>
      </c>
      <c r="C109" s="1">
        <v>45436</v>
      </c>
      <c r="E109" t="s">
        <v>32</v>
      </c>
      <c r="F109">
        <v>24</v>
      </c>
      <c r="G109" s="12">
        <v>4776</v>
      </c>
      <c r="H109" s="12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1050</v>
      </c>
      <c r="N109" t="b">
        <v>1</v>
      </c>
    </row>
    <row r="110" spans="1:14" x14ac:dyDescent="0.3">
      <c r="A110" t="s">
        <v>1156</v>
      </c>
      <c r="B110" t="s">
        <v>838</v>
      </c>
      <c r="C110" s="1">
        <v>45488</v>
      </c>
      <c r="E110" t="s">
        <v>15</v>
      </c>
      <c r="F110">
        <v>13</v>
      </c>
      <c r="G110" s="12">
        <v>247</v>
      </c>
      <c r="H110" s="12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1050</v>
      </c>
      <c r="N110" t="b">
        <v>0</v>
      </c>
    </row>
    <row r="111" spans="1:14" x14ac:dyDescent="0.3">
      <c r="A111" t="s">
        <v>1157</v>
      </c>
      <c r="B111" t="s">
        <v>642</v>
      </c>
      <c r="C111" s="1">
        <v>45489</v>
      </c>
      <c r="E111" t="s">
        <v>32</v>
      </c>
      <c r="F111">
        <v>28</v>
      </c>
      <c r="G111" s="12">
        <v>5572</v>
      </c>
      <c r="H111" s="12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1050</v>
      </c>
      <c r="N111" t="b">
        <v>1</v>
      </c>
    </row>
    <row r="112" spans="1:14" x14ac:dyDescent="0.3">
      <c r="A112" t="s">
        <v>1158</v>
      </c>
      <c r="B112" t="s">
        <v>576</v>
      </c>
      <c r="C112" s="1">
        <v>45648</v>
      </c>
      <c r="E112" t="s">
        <v>32</v>
      </c>
      <c r="F112">
        <v>21</v>
      </c>
      <c r="G112" s="12">
        <v>4179</v>
      </c>
      <c r="H112" s="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1050</v>
      </c>
      <c r="N112" t="b">
        <v>0</v>
      </c>
    </row>
    <row r="113" spans="1:14" x14ac:dyDescent="0.3">
      <c r="A113" t="s">
        <v>1159</v>
      </c>
      <c r="B113" t="s">
        <v>586</v>
      </c>
      <c r="C113" s="1">
        <v>45511</v>
      </c>
      <c r="E113" t="s">
        <v>39</v>
      </c>
      <c r="F113">
        <v>20</v>
      </c>
      <c r="G113" s="12">
        <v>0</v>
      </c>
      <c r="H113" s="12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1047</v>
      </c>
      <c r="N113" t="b">
        <v>1</v>
      </c>
    </row>
    <row r="114" spans="1:14" x14ac:dyDescent="0.3">
      <c r="A114" t="s">
        <v>1160</v>
      </c>
      <c r="B114" t="s">
        <v>140</v>
      </c>
      <c r="C114" s="1">
        <v>45487</v>
      </c>
      <c r="E114" t="s">
        <v>32</v>
      </c>
      <c r="F114">
        <v>36</v>
      </c>
      <c r="G114" s="12">
        <v>7164</v>
      </c>
      <c r="H114" s="12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1050</v>
      </c>
      <c r="N114" t="b">
        <v>1</v>
      </c>
    </row>
    <row r="115" spans="1:14" x14ac:dyDescent="0.3">
      <c r="A115" t="s">
        <v>1161</v>
      </c>
      <c r="B115" t="s">
        <v>200</v>
      </c>
      <c r="C115" s="1">
        <v>45570</v>
      </c>
      <c r="E115" t="s">
        <v>32</v>
      </c>
      <c r="F115">
        <v>23</v>
      </c>
      <c r="G115" s="12">
        <v>4577</v>
      </c>
      <c r="H115" s="12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1047</v>
      </c>
      <c r="N115" t="b">
        <v>1</v>
      </c>
    </row>
    <row r="116" spans="1:14" x14ac:dyDescent="0.3">
      <c r="A116" t="s">
        <v>1162</v>
      </c>
      <c r="B116" t="s">
        <v>606</v>
      </c>
      <c r="C116" s="1">
        <v>45635</v>
      </c>
      <c r="E116" t="s">
        <v>32</v>
      </c>
      <c r="F116">
        <v>21</v>
      </c>
      <c r="G116" s="12">
        <v>4179</v>
      </c>
      <c r="H116" s="12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1050</v>
      </c>
      <c r="N116" t="b">
        <v>1</v>
      </c>
    </row>
    <row r="117" spans="1:14" x14ac:dyDescent="0.3">
      <c r="A117" t="s">
        <v>1163</v>
      </c>
      <c r="B117" t="s">
        <v>1020</v>
      </c>
      <c r="C117" s="1">
        <v>45555</v>
      </c>
      <c r="E117" t="s">
        <v>39</v>
      </c>
      <c r="F117">
        <v>9</v>
      </c>
      <c r="G117" s="12">
        <v>441</v>
      </c>
      <c r="H117" s="12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1047</v>
      </c>
      <c r="N117" t="b">
        <v>1</v>
      </c>
    </row>
    <row r="118" spans="1:14" x14ac:dyDescent="0.3">
      <c r="A118" t="s">
        <v>1164</v>
      </c>
      <c r="B118" t="s">
        <v>33</v>
      </c>
      <c r="C118" s="1">
        <v>45261</v>
      </c>
      <c r="E118" t="s">
        <v>39</v>
      </c>
      <c r="F118">
        <v>12</v>
      </c>
      <c r="G118" s="12">
        <v>588</v>
      </c>
      <c r="H118" s="12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1047</v>
      </c>
      <c r="N118" t="b">
        <v>1</v>
      </c>
    </row>
    <row r="119" spans="1:14" x14ac:dyDescent="0.3">
      <c r="A119" t="s">
        <v>1165</v>
      </c>
      <c r="B119" t="s">
        <v>552</v>
      </c>
      <c r="C119" s="1">
        <v>45640</v>
      </c>
      <c r="E119" t="s">
        <v>32</v>
      </c>
      <c r="F119">
        <v>10</v>
      </c>
      <c r="G119" s="12">
        <v>0</v>
      </c>
      <c r="H119" s="12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1047</v>
      </c>
      <c r="N119" t="b">
        <v>0</v>
      </c>
    </row>
    <row r="120" spans="1:14" x14ac:dyDescent="0.3">
      <c r="A120" t="s">
        <v>1166</v>
      </c>
      <c r="B120" t="s">
        <v>486</v>
      </c>
      <c r="C120" s="1">
        <v>45374</v>
      </c>
      <c r="E120" t="s">
        <v>39</v>
      </c>
      <c r="F120">
        <v>53</v>
      </c>
      <c r="G120" s="12">
        <v>2597</v>
      </c>
      <c r="H120" s="12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1050</v>
      </c>
      <c r="N120" t="b">
        <v>0</v>
      </c>
    </row>
    <row r="121" spans="1:14" x14ac:dyDescent="0.3">
      <c r="A121" t="s">
        <v>1167</v>
      </c>
      <c r="B121" t="s">
        <v>820</v>
      </c>
      <c r="C121" s="1">
        <v>45648</v>
      </c>
      <c r="E121" t="s">
        <v>32</v>
      </c>
      <c r="F121">
        <v>55</v>
      </c>
      <c r="G121" s="12">
        <v>10945</v>
      </c>
      <c r="H121" s="12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1047</v>
      </c>
      <c r="N121" t="b">
        <v>1</v>
      </c>
    </row>
    <row r="122" spans="1:14" x14ac:dyDescent="0.3">
      <c r="A122" t="s">
        <v>1168</v>
      </c>
      <c r="B122" t="s">
        <v>382</v>
      </c>
      <c r="C122" s="1">
        <v>44985</v>
      </c>
      <c r="D122" s="1">
        <v>45092</v>
      </c>
      <c r="E122" t="s">
        <v>39</v>
      </c>
      <c r="F122">
        <v>24</v>
      </c>
      <c r="G122" s="12">
        <v>1176</v>
      </c>
      <c r="H122" s="1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1050</v>
      </c>
      <c r="N122" t="b">
        <v>1</v>
      </c>
    </row>
    <row r="123" spans="1:14" x14ac:dyDescent="0.3">
      <c r="A123" t="s">
        <v>1169</v>
      </c>
      <c r="B123" t="s">
        <v>454</v>
      </c>
      <c r="C123" s="1">
        <v>45116</v>
      </c>
      <c r="E123" t="s">
        <v>15</v>
      </c>
      <c r="F123">
        <v>15</v>
      </c>
      <c r="G123" s="12">
        <v>285</v>
      </c>
      <c r="H123" s="12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1047</v>
      </c>
      <c r="N123" t="b">
        <v>1</v>
      </c>
    </row>
    <row r="124" spans="1:14" x14ac:dyDescent="0.3">
      <c r="A124" t="s">
        <v>1170</v>
      </c>
      <c r="B124" t="s">
        <v>386</v>
      </c>
      <c r="C124" s="1">
        <v>45609</v>
      </c>
      <c r="E124" t="s">
        <v>39</v>
      </c>
      <c r="F124">
        <v>46</v>
      </c>
      <c r="G124" s="12">
        <v>2254</v>
      </c>
      <c r="H124" s="12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1050</v>
      </c>
      <c r="N124" t="b">
        <v>1</v>
      </c>
    </row>
    <row r="125" spans="1:14" x14ac:dyDescent="0.3">
      <c r="A125" t="s">
        <v>1171</v>
      </c>
      <c r="B125" t="s">
        <v>832</v>
      </c>
      <c r="C125" s="1">
        <v>45218</v>
      </c>
      <c r="E125" t="s">
        <v>32</v>
      </c>
      <c r="F125">
        <v>7</v>
      </c>
      <c r="G125" s="12">
        <v>1393</v>
      </c>
      <c r="H125" s="12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1050</v>
      </c>
      <c r="N125" t="b">
        <v>0</v>
      </c>
    </row>
    <row r="126" spans="1:14" x14ac:dyDescent="0.3">
      <c r="A126" t="s">
        <v>1172</v>
      </c>
      <c r="B126" t="s">
        <v>386</v>
      </c>
      <c r="C126" s="1">
        <v>45651</v>
      </c>
      <c r="D126" s="1">
        <v>45654</v>
      </c>
      <c r="E126" t="s">
        <v>15</v>
      </c>
      <c r="F126">
        <v>38</v>
      </c>
      <c r="G126" s="12">
        <v>722</v>
      </c>
      <c r="H126" s="12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1050</v>
      </c>
      <c r="N126" t="b">
        <v>1</v>
      </c>
    </row>
    <row r="127" spans="1:14" x14ac:dyDescent="0.3">
      <c r="A127" t="s">
        <v>1173</v>
      </c>
      <c r="B127" t="s">
        <v>356</v>
      </c>
      <c r="C127" s="1">
        <v>45510</v>
      </c>
      <c r="E127" t="s">
        <v>39</v>
      </c>
      <c r="F127">
        <v>44</v>
      </c>
      <c r="G127" s="12">
        <v>2156</v>
      </c>
      <c r="H127" s="12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1047</v>
      </c>
      <c r="N127" t="b">
        <v>1</v>
      </c>
    </row>
    <row r="128" spans="1:14" x14ac:dyDescent="0.3">
      <c r="A128" t="s">
        <v>1174</v>
      </c>
      <c r="B128" t="s">
        <v>858</v>
      </c>
      <c r="C128" s="1">
        <v>45169</v>
      </c>
      <c r="E128" t="s">
        <v>15</v>
      </c>
      <c r="F128">
        <v>29</v>
      </c>
      <c r="G128" s="12">
        <v>551</v>
      </c>
      <c r="H128" s="12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1050</v>
      </c>
      <c r="N128" t="b">
        <v>1</v>
      </c>
    </row>
    <row r="129" spans="1:14" x14ac:dyDescent="0.3">
      <c r="A129" t="s">
        <v>1175</v>
      </c>
      <c r="B129" t="s">
        <v>692</v>
      </c>
      <c r="C129" s="1">
        <v>45331</v>
      </c>
      <c r="E129" t="s">
        <v>32</v>
      </c>
      <c r="F129">
        <v>44</v>
      </c>
      <c r="G129" s="12">
        <v>8756</v>
      </c>
      <c r="H129" s="12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1047</v>
      </c>
      <c r="N129" t="b">
        <v>1</v>
      </c>
    </row>
    <row r="130" spans="1:14" x14ac:dyDescent="0.3">
      <c r="A130" t="s">
        <v>1176</v>
      </c>
      <c r="B130" t="s">
        <v>982</v>
      </c>
      <c r="C130" s="1">
        <v>45332</v>
      </c>
      <c r="E130" t="s">
        <v>32</v>
      </c>
      <c r="F130">
        <v>20</v>
      </c>
      <c r="G130" s="12">
        <v>3980</v>
      </c>
      <c r="H130" s="12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1047</v>
      </c>
      <c r="N130" t="b">
        <v>1</v>
      </c>
    </row>
    <row r="131" spans="1:14" x14ac:dyDescent="0.3">
      <c r="A131" t="s">
        <v>1177</v>
      </c>
      <c r="B131" t="s">
        <v>594</v>
      </c>
      <c r="C131" s="1">
        <v>45366</v>
      </c>
      <c r="E131" t="s">
        <v>39</v>
      </c>
      <c r="F131">
        <v>60</v>
      </c>
      <c r="G131" s="12">
        <v>2940</v>
      </c>
      <c r="H131" s="12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1050</v>
      </c>
      <c r="N131" t="b">
        <v>1</v>
      </c>
    </row>
    <row r="132" spans="1:14" x14ac:dyDescent="0.3">
      <c r="A132" t="s">
        <v>1178</v>
      </c>
      <c r="B132" t="s">
        <v>1010</v>
      </c>
      <c r="C132" s="1">
        <v>45642</v>
      </c>
      <c r="E132" t="s">
        <v>15</v>
      </c>
      <c r="F132">
        <v>16</v>
      </c>
      <c r="G132" s="12">
        <v>304</v>
      </c>
      <c r="H132" s="1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1050</v>
      </c>
      <c r="N132" t="b">
        <v>1</v>
      </c>
    </row>
    <row r="133" spans="1:14" x14ac:dyDescent="0.3">
      <c r="A133" t="s">
        <v>1179</v>
      </c>
      <c r="B133" t="s">
        <v>674</v>
      </c>
      <c r="C133" s="1">
        <v>45574</v>
      </c>
      <c r="E133" t="s">
        <v>15</v>
      </c>
      <c r="F133">
        <v>71</v>
      </c>
      <c r="G133" s="12">
        <v>1349</v>
      </c>
      <c r="H133" s="12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1050</v>
      </c>
      <c r="N133" t="b">
        <v>1</v>
      </c>
    </row>
    <row r="134" spans="1:14" x14ac:dyDescent="0.3">
      <c r="A134" t="s">
        <v>1180</v>
      </c>
      <c r="B134" t="s">
        <v>434</v>
      </c>
      <c r="C134" s="1">
        <v>45151</v>
      </c>
      <c r="D134" s="1">
        <v>45465</v>
      </c>
      <c r="E134" t="s">
        <v>32</v>
      </c>
      <c r="F134">
        <v>4</v>
      </c>
      <c r="G134" s="12">
        <v>796</v>
      </c>
      <c r="H134" s="12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1047</v>
      </c>
      <c r="N134" t="b">
        <v>1</v>
      </c>
    </row>
    <row r="135" spans="1:14" x14ac:dyDescent="0.3">
      <c r="A135" t="s">
        <v>1181</v>
      </c>
      <c r="B135" t="s">
        <v>490</v>
      </c>
      <c r="C135" s="1">
        <v>45624</v>
      </c>
      <c r="E135" t="s">
        <v>39</v>
      </c>
      <c r="F135">
        <v>7</v>
      </c>
      <c r="G135" s="12">
        <v>343</v>
      </c>
      <c r="H135" s="12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1047</v>
      </c>
      <c r="N135" t="b">
        <v>1</v>
      </c>
    </row>
    <row r="136" spans="1:14" x14ac:dyDescent="0.3">
      <c r="A136" t="s">
        <v>1182</v>
      </c>
      <c r="B136" t="s">
        <v>750</v>
      </c>
      <c r="C136" s="1">
        <v>45604</v>
      </c>
      <c r="D136" s="1">
        <v>45621</v>
      </c>
      <c r="E136" t="s">
        <v>15</v>
      </c>
      <c r="F136">
        <v>53</v>
      </c>
      <c r="G136" s="12">
        <v>1007</v>
      </c>
      <c r="H136" s="12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1047</v>
      </c>
      <c r="N136" t="b">
        <v>1</v>
      </c>
    </row>
    <row r="137" spans="1:14" x14ac:dyDescent="0.3">
      <c r="A137" t="s">
        <v>1183</v>
      </c>
      <c r="B137" t="s">
        <v>620</v>
      </c>
      <c r="C137" s="1">
        <v>45492</v>
      </c>
      <c r="E137" t="s">
        <v>32</v>
      </c>
      <c r="F137">
        <v>14</v>
      </c>
      <c r="G137" s="12">
        <v>2786</v>
      </c>
      <c r="H137" s="12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1047</v>
      </c>
      <c r="N137" t="b">
        <v>1</v>
      </c>
    </row>
    <row r="138" spans="1:14" x14ac:dyDescent="0.3">
      <c r="A138" t="s">
        <v>1184</v>
      </c>
      <c r="B138" t="s">
        <v>404</v>
      </c>
      <c r="C138" s="1">
        <v>45541</v>
      </c>
      <c r="E138" t="s">
        <v>15</v>
      </c>
      <c r="F138">
        <v>6</v>
      </c>
      <c r="G138" s="12">
        <v>114</v>
      </c>
      <c r="H138" s="12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1050</v>
      </c>
      <c r="N138" t="b">
        <v>1</v>
      </c>
    </row>
    <row r="139" spans="1:14" x14ac:dyDescent="0.3">
      <c r="A139" t="s">
        <v>1185</v>
      </c>
      <c r="B139" t="s">
        <v>146</v>
      </c>
      <c r="C139" s="1">
        <v>45592</v>
      </c>
      <c r="E139" t="s">
        <v>32</v>
      </c>
      <c r="F139">
        <v>20</v>
      </c>
      <c r="G139" s="12">
        <v>3980</v>
      </c>
      <c r="H139" s="12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1050</v>
      </c>
      <c r="N139" t="b">
        <v>1</v>
      </c>
    </row>
    <row r="140" spans="1:14" x14ac:dyDescent="0.3">
      <c r="A140" t="s">
        <v>1186</v>
      </c>
      <c r="B140" t="s">
        <v>570</v>
      </c>
      <c r="C140" s="1">
        <v>45619</v>
      </c>
      <c r="E140" t="s">
        <v>39</v>
      </c>
      <c r="F140">
        <v>83</v>
      </c>
      <c r="G140" s="12">
        <v>0</v>
      </c>
      <c r="H140" s="12">
        <v>0</v>
      </c>
      <c r="I140" t="b">
        <v>1</v>
      </c>
      <c r="J140" t="b">
        <v>1</v>
      </c>
      <c r="K140" t="b">
        <v>0</v>
      </c>
      <c r="L140" t="b">
        <v>0</v>
      </c>
      <c r="M140" t="s">
        <v>1050</v>
      </c>
      <c r="N140" t="b">
        <v>1</v>
      </c>
    </row>
    <row r="141" spans="1:14" x14ac:dyDescent="0.3">
      <c r="A141" t="s">
        <v>1187</v>
      </c>
      <c r="B141" t="s">
        <v>654</v>
      </c>
      <c r="C141" s="1">
        <v>45619</v>
      </c>
      <c r="E141" t="s">
        <v>32</v>
      </c>
      <c r="F141">
        <v>2</v>
      </c>
      <c r="G141" s="12">
        <v>398</v>
      </c>
      <c r="H141" s="12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1047</v>
      </c>
      <c r="N141" t="b">
        <v>1</v>
      </c>
    </row>
    <row r="142" spans="1:14" x14ac:dyDescent="0.3">
      <c r="A142" t="s">
        <v>1188</v>
      </c>
      <c r="B142" t="s">
        <v>386</v>
      </c>
      <c r="C142" s="1">
        <v>45620</v>
      </c>
      <c r="D142" s="1">
        <v>45631</v>
      </c>
      <c r="E142" t="s">
        <v>39</v>
      </c>
      <c r="F142">
        <v>29</v>
      </c>
      <c r="G142" s="12">
        <v>0</v>
      </c>
      <c r="H142" s="1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1050</v>
      </c>
      <c r="N142" t="b">
        <v>1</v>
      </c>
    </row>
    <row r="143" spans="1:14" x14ac:dyDescent="0.3">
      <c r="A143" t="s">
        <v>1189</v>
      </c>
      <c r="B143" t="s">
        <v>970</v>
      </c>
      <c r="C143" s="1">
        <v>45508</v>
      </c>
      <c r="E143" t="s">
        <v>32</v>
      </c>
      <c r="F143">
        <v>22</v>
      </c>
      <c r="G143" s="12">
        <v>4378</v>
      </c>
      <c r="H143" s="12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1047</v>
      </c>
      <c r="N143" t="b">
        <v>0</v>
      </c>
    </row>
    <row r="144" spans="1:14" x14ac:dyDescent="0.3">
      <c r="A144" t="s">
        <v>1190</v>
      </c>
      <c r="B144" t="s">
        <v>718</v>
      </c>
      <c r="C144" s="1">
        <v>45455</v>
      </c>
      <c r="E144" t="s">
        <v>39</v>
      </c>
      <c r="F144">
        <v>18</v>
      </c>
      <c r="G144" s="12">
        <v>882</v>
      </c>
      <c r="H144" s="12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1047</v>
      </c>
      <c r="N144" t="b">
        <v>1</v>
      </c>
    </row>
    <row r="145" spans="1:14" x14ac:dyDescent="0.3">
      <c r="A145" t="s">
        <v>1191</v>
      </c>
      <c r="B145" t="s">
        <v>274</v>
      </c>
      <c r="C145" s="1">
        <v>45308</v>
      </c>
      <c r="D145" s="1">
        <v>45401</v>
      </c>
      <c r="E145" t="s">
        <v>15</v>
      </c>
      <c r="F145">
        <v>64</v>
      </c>
      <c r="G145" s="12">
        <v>0</v>
      </c>
      <c r="H145" s="12">
        <v>0</v>
      </c>
      <c r="I145" t="b">
        <v>1</v>
      </c>
      <c r="J145" t="b">
        <v>0</v>
      </c>
      <c r="K145" t="b">
        <v>0</v>
      </c>
      <c r="L145" t="b">
        <v>1</v>
      </c>
      <c r="M145" t="s">
        <v>1050</v>
      </c>
      <c r="N145" t="b">
        <v>1</v>
      </c>
    </row>
    <row r="146" spans="1:14" x14ac:dyDescent="0.3">
      <c r="A146" t="s">
        <v>1192</v>
      </c>
      <c r="B146" t="s">
        <v>740</v>
      </c>
      <c r="C146" s="1">
        <v>45511</v>
      </c>
      <c r="E146" t="s">
        <v>32</v>
      </c>
      <c r="F146">
        <v>26</v>
      </c>
      <c r="G146" s="12">
        <v>0</v>
      </c>
      <c r="H146" s="12">
        <v>0</v>
      </c>
      <c r="I146" t="b">
        <v>1</v>
      </c>
      <c r="J146" t="b">
        <v>0</v>
      </c>
      <c r="K146" t="b">
        <v>0</v>
      </c>
      <c r="L146" t="b">
        <v>0</v>
      </c>
      <c r="M146" t="s">
        <v>1050</v>
      </c>
      <c r="N146" t="b">
        <v>1</v>
      </c>
    </row>
    <row r="147" spans="1:14" x14ac:dyDescent="0.3">
      <c r="A147" t="s">
        <v>1193</v>
      </c>
      <c r="B147" t="s">
        <v>458</v>
      </c>
      <c r="C147" s="1">
        <v>45559</v>
      </c>
      <c r="E147" t="s">
        <v>15</v>
      </c>
      <c r="F147">
        <v>21</v>
      </c>
      <c r="G147" s="12">
        <v>399</v>
      </c>
      <c r="H147" s="12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1050</v>
      </c>
      <c r="N147" t="b">
        <v>1</v>
      </c>
    </row>
    <row r="148" spans="1:14" x14ac:dyDescent="0.3">
      <c r="A148" t="s">
        <v>1194</v>
      </c>
      <c r="B148" t="s">
        <v>462</v>
      </c>
      <c r="C148" s="1">
        <v>45346</v>
      </c>
      <c r="E148" t="s">
        <v>39</v>
      </c>
      <c r="F148">
        <v>31</v>
      </c>
      <c r="G148" s="12">
        <v>1519</v>
      </c>
      <c r="H148" s="12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1047</v>
      </c>
      <c r="N148" t="b">
        <v>0</v>
      </c>
    </row>
    <row r="149" spans="1:14" x14ac:dyDescent="0.3">
      <c r="A149" t="s">
        <v>1195</v>
      </c>
      <c r="B149" t="s">
        <v>598</v>
      </c>
      <c r="C149" s="1">
        <v>45628</v>
      </c>
      <c r="E149" t="s">
        <v>39</v>
      </c>
      <c r="F149">
        <v>49</v>
      </c>
      <c r="G149" s="12">
        <v>2401</v>
      </c>
      <c r="H149" s="12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1050</v>
      </c>
      <c r="N149" t="b">
        <v>1</v>
      </c>
    </row>
    <row r="150" spans="1:14" x14ac:dyDescent="0.3">
      <c r="A150" t="s">
        <v>1196</v>
      </c>
      <c r="B150" t="s">
        <v>172</v>
      </c>
      <c r="C150" s="1">
        <v>45292</v>
      </c>
      <c r="E150" t="s">
        <v>39</v>
      </c>
      <c r="F150">
        <v>24</v>
      </c>
      <c r="G150" s="12">
        <v>1176</v>
      </c>
      <c r="H150" s="12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1050</v>
      </c>
      <c r="N150" t="b">
        <v>1</v>
      </c>
    </row>
    <row r="151" spans="1:14" x14ac:dyDescent="0.3">
      <c r="A151" t="s">
        <v>1197</v>
      </c>
      <c r="B151" t="s">
        <v>664</v>
      </c>
      <c r="C151" s="1">
        <v>45427</v>
      </c>
      <c r="E151" t="s">
        <v>39</v>
      </c>
      <c r="F151">
        <v>44</v>
      </c>
      <c r="G151" s="12">
        <v>2156</v>
      </c>
      <c r="H151" s="12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1047</v>
      </c>
      <c r="N151" t="b">
        <v>1</v>
      </c>
    </row>
    <row r="152" spans="1:14" x14ac:dyDescent="0.3">
      <c r="A152" t="s">
        <v>1198</v>
      </c>
      <c r="B152" t="s">
        <v>526</v>
      </c>
      <c r="C152" s="1">
        <v>45204</v>
      </c>
      <c r="E152" t="s">
        <v>15</v>
      </c>
      <c r="F152">
        <v>8</v>
      </c>
      <c r="G152" s="12">
        <v>0</v>
      </c>
      <c r="H152" s="1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1050</v>
      </c>
      <c r="N152" t="b">
        <v>1</v>
      </c>
    </row>
    <row r="153" spans="1:14" x14ac:dyDescent="0.3">
      <c r="A153" t="s">
        <v>1199</v>
      </c>
      <c r="B153" t="s">
        <v>1016</v>
      </c>
      <c r="C153" s="1">
        <v>45611</v>
      </c>
      <c r="E153" t="s">
        <v>32</v>
      </c>
      <c r="F153">
        <v>11</v>
      </c>
      <c r="G153" s="12">
        <v>2189</v>
      </c>
      <c r="H153" s="12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1050</v>
      </c>
      <c r="N153" t="b">
        <v>1</v>
      </c>
    </row>
    <row r="154" spans="1:14" x14ac:dyDescent="0.3">
      <c r="A154" t="s">
        <v>1200</v>
      </c>
      <c r="B154" t="s">
        <v>448</v>
      </c>
      <c r="C154" s="1">
        <v>45602</v>
      </c>
      <c r="E154" t="s">
        <v>39</v>
      </c>
      <c r="F154">
        <v>27</v>
      </c>
      <c r="G154" s="12">
        <v>0</v>
      </c>
      <c r="H154" s="12">
        <v>0</v>
      </c>
      <c r="I154" t="b">
        <v>1</v>
      </c>
      <c r="J154" t="b">
        <v>0</v>
      </c>
      <c r="K154" t="b">
        <v>0</v>
      </c>
      <c r="L154" t="b">
        <v>0</v>
      </c>
      <c r="M154" t="s">
        <v>1050</v>
      </c>
      <c r="N154" t="b">
        <v>1</v>
      </c>
    </row>
    <row r="155" spans="1:14" x14ac:dyDescent="0.3">
      <c r="A155" t="s">
        <v>1201</v>
      </c>
      <c r="B155" t="s">
        <v>756</v>
      </c>
      <c r="C155" s="1">
        <v>45426</v>
      </c>
      <c r="E155" t="s">
        <v>39</v>
      </c>
      <c r="F155">
        <v>5</v>
      </c>
      <c r="G155" s="12">
        <v>245</v>
      </c>
      <c r="H155" s="12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1047</v>
      </c>
      <c r="N155" t="b">
        <v>1</v>
      </c>
    </row>
    <row r="156" spans="1:14" x14ac:dyDescent="0.3">
      <c r="A156" t="s">
        <v>1202</v>
      </c>
      <c r="B156" t="s">
        <v>114</v>
      </c>
      <c r="C156" s="1">
        <v>45577</v>
      </c>
      <c r="E156" t="s">
        <v>15</v>
      </c>
      <c r="F156">
        <v>34</v>
      </c>
      <c r="G156" s="12">
        <v>646</v>
      </c>
      <c r="H156" s="12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1047</v>
      </c>
      <c r="N156" t="b">
        <v>0</v>
      </c>
    </row>
    <row r="157" spans="1:14" x14ac:dyDescent="0.3">
      <c r="A157" t="s">
        <v>1203</v>
      </c>
      <c r="B157" t="s">
        <v>328</v>
      </c>
      <c r="C157" s="1">
        <v>45146</v>
      </c>
      <c r="E157" t="s">
        <v>39</v>
      </c>
      <c r="F157">
        <v>27</v>
      </c>
      <c r="G157" s="12">
        <v>1323</v>
      </c>
      <c r="H157" s="12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1047</v>
      </c>
      <c r="N157" t="b">
        <v>1</v>
      </c>
    </row>
    <row r="158" spans="1:14" x14ac:dyDescent="0.3">
      <c r="A158" t="s">
        <v>1204</v>
      </c>
      <c r="B158" t="s">
        <v>580</v>
      </c>
      <c r="C158" s="1">
        <v>45335</v>
      </c>
      <c r="E158" t="s">
        <v>15</v>
      </c>
      <c r="F158">
        <v>50</v>
      </c>
      <c r="G158" s="12">
        <v>950</v>
      </c>
      <c r="H158" s="12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1050</v>
      </c>
      <c r="N158" t="b">
        <v>1</v>
      </c>
    </row>
    <row r="159" spans="1:14" x14ac:dyDescent="0.3">
      <c r="A159" t="s">
        <v>1205</v>
      </c>
      <c r="B159" t="s">
        <v>608</v>
      </c>
      <c r="C159" s="1">
        <v>45595</v>
      </c>
      <c r="E159" t="s">
        <v>32</v>
      </c>
      <c r="F159">
        <v>28</v>
      </c>
      <c r="G159" s="12">
        <v>5572</v>
      </c>
      <c r="H159" s="12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1047</v>
      </c>
      <c r="N159" t="b">
        <v>1</v>
      </c>
    </row>
    <row r="160" spans="1:14" x14ac:dyDescent="0.3">
      <c r="A160" t="s">
        <v>1206</v>
      </c>
      <c r="B160" t="s">
        <v>616</v>
      </c>
      <c r="C160" s="1">
        <v>45264</v>
      </c>
      <c r="E160" t="s">
        <v>39</v>
      </c>
      <c r="F160">
        <v>5</v>
      </c>
      <c r="G160" s="12">
        <v>245</v>
      </c>
      <c r="H160" s="12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1050</v>
      </c>
      <c r="N160" t="b">
        <v>1</v>
      </c>
    </row>
    <row r="161" spans="1:14" x14ac:dyDescent="0.3">
      <c r="A161" t="s">
        <v>1207</v>
      </c>
      <c r="B161" t="s">
        <v>584</v>
      </c>
      <c r="C161" s="1">
        <v>45329</v>
      </c>
      <c r="E161" t="s">
        <v>32</v>
      </c>
      <c r="F161">
        <v>17</v>
      </c>
      <c r="G161" s="12">
        <v>0</v>
      </c>
      <c r="H161" s="12">
        <v>0</v>
      </c>
      <c r="I161" t="b">
        <v>1</v>
      </c>
      <c r="J161" t="b">
        <v>0</v>
      </c>
      <c r="K161" t="b">
        <v>0</v>
      </c>
      <c r="L161" t="b">
        <v>0</v>
      </c>
      <c r="M161" t="s">
        <v>1050</v>
      </c>
      <c r="N161" t="b">
        <v>1</v>
      </c>
    </row>
    <row r="162" spans="1:14" x14ac:dyDescent="0.3">
      <c r="A162" t="s">
        <v>1208</v>
      </c>
      <c r="B162" t="s">
        <v>588</v>
      </c>
      <c r="C162" s="1">
        <v>45621</v>
      </c>
      <c r="E162" t="s">
        <v>39</v>
      </c>
      <c r="F162">
        <v>101</v>
      </c>
      <c r="G162" s="12">
        <v>4949</v>
      </c>
      <c r="H162" s="1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1047</v>
      </c>
      <c r="N162" t="b">
        <v>1</v>
      </c>
    </row>
    <row r="163" spans="1:14" x14ac:dyDescent="0.3">
      <c r="A163" t="s">
        <v>1209</v>
      </c>
      <c r="B163" t="s">
        <v>782</v>
      </c>
      <c r="C163" s="1">
        <v>45639</v>
      </c>
      <c r="E163" t="s">
        <v>15</v>
      </c>
      <c r="F163">
        <v>10</v>
      </c>
      <c r="G163" s="12">
        <v>0</v>
      </c>
      <c r="H163" s="12">
        <v>0</v>
      </c>
      <c r="I163" t="b">
        <v>1</v>
      </c>
      <c r="J163" t="b">
        <v>0</v>
      </c>
      <c r="K163" t="b">
        <v>0</v>
      </c>
      <c r="L163" t="b">
        <v>0</v>
      </c>
      <c r="M163" t="s">
        <v>1050</v>
      </c>
      <c r="N163" t="b">
        <v>0</v>
      </c>
    </row>
    <row r="164" spans="1:14" x14ac:dyDescent="0.3">
      <c r="A164" t="s">
        <v>1210</v>
      </c>
      <c r="B164" t="s">
        <v>924</v>
      </c>
      <c r="C164" s="1">
        <v>45426</v>
      </c>
      <c r="E164" t="s">
        <v>39</v>
      </c>
      <c r="F164">
        <v>48</v>
      </c>
      <c r="G164" s="12">
        <v>2352</v>
      </c>
      <c r="H164" s="12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1050</v>
      </c>
      <c r="N164" t="b">
        <v>1</v>
      </c>
    </row>
    <row r="165" spans="1:14" x14ac:dyDescent="0.3">
      <c r="A165" t="s">
        <v>1211</v>
      </c>
      <c r="B165" t="s">
        <v>386</v>
      </c>
      <c r="C165" s="1">
        <v>45552</v>
      </c>
      <c r="E165" t="s">
        <v>39</v>
      </c>
      <c r="F165">
        <v>29</v>
      </c>
      <c r="G165" s="12">
        <v>1421</v>
      </c>
      <c r="H165" s="12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1047</v>
      </c>
      <c r="N165" t="b">
        <v>1</v>
      </c>
    </row>
    <row r="166" spans="1:14" x14ac:dyDescent="0.3">
      <c r="A166" t="s">
        <v>1212</v>
      </c>
      <c r="B166" t="s">
        <v>824</v>
      </c>
      <c r="C166" s="1">
        <v>45300</v>
      </c>
      <c r="E166" t="s">
        <v>15</v>
      </c>
      <c r="F166">
        <v>17</v>
      </c>
      <c r="G166" s="12">
        <v>323</v>
      </c>
      <c r="H166" s="12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1050</v>
      </c>
      <c r="N166" t="b">
        <v>1</v>
      </c>
    </row>
    <row r="167" spans="1:14" x14ac:dyDescent="0.3">
      <c r="A167" t="s">
        <v>1213</v>
      </c>
      <c r="B167" t="s">
        <v>910</v>
      </c>
      <c r="C167" s="1">
        <v>45656</v>
      </c>
      <c r="E167" t="s">
        <v>32</v>
      </c>
      <c r="F167">
        <v>6</v>
      </c>
      <c r="G167" s="12">
        <v>1194</v>
      </c>
      <c r="H167" s="12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1050</v>
      </c>
      <c r="N167" t="b">
        <v>1</v>
      </c>
    </row>
    <row r="168" spans="1:14" x14ac:dyDescent="0.3">
      <c r="A168" t="s">
        <v>1214</v>
      </c>
      <c r="B168" t="s">
        <v>198</v>
      </c>
      <c r="C168" s="1">
        <v>45596</v>
      </c>
      <c r="E168" t="s">
        <v>15</v>
      </c>
      <c r="F168">
        <v>38</v>
      </c>
      <c r="G168" s="12">
        <v>722</v>
      </c>
      <c r="H168" s="12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1047</v>
      </c>
      <c r="N168" t="b">
        <v>1</v>
      </c>
    </row>
    <row r="169" spans="1:14" x14ac:dyDescent="0.3">
      <c r="A169" t="s">
        <v>1215</v>
      </c>
      <c r="B169" t="s">
        <v>862</v>
      </c>
      <c r="C169" s="1">
        <v>45286</v>
      </c>
      <c r="E169" t="s">
        <v>15</v>
      </c>
      <c r="F169">
        <v>50</v>
      </c>
      <c r="G169" s="12">
        <v>950</v>
      </c>
      <c r="H169" s="12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1050</v>
      </c>
      <c r="N169" t="b">
        <v>1</v>
      </c>
    </row>
    <row r="170" spans="1:14" x14ac:dyDescent="0.3">
      <c r="A170" t="s">
        <v>1216</v>
      </c>
      <c r="B170" t="s">
        <v>574</v>
      </c>
      <c r="C170" s="1">
        <v>45628</v>
      </c>
      <c r="D170" s="1">
        <v>45645</v>
      </c>
      <c r="E170" t="s">
        <v>32</v>
      </c>
      <c r="F170">
        <v>37</v>
      </c>
      <c r="G170" s="12">
        <v>7363</v>
      </c>
      <c r="H170" s="12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1047</v>
      </c>
      <c r="N170" t="b">
        <v>1</v>
      </c>
    </row>
    <row r="171" spans="1:14" x14ac:dyDescent="0.3">
      <c r="A171" t="s">
        <v>1217</v>
      </c>
      <c r="B171" t="s">
        <v>360</v>
      </c>
      <c r="C171" s="1">
        <v>45657</v>
      </c>
      <c r="D171" s="1">
        <v>45657</v>
      </c>
      <c r="E171" t="s">
        <v>32</v>
      </c>
      <c r="F171">
        <v>19</v>
      </c>
      <c r="G171" s="12">
        <v>3781</v>
      </c>
      <c r="H171" s="12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1050</v>
      </c>
      <c r="N171" t="b">
        <v>1</v>
      </c>
    </row>
    <row r="172" spans="1:14" x14ac:dyDescent="0.3">
      <c r="A172" t="s">
        <v>1218</v>
      </c>
      <c r="B172" t="s">
        <v>616</v>
      </c>
      <c r="C172" s="1">
        <v>45342</v>
      </c>
      <c r="E172" t="s">
        <v>32</v>
      </c>
      <c r="F172">
        <v>23</v>
      </c>
      <c r="G172" s="12">
        <v>0</v>
      </c>
      <c r="H172" s="1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1047</v>
      </c>
      <c r="N172" t="b">
        <v>1</v>
      </c>
    </row>
    <row r="173" spans="1:14" x14ac:dyDescent="0.3">
      <c r="A173" t="s">
        <v>1219</v>
      </c>
      <c r="B173" t="s">
        <v>168</v>
      </c>
      <c r="C173" s="1">
        <v>45588</v>
      </c>
      <c r="D173" s="1">
        <v>45623</v>
      </c>
      <c r="E173" t="s">
        <v>15</v>
      </c>
      <c r="F173">
        <v>21</v>
      </c>
      <c r="G173" s="12">
        <v>399</v>
      </c>
      <c r="H173" s="12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1047</v>
      </c>
      <c r="N173" t="b">
        <v>0</v>
      </c>
    </row>
    <row r="174" spans="1:14" x14ac:dyDescent="0.3">
      <c r="A174" t="s">
        <v>1220</v>
      </c>
      <c r="B174" t="s">
        <v>748</v>
      </c>
      <c r="C174" s="1">
        <v>45479</v>
      </c>
      <c r="E174" t="s">
        <v>15</v>
      </c>
      <c r="F174">
        <v>22</v>
      </c>
      <c r="G174" s="12">
        <v>0</v>
      </c>
      <c r="H174" s="12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1047</v>
      </c>
      <c r="N174" t="b">
        <v>1</v>
      </c>
    </row>
    <row r="175" spans="1:14" x14ac:dyDescent="0.3">
      <c r="A175" t="s">
        <v>1221</v>
      </c>
      <c r="B175" t="s">
        <v>758</v>
      </c>
      <c r="C175" s="1">
        <v>45566</v>
      </c>
      <c r="E175" t="s">
        <v>15</v>
      </c>
      <c r="F175">
        <v>28</v>
      </c>
      <c r="G175" s="12">
        <v>532</v>
      </c>
      <c r="H175" s="12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1050</v>
      </c>
      <c r="N175" t="b">
        <v>1</v>
      </c>
    </row>
    <row r="176" spans="1:14" x14ac:dyDescent="0.3">
      <c r="A176" t="s">
        <v>1222</v>
      </c>
      <c r="B176" t="s">
        <v>530</v>
      </c>
      <c r="C176" s="1">
        <v>45575</v>
      </c>
      <c r="D176" s="1">
        <v>45655</v>
      </c>
      <c r="E176" t="s">
        <v>32</v>
      </c>
      <c r="F176">
        <v>2</v>
      </c>
      <c r="G176" s="12">
        <v>398</v>
      </c>
      <c r="H176" s="12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1050</v>
      </c>
      <c r="N176" t="b">
        <v>1</v>
      </c>
    </row>
    <row r="177" spans="1:14" x14ac:dyDescent="0.3">
      <c r="A177" t="s">
        <v>1223</v>
      </c>
      <c r="B177" t="s">
        <v>672</v>
      </c>
      <c r="C177" s="1">
        <v>45654</v>
      </c>
      <c r="E177" t="s">
        <v>39</v>
      </c>
      <c r="F177">
        <v>9</v>
      </c>
      <c r="G177" s="12">
        <v>0</v>
      </c>
      <c r="H177" s="12">
        <v>0</v>
      </c>
      <c r="I177" t="b">
        <v>1</v>
      </c>
      <c r="J177" t="b">
        <v>0</v>
      </c>
      <c r="K177" t="b">
        <v>0</v>
      </c>
      <c r="L177" t="b">
        <v>0</v>
      </c>
      <c r="M177" t="s">
        <v>1050</v>
      </c>
      <c r="N177" t="b">
        <v>0</v>
      </c>
    </row>
    <row r="178" spans="1:14" x14ac:dyDescent="0.3">
      <c r="A178" t="s">
        <v>1224</v>
      </c>
      <c r="B178" t="s">
        <v>106</v>
      </c>
      <c r="C178" s="1">
        <v>45653</v>
      </c>
      <c r="D178" s="1">
        <v>45656</v>
      </c>
      <c r="E178" t="s">
        <v>15</v>
      </c>
      <c r="F178">
        <v>20</v>
      </c>
      <c r="G178" s="12">
        <v>380</v>
      </c>
      <c r="H178" s="12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1050</v>
      </c>
      <c r="N178" t="b">
        <v>1</v>
      </c>
    </row>
    <row r="179" spans="1:14" x14ac:dyDescent="0.3">
      <c r="A179" t="s">
        <v>1225</v>
      </c>
      <c r="B179" t="s">
        <v>740</v>
      </c>
      <c r="C179" s="1">
        <v>45569</v>
      </c>
      <c r="E179" t="s">
        <v>39</v>
      </c>
      <c r="F179">
        <v>26</v>
      </c>
      <c r="G179" s="12">
        <v>0</v>
      </c>
      <c r="H179" s="12">
        <v>0</v>
      </c>
      <c r="I179" t="b">
        <v>1</v>
      </c>
      <c r="J179" t="b">
        <v>0</v>
      </c>
      <c r="K179" t="b">
        <v>0</v>
      </c>
      <c r="L179" t="b">
        <v>0</v>
      </c>
      <c r="M179" t="s">
        <v>1050</v>
      </c>
      <c r="N179" t="b">
        <v>1</v>
      </c>
    </row>
    <row r="180" spans="1:14" x14ac:dyDescent="0.3">
      <c r="A180" t="s">
        <v>1226</v>
      </c>
      <c r="B180" t="s">
        <v>364</v>
      </c>
      <c r="C180" s="1">
        <v>45578</v>
      </c>
      <c r="E180" t="s">
        <v>15</v>
      </c>
      <c r="F180">
        <v>32</v>
      </c>
      <c r="G180" s="12">
        <v>608</v>
      </c>
      <c r="H180" s="12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1047</v>
      </c>
      <c r="N180" t="b">
        <v>1</v>
      </c>
    </row>
    <row r="181" spans="1:14" x14ac:dyDescent="0.3">
      <c r="A181" t="s">
        <v>1227</v>
      </c>
      <c r="B181" t="s">
        <v>778</v>
      </c>
      <c r="C181" s="1">
        <v>45632</v>
      </c>
      <c r="E181" t="s">
        <v>32</v>
      </c>
      <c r="F181">
        <v>39</v>
      </c>
      <c r="G181" s="12">
        <v>7761</v>
      </c>
      <c r="H181" s="12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1050</v>
      </c>
      <c r="N181" t="b">
        <v>1</v>
      </c>
    </row>
    <row r="182" spans="1:14" x14ac:dyDescent="0.3">
      <c r="A182" t="s">
        <v>1228</v>
      </c>
      <c r="B182" t="s">
        <v>900</v>
      </c>
      <c r="C182" s="1">
        <v>45633</v>
      </c>
      <c r="E182" t="s">
        <v>32</v>
      </c>
      <c r="F182">
        <v>40</v>
      </c>
      <c r="G182" s="12">
        <v>7960</v>
      </c>
      <c r="H182" s="1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1050</v>
      </c>
      <c r="N182" t="b">
        <v>1</v>
      </c>
    </row>
    <row r="183" spans="1:14" x14ac:dyDescent="0.3">
      <c r="A183" t="s">
        <v>1229</v>
      </c>
      <c r="B183" t="s">
        <v>252</v>
      </c>
      <c r="C183" s="1">
        <v>45470</v>
      </c>
      <c r="E183" t="s">
        <v>15</v>
      </c>
      <c r="F183">
        <v>2</v>
      </c>
      <c r="G183" s="12">
        <v>38</v>
      </c>
      <c r="H183" s="12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1050</v>
      </c>
      <c r="N183" t="b">
        <v>0</v>
      </c>
    </row>
    <row r="184" spans="1:14" x14ac:dyDescent="0.3">
      <c r="A184" t="s">
        <v>1230</v>
      </c>
      <c r="B184" t="s">
        <v>304</v>
      </c>
      <c r="C184" s="1">
        <v>45640</v>
      </c>
      <c r="E184" t="s">
        <v>39</v>
      </c>
      <c r="F184">
        <v>59</v>
      </c>
      <c r="G184" s="12">
        <v>2891</v>
      </c>
      <c r="H184" s="12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1050</v>
      </c>
      <c r="N184" t="b">
        <v>1</v>
      </c>
    </row>
    <row r="185" spans="1:14" x14ac:dyDescent="0.3">
      <c r="A185" t="s">
        <v>1231</v>
      </c>
      <c r="B185" t="s">
        <v>590</v>
      </c>
      <c r="C185" s="1">
        <v>45614</v>
      </c>
      <c r="E185" t="s">
        <v>15</v>
      </c>
      <c r="F185">
        <v>6</v>
      </c>
      <c r="G185" s="12">
        <v>0</v>
      </c>
      <c r="H185" s="12">
        <v>0</v>
      </c>
      <c r="I185" t="b">
        <v>1</v>
      </c>
      <c r="J185" t="b">
        <v>1</v>
      </c>
      <c r="K185" t="b">
        <v>0</v>
      </c>
      <c r="L185" t="b">
        <v>0</v>
      </c>
      <c r="M185" t="s">
        <v>1050</v>
      </c>
      <c r="N185" t="b">
        <v>1</v>
      </c>
    </row>
    <row r="186" spans="1:14" x14ac:dyDescent="0.3">
      <c r="A186" t="s">
        <v>1232</v>
      </c>
      <c r="B186" t="s">
        <v>836</v>
      </c>
      <c r="C186" s="1">
        <v>45626</v>
      </c>
      <c r="D186" s="1">
        <v>45629</v>
      </c>
      <c r="E186" t="s">
        <v>32</v>
      </c>
      <c r="F186">
        <v>117</v>
      </c>
      <c r="G186" s="12">
        <v>23283</v>
      </c>
      <c r="H186" s="12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1047</v>
      </c>
      <c r="N186" t="b">
        <v>1</v>
      </c>
    </row>
    <row r="187" spans="1:14" x14ac:dyDescent="0.3">
      <c r="A187" t="s">
        <v>1233</v>
      </c>
      <c r="B187" t="s">
        <v>130</v>
      </c>
      <c r="C187" s="1">
        <v>45594</v>
      </c>
      <c r="E187" t="s">
        <v>15</v>
      </c>
      <c r="F187">
        <v>47</v>
      </c>
      <c r="G187" s="12">
        <v>0</v>
      </c>
      <c r="H187" s="12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1047</v>
      </c>
      <c r="N187" t="b">
        <v>1</v>
      </c>
    </row>
    <row r="188" spans="1:14" x14ac:dyDescent="0.3">
      <c r="A188" t="s">
        <v>1234</v>
      </c>
      <c r="B188" t="s">
        <v>980</v>
      </c>
      <c r="C188" s="1">
        <v>45576</v>
      </c>
      <c r="E188" t="s">
        <v>39</v>
      </c>
      <c r="F188">
        <v>67</v>
      </c>
      <c r="G188" s="12">
        <v>3283</v>
      </c>
      <c r="H188" s="12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1050</v>
      </c>
      <c r="N188" t="b">
        <v>0</v>
      </c>
    </row>
    <row r="189" spans="1:14" x14ac:dyDescent="0.3">
      <c r="A189" t="s">
        <v>1235</v>
      </c>
      <c r="B189" t="s">
        <v>10</v>
      </c>
      <c r="C189" s="1">
        <v>45635</v>
      </c>
      <c r="E189" t="s">
        <v>15</v>
      </c>
      <c r="F189">
        <v>11</v>
      </c>
      <c r="G189" s="12">
        <v>209</v>
      </c>
      <c r="H189" s="12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1047</v>
      </c>
      <c r="N189" t="b">
        <v>1</v>
      </c>
    </row>
    <row r="190" spans="1:14" x14ac:dyDescent="0.3">
      <c r="A190" t="s">
        <v>1236</v>
      </c>
      <c r="B190" t="s">
        <v>932</v>
      </c>
      <c r="C190" s="1">
        <v>45583</v>
      </c>
      <c r="E190" t="s">
        <v>39</v>
      </c>
      <c r="F190">
        <v>25</v>
      </c>
      <c r="G190" s="12">
        <v>1225</v>
      </c>
      <c r="H190" s="12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1047</v>
      </c>
      <c r="N190" t="b">
        <v>1</v>
      </c>
    </row>
    <row r="191" spans="1:14" x14ac:dyDescent="0.3">
      <c r="A191" t="s">
        <v>1237</v>
      </c>
      <c r="B191" t="s">
        <v>924</v>
      </c>
      <c r="C191" s="1">
        <v>45656</v>
      </c>
      <c r="E191" t="s">
        <v>39</v>
      </c>
      <c r="F191">
        <v>24</v>
      </c>
      <c r="G191" s="12">
        <v>1176</v>
      </c>
      <c r="H191" s="12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1047</v>
      </c>
      <c r="N191" t="b">
        <v>1</v>
      </c>
    </row>
    <row r="192" spans="1:14" x14ac:dyDescent="0.3">
      <c r="A192" t="s">
        <v>1238</v>
      </c>
      <c r="B192" t="s">
        <v>700</v>
      </c>
      <c r="C192" s="1">
        <v>45647</v>
      </c>
      <c r="E192" t="s">
        <v>39</v>
      </c>
      <c r="F192">
        <v>21</v>
      </c>
      <c r="G192" s="12">
        <v>0</v>
      </c>
      <c r="H192" s="1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1047</v>
      </c>
      <c r="N192" t="b">
        <v>1</v>
      </c>
    </row>
    <row r="193" spans="1:14" x14ac:dyDescent="0.3">
      <c r="A193" t="s">
        <v>1239</v>
      </c>
      <c r="B193" t="s">
        <v>410</v>
      </c>
      <c r="C193" s="1">
        <v>45604</v>
      </c>
      <c r="E193" t="s">
        <v>32</v>
      </c>
      <c r="F193">
        <v>62</v>
      </c>
      <c r="G193" s="12">
        <v>12338</v>
      </c>
      <c r="H193" s="12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1047</v>
      </c>
      <c r="N193" t="b">
        <v>1</v>
      </c>
    </row>
    <row r="194" spans="1:14" x14ac:dyDescent="0.3">
      <c r="A194" t="s">
        <v>1240</v>
      </c>
      <c r="B194" t="s">
        <v>80</v>
      </c>
      <c r="C194" s="1">
        <v>45386</v>
      </c>
      <c r="E194" t="s">
        <v>32</v>
      </c>
      <c r="F194">
        <v>9</v>
      </c>
      <c r="G194" s="12">
        <v>0</v>
      </c>
      <c r="H194" s="12">
        <v>0</v>
      </c>
      <c r="I194" t="b">
        <v>1</v>
      </c>
      <c r="J194" t="b">
        <v>0</v>
      </c>
      <c r="K194" t="b">
        <v>0</v>
      </c>
      <c r="L194" t="b">
        <v>0</v>
      </c>
      <c r="M194" t="s">
        <v>1050</v>
      </c>
      <c r="N194" t="b">
        <v>0</v>
      </c>
    </row>
    <row r="195" spans="1:14" x14ac:dyDescent="0.3">
      <c r="A195" t="s">
        <v>1241</v>
      </c>
      <c r="B195" t="s">
        <v>772</v>
      </c>
      <c r="C195" s="1">
        <v>45657</v>
      </c>
      <c r="E195" t="s">
        <v>15</v>
      </c>
      <c r="F195">
        <v>15</v>
      </c>
      <c r="G195" s="12">
        <v>285</v>
      </c>
      <c r="H195" s="12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1050</v>
      </c>
      <c r="N195" t="b">
        <v>1</v>
      </c>
    </row>
    <row r="196" spans="1:14" x14ac:dyDescent="0.3">
      <c r="A196" t="s">
        <v>1242</v>
      </c>
      <c r="B196" t="s">
        <v>700</v>
      </c>
      <c r="C196" s="1">
        <v>45638</v>
      </c>
      <c r="E196" t="s">
        <v>32</v>
      </c>
      <c r="F196">
        <v>21</v>
      </c>
      <c r="G196" s="12">
        <v>4179</v>
      </c>
      <c r="H196" s="12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1047</v>
      </c>
      <c r="N196" t="b">
        <v>1</v>
      </c>
    </row>
    <row r="197" spans="1:14" x14ac:dyDescent="0.3">
      <c r="A197" t="s">
        <v>1243</v>
      </c>
      <c r="B197" t="s">
        <v>10</v>
      </c>
      <c r="C197" s="1">
        <v>45608</v>
      </c>
      <c r="E197" t="s">
        <v>39</v>
      </c>
      <c r="F197">
        <v>20</v>
      </c>
      <c r="G197" s="12">
        <v>980</v>
      </c>
      <c r="H197" s="12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1047</v>
      </c>
      <c r="N197" t="b">
        <v>1</v>
      </c>
    </row>
    <row r="198" spans="1:14" x14ac:dyDescent="0.3">
      <c r="A198" t="s">
        <v>1244</v>
      </c>
      <c r="B198" t="s">
        <v>164</v>
      </c>
      <c r="C198" s="1">
        <v>45628</v>
      </c>
      <c r="E198" t="s">
        <v>15</v>
      </c>
      <c r="F198">
        <v>9</v>
      </c>
      <c r="G198" s="12">
        <v>0</v>
      </c>
      <c r="H198" s="12">
        <v>0</v>
      </c>
      <c r="I198" t="b">
        <v>1</v>
      </c>
      <c r="J198" t="b">
        <v>0</v>
      </c>
      <c r="K198" t="b">
        <v>0</v>
      </c>
      <c r="L198" t="b">
        <v>0</v>
      </c>
      <c r="M198" t="s">
        <v>1050</v>
      </c>
      <c r="N198" t="b">
        <v>0</v>
      </c>
    </row>
    <row r="199" spans="1:14" x14ac:dyDescent="0.3">
      <c r="A199" t="s">
        <v>1245</v>
      </c>
      <c r="B199" t="s">
        <v>29</v>
      </c>
      <c r="C199" s="1">
        <v>45593</v>
      </c>
      <c r="E199" t="s">
        <v>32</v>
      </c>
      <c r="F199">
        <v>35</v>
      </c>
      <c r="G199" s="12">
        <v>6965</v>
      </c>
      <c r="H199" s="12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1050</v>
      </c>
      <c r="N199" t="b">
        <v>1</v>
      </c>
    </row>
    <row r="200" spans="1:14" x14ac:dyDescent="0.3">
      <c r="A200" t="s">
        <v>1246</v>
      </c>
      <c r="B200" t="s">
        <v>866</v>
      </c>
      <c r="C200" s="1">
        <v>45435</v>
      </c>
      <c r="E200" t="s">
        <v>39</v>
      </c>
      <c r="F200">
        <v>23</v>
      </c>
      <c r="G200" s="12">
        <v>1127</v>
      </c>
      <c r="H200" s="12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1047</v>
      </c>
      <c r="N200" t="b">
        <v>1</v>
      </c>
    </row>
    <row r="201" spans="1:14" x14ac:dyDescent="0.3">
      <c r="A201" t="s">
        <v>1247</v>
      </c>
      <c r="B201" t="s">
        <v>518</v>
      </c>
      <c r="C201" s="1">
        <v>45024</v>
      </c>
      <c r="E201" t="s">
        <v>15</v>
      </c>
      <c r="F201">
        <v>66</v>
      </c>
      <c r="G201" s="12">
        <v>1254</v>
      </c>
      <c r="H201" s="12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1050</v>
      </c>
      <c r="N201" t="b">
        <v>1</v>
      </c>
    </row>
    <row r="202" spans="1:14" x14ac:dyDescent="0.3">
      <c r="A202" t="s">
        <v>1248</v>
      </c>
      <c r="B202" t="s">
        <v>120</v>
      </c>
      <c r="C202" s="1">
        <v>45598</v>
      </c>
      <c r="E202" t="s">
        <v>15</v>
      </c>
      <c r="F202">
        <v>14</v>
      </c>
      <c r="G202" s="12">
        <v>266</v>
      </c>
      <c r="H202" s="1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1047</v>
      </c>
      <c r="N202" t="b">
        <v>0</v>
      </c>
    </row>
    <row r="203" spans="1:14" x14ac:dyDescent="0.3">
      <c r="A203" t="s">
        <v>1249</v>
      </c>
      <c r="B203" t="s">
        <v>350</v>
      </c>
      <c r="C203" s="1">
        <v>45624</v>
      </c>
      <c r="D203" s="1">
        <v>45632</v>
      </c>
      <c r="E203" t="s">
        <v>39</v>
      </c>
      <c r="F203">
        <v>19</v>
      </c>
      <c r="G203" s="12">
        <v>931</v>
      </c>
      <c r="H203" s="12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1050</v>
      </c>
      <c r="N203" t="b">
        <v>1</v>
      </c>
    </row>
    <row r="204" spans="1:14" x14ac:dyDescent="0.3">
      <c r="A204" t="s">
        <v>1250</v>
      </c>
      <c r="B204" t="s">
        <v>822</v>
      </c>
      <c r="C204" s="1">
        <v>45636</v>
      </c>
      <c r="D204" s="1">
        <v>45656</v>
      </c>
      <c r="E204" t="s">
        <v>15</v>
      </c>
      <c r="F204">
        <v>8</v>
      </c>
      <c r="G204" s="12">
        <v>152</v>
      </c>
      <c r="H204" s="12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1047</v>
      </c>
      <c r="N204" t="b">
        <v>0</v>
      </c>
    </row>
    <row r="205" spans="1:14" x14ac:dyDescent="0.3">
      <c r="A205" t="s">
        <v>1251</v>
      </c>
      <c r="B205" t="s">
        <v>99</v>
      </c>
      <c r="C205" s="1">
        <v>45559</v>
      </c>
      <c r="E205" t="s">
        <v>32</v>
      </c>
      <c r="F205">
        <v>37</v>
      </c>
      <c r="G205" s="12">
        <v>0</v>
      </c>
      <c r="H205" s="12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1047</v>
      </c>
      <c r="N205" t="b">
        <v>1</v>
      </c>
    </row>
    <row r="206" spans="1:14" x14ac:dyDescent="0.3">
      <c r="A206" t="s">
        <v>1252</v>
      </c>
      <c r="B206" t="s">
        <v>654</v>
      </c>
      <c r="C206" s="1">
        <v>45652</v>
      </c>
      <c r="D206" s="1">
        <v>45655</v>
      </c>
      <c r="E206" t="s">
        <v>15</v>
      </c>
      <c r="F206">
        <v>10</v>
      </c>
      <c r="G206" s="12">
        <v>190</v>
      </c>
      <c r="H206" s="12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1050</v>
      </c>
      <c r="N206" t="b">
        <v>1</v>
      </c>
    </row>
    <row r="207" spans="1:14" x14ac:dyDescent="0.3">
      <c r="A207" t="s">
        <v>1253</v>
      </c>
      <c r="B207" t="s">
        <v>768</v>
      </c>
      <c r="C207" s="1">
        <v>45272</v>
      </c>
      <c r="D207" s="1">
        <v>45655</v>
      </c>
      <c r="E207" t="s">
        <v>32</v>
      </c>
      <c r="F207">
        <v>28</v>
      </c>
      <c r="G207" s="12">
        <v>5572</v>
      </c>
      <c r="H207" s="12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1047</v>
      </c>
      <c r="N207" t="b">
        <v>1</v>
      </c>
    </row>
    <row r="208" spans="1:14" x14ac:dyDescent="0.3">
      <c r="A208" t="s">
        <v>1254</v>
      </c>
      <c r="B208" t="s">
        <v>970</v>
      </c>
      <c r="C208" s="1">
        <v>45404</v>
      </c>
      <c r="E208" t="s">
        <v>32</v>
      </c>
      <c r="F208">
        <v>94</v>
      </c>
      <c r="G208" s="12">
        <v>18706</v>
      </c>
      <c r="H208" s="12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1050</v>
      </c>
      <c r="N208" t="b">
        <v>1</v>
      </c>
    </row>
    <row r="209" spans="1:14" x14ac:dyDescent="0.3">
      <c r="A209" t="s">
        <v>1255</v>
      </c>
      <c r="B209" t="s">
        <v>910</v>
      </c>
      <c r="C209" s="1">
        <v>45640</v>
      </c>
      <c r="E209" t="s">
        <v>15</v>
      </c>
      <c r="F209">
        <v>5</v>
      </c>
      <c r="G209" s="12">
        <v>0</v>
      </c>
      <c r="H209" s="12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1047</v>
      </c>
      <c r="N209" t="b">
        <v>1</v>
      </c>
    </row>
    <row r="210" spans="1:14" x14ac:dyDescent="0.3">
      <c r="A210" t="s">
        <v>1256</v>
      </c>
      <c r="B210" t="s">
        <v>172</v>
      </c>
      <c r="C210" s="1">
        <v>45582</v>
      </c>
      <c r="E210" t="s">
        <v>15</v>
      </c>
      <c r="F210">
        <v>33</v>
      </c>
      <c r="G210" s="12">
        <v>627</v>
      </c>
      <c r="H210" s="12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1050</v>
      </c>
      <c r="N210" t="b">
        <v>1</v>
      </c>
    </row>
    <row r="211" spans="1:14" x14ac:dyDescent="0.3">
      <c r="A211" t="s">
        <v>1257</v>
      </c>
      <c r="B211" t="s">
        <v>388</v>
      </c>
      <c r="C211" s="1">
        <v>45644</v>
      </c>
      <c r="E211" t="s">
        <v>39</v>
      </c>
      <c r="F211">
        <v>49</v>
      </c>
      <c r="G211" s="12">
        <v>2401</v>
      </c>
      <c r="H211" s="12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1047</v>
      </c>
      <c r="N211" t="b">
        <v>1</v>
      </c>
    </row>
    <row r="212" spans="1:14" x14ac:dyDescent="0.3">
      <c r="A212" t="s">
        <v>1258</v>
      </c>
      <c r="B212" t="s">
        <v>282</v>
      </c>
      <c r="C212" s="1">
        <v>45620</v>
      </c>
      <c r="E212" t="s">
        <v>32</v>
      </c>
      <c r="F212">
        <v>33</v>
      </c>
      <c r="G212" s="12">
        <v>0</v>
      </c>
      <c r="H212" s="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1047</v>
      </c>
      <c r="N212" t="b">
        <v>0</v>
      </c>
    </row>
    <row r="213" spans="1:14" x14ac:dyDescent="0.3">
      <c r="A213" t="s">
        <v>1259</v>
      </c>
      <c r="B213" t="s">
        <v>284</v>
      </c>
      <c r="C213" s="1">
        <v>45544</v>
      </c>
      <c r="E213" t="s">
        <v>32</v>
      </c>
      <c r="F213">
        <v>23</v>
      </c>
      <c r="G213" s="12">
        <v>4577</v>
      </c>
      <c r="H213" s="12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1050</v>
      </c>
      <c r="N213" t="b">
        <v>1</v>
      </c>
    </row>
    <row r="214" spans="1:14" x14ac:dyDescent="0.3">
      <c r="A214" t="s">
        <v>1260</v>
      </c>
      <c r="B214" t="s">
        <v>826</v>
      </c>
      <c r="C214" s="1">
        <v>45383</v>
      </c>
      <c r="E214" t="s">
        <v>32</v>
      </c>
      <c r="F214">
        <v>32</v>
      </c>
      <c r="G214" s="12">
        <v>6368</v>
      </c>
      <c r="H214" s="12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1050</v>
      </c>
      <c r="N214" t="b">
        <v>1</v>
      </c>
    </row>
    <row r="215" spans="1:14" x14ac:dyDescent="0.3">
      <c r="A215" t="s">
        <v>1261</v>
      </c>
      <c r="B215" t="s">
        <v>240</v>
      </c>
      <c r="C215" s="1">
        <v>45531</v>
      </c>
      <c r="D215" s="1">
        <v>45596</v>
      </c>
      <c r="E215" t="s">
        <v>32</v>
      </c>
      <c r="F215">
        <v>23</v>
      </c>
      <c r="G215" s="12">
        <v>4577</v>
      </c>
      <c r="H215" s="12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1047</v>
      </c>
      <c r="N215" t="b">
        <v>1</v>
      </c>
    </row>
    <row r="216" spans="1:14" x14ac:dyDescent="0.3">
      <c r="A216" t="s">
        <v>1262</v>
      </c>
      <c r="B216" t="s">
        <v>794</v>
      </c>
      <c r="C216" s="1">
        <v>45581</v>
      </c>
      <c r="E216" t="s">
        <v>39</v>
      </c>
      <c r="F216">
        <v>38</v>
      </c>
      <c r="G216" s="12">
        <v>1862</v>
      </c>
      <c r="H216" s="12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1047</v>
      </c>
      <c r="N216" t="b">
        <v>0</v>
      </c>
    </row>
    <row r="217" spans="1:14" x14ac:dyDescent="0.3">
      <c r="A217" t="s">
        <v>1263</v>
      </c>
      <c r="B217" t="s">
        <v>832</v>
      </c>
      <c r="C217" s="1">
        <v>45252</v>
      </c>
      <c r="E217" t="s">
        <v>39</v>
      </c>
      <c r="F217">
        <v>24</v>
      </c>
      <c r="G217" s="12">
        <v>1176</v>
      </c>
      <c r="H217" s="12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1050</v>
      </c>
      <c r="N217" t="b">
        <v>1</v>
      </c>
    </row>
    <row r="218" spans="1:14" x14ac:dyDescent="0.3">
      <c r="A218" t="s">
        <v>1264</v>
      </c>
      <c r="B218" t="s">
        <v>144</v>
      </c>
      <c r="C218" s="1">
        <v>45543</v>
      </c>
      <c r="E218" t="s">
        <v>39</v>
      </c>
      <c r="F218">
        <v>1</v>
      </c>
      <c r="G218" s="12">
        <v>49</v>
      </c>
      <c r="H218" s="12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1047</v>
      </c>
      <c r="N218" t="b">
        <v>0</v>
      </c>
    </row>
    <row r="219" spans="1:14" x14ac:dyDescent="0.3">
      <c r="A219" t="s">
        <v>1265</v>
      </c>
      <c r="B219" t="s">
        <v>570</v>
      </c>
      <c r="C219" s="1">
        <v>45651</v>
      </c>
      <c r="E219" t="s">
        <v>15</v>
      </c>
      <c r="F219">
        <v>83</v>
      </c>
      <c r="G219" s="12">
        <v>1577</v>
      </c>
      <c r="H219" s="12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1050</v>
      </c>
      <c r="N219" t="b">
        <v>1</v>
      </c>
    </row>
    <row r="220" spans="1:14" x14ac:dyDescent="0.3">
      <c r="A220" t="s">
        <v>1266</v>
      </c>
      <c r="B220" t="s">
        <v>986</v>
      </c>
      <c r="C220" s="1">
        <v>45312</v>
      </c>
      <c r="E220" t="s">
        <v>15</v>
      </c>
      <c r="F220">
        <v>12</v>
      </c>
      <c r="G220" s="12">
        <v>228</v>
      </c>
      <c r="H220" s="12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1050</v>
      </c>
      <c r="N220" t="b">
        <v>1</v>
      </c>
    </row>
    <row r="221" spans="1:14" x14ac:dyDescent="0.3">
      <c r="A221" t="s">
        <v>1267</v>
      </c>
      <c r="B221" t="s">
        <v>910</v>
      </c>
      <c r="C221" s="1">
        <v>45652</v>
      </c>
      <c r="E221" t="s">
        <v>39</v>
      </c>
      <c r="F221">
        <v>16</v>
      </c>
      <c r="G221" s="12">
        <v>784</v>
      </c>
      <c r="H221" s="12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1050</v>
      </c>
      <c r="N221" t="b">
        <v>1</v>
      </c>
    </row>
    <row r="222" spans="1:14" x14ac:dyDescent="0.3">
      <c r="A222" t="s">
        <v>1268</v>
      </c>
      <c r="B222" t="s">
        <v>588</v>
      </c>
      <c r="C222" s="1">
        <v>45651</v>
      </c>
      <c r="E222" t="s">
        <v>15</v>
      </c>
      <c r="F222">
        <v>52</v>
      </c>
      <c r="G222" s="12">
        <v>988</v>
      </c>
      <c r="H222" s="1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1050</v>
      </c>
      <c r="N222" t="b">
        <v>0</v>
      </c>
    </row>
    <row r="223" spans="1:14" x14ac:dyDescent="0.3">
      <c r="A223" t="s">
        <v>1269</v>
      </c>
      <c r="B223" t="s">
        <v>1006</v>
      </c>
      <c r="C223" s="1">
        <v>45656</v>
      </c>
      <c r="E223" t="s">
        <v>15</v>
      </c>
      <c r="F223">
        <v>148</v>
      </c>
      <c r="G223" s="12">
        <v>0</v>
      </c>
      <c r="H223" s="12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1047</v>
      </c>
      <c r="N223" t="b">
        <v>1</v>
      </c>
    </row>
    <row r="224" spans="1:14" x14ac:dyDescent="0.3">
      <c r="A224" t="s">
        <v>1270</v>
      </c>
      <c r="B224" t="s">
        <v>630</v>
      </c>
      <c r="C224" s="1">
        <v>45367</v>
      </c>
      <c r="E224" t="s">
        <v>15</v>
      </c>
      <c r="F224">
        <v>4</v>
      </c>
      <c r="G224" s="12">
        <v>76</v>
      </c>
      <c r="H224" s="12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1050</v>
      </c>
      <c r="N224" t="b">
        <v>1</v>
      </c>
    </row>
    <row r="225" spans="1:14" x14ac:dyDescent="0.3">
      <c r="A225" t="s">
        <v>1271</v>
      </c>
      <c r="B225" t="s">
        <v>250</v>
      </c>
      <c r="C225" s="1">
        <v>45103</v>
      </c>
      <c r="E225" t="s">
        <v>15</v>
      </c>
      <c r="F225">
        <v>28</v>
      </c>
      <c r="G225" s="12">
        <v>532</v>
      </c>
      <c r="H225" s="12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1050</v>
      </c>
      <c r="N225" t="b">
        <v>0</v>
      </c>
    </row>
    <row r="226" spans="1:14" x14ac:dyDescent="0.3">
      <c r="A226" t="s">
        <v>1272</v>
      </c>
      <c r="B226" t="s">
        <v>548</v>
      </c>
      <c r="C226" s="1">
        <v>45553</v>
      </c>
      <c r="E226" t="s">
        <v>32</v>
      </c>
      <c r="F226">
        <v>25</v>
      </c>
      <c r="G226" s="12">
        <v>4975</v>
      </c>
      <c r="H226" s="12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1050</v>
      </c>
      <c r="N226" t="b">
        <v>1</v>
      </c>
    </row>
    <row r="227" spans="1:14" x14ac:dyDescent="0.3">
      <c r="A227" t="s">
        <v>1273</v>
      </c>
      <c r="B227" t="s">
        <v>462</v>
      </c>
      <c r="C227" s="1">
        <v>45610</v>
      </c>
      <c r="E227" t="s">
        <v>39</v>
      </c>
      <c r="F227">
        <v>31</v>
      </c>
      <c r="G227" s="12">
        <v>1519</v>
      </c>
      <c r="H227" s="12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1047</v>
      </c>
      <c r="N227" t="b">
        <v>1</v>
      </c>
    </row>
    <row r="228" spans="1:14" x14ac:dyDescent="0.3">
      <c r="A228" t="s">
        <v>1274</v>
      </c>
      <c r="B228" t="s">
        <v>684</v>
      </c>
      <c r="C228" s="1">
        <v>45518</v>
      </c>
      <c r="D228" s="1">
        <v>45557</v>
      </c>
      <c r="E228" t="s">
        <v>32</v>
      </c>
      <c r="F228">
        <v>29</v>
      </c>
      <c r="G228" s="12">
        <v>0</v>
      </c>
      <c r="H228" s="12">
        <v>0</v>
      </c>
      <c r="I228" t="b">
        <v>1</v>
      </c>
      <c r="J228" t="b">
        <v>0</v>
      </c>
      <c r="K228" t="b">
        <v>0</v>
      </c>
      <c r="L228" t="b">
        <v>1</v>
      </c>
      <c r="M228" t="s">
        <v>1050</v>
      </c>
      <c r="N228" t="b">
        <v>1</v>
      </c>
    </row>
    <row r="229" spans="1:14" x14ac:dyDescent="0.3">
      <c r="A229" t="s">
        <v>1275</v>
      </c>
      <c r="B229" t="s">
        <v>114</v>
      </c>
      <c r="C229" s="1">
        <v>45316</v>
      </c>
      <c r="E229" t="s">
        <v>15</v>
      </c>
      <c r="F229">
        <v>60</v>
      </c>
      <c r="G229" s="12">
        <v>1140</v>
      </c>
      <c r="H229" s="12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1047</v>
      </c>
      <c r="N229" t="b">
        <v>1</v>
      </c>
    </row>
    <row r="230" spans="1:14" x14ac:dyDescent="0.3">
      <c r="A230" t="s">
        <v>1276</v>
      </c>
      <c r="B230" t="s">
        <v>1026</v>
      </c>
      <c r="C230" s="1">
        <v>45297</v>
      </c>
      <c r="E230" t="s">
        <v>32</v>
      </c>
      <c r="F230">
        <v>18</v>
      </c>
      <c r="G230" s="12">
        <v>3582</v>
      </c>
      <c r="H230" s="12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1050</v>
      </c>
      <c r="N230" t="b">
        <v>1</v>
      </c>
    </row>
    <row r="231" spans="1:14" x14ac:dyDescent="0.3">
      <c r="A231" t="s">
        <v>1277</v>
      </c>
      <c r="B231" t="s">
        <v>430</v>
      </c>
      <c r="C231" s="1">
        <v>45525</v>
      </c>
      <c r="E231" t="s">
        <v>32</v>
      </c>
      <c r="F231">
        <v>30</v>
      </c>
      <c r="G231" s="12">
        <v>5970</v>
      </c>
      <c r="H231" s="12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1047</v>
      </c>
      <c r="N231" t="b">
        <v>1</v>
      </c>
    </row>
    <row r="232" spans="1:14" x14ac:dyDescent="0.3">
      <c r="A232" t="s">
        <v>1278</v>
      </c>
      <c r="B232" t="s">
        <v>346</v>
      </c>
      <c r="C232" s="1">
        <v>45497</v>
      </c>
      <c r="E232" t="s">
        <v>32</v>
      </c>
      <c r="F232">
        <v>15</v>
      </c>
      <c r="G232" s="12">
        <v>2985</v>
      </c>
      <c r="H232" s="1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1047</v>
      </c>
      <c r="N232" t="b">
        <v>0</v>
      </c>
    </row>
    <row r="233" spans="1:14" x14ac:dyDescent="0.3">
      <c r="A233" t="s">
        <v>1279</v>
      </c>
      <c r="B233" t="s">
        <v>87</v>
      </c>
      <c r="C233" s="1">
        <v>45321</v>
      </c>
      <c r="E233" t="s">
        <v>15</v>
      </c>
      <c r="F233">
        <v>20</v>
      </c>
      <c r="G233" s="12">
        <v>380</v>
      </c>
      <c r="H233" s="12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1050</v>
      </c>
      <c r="N233" t="b">
        <v>1</v>
      </c>
    </row>
    <row r="234" spans="1:14" x14ac:dyDescent="0.3">
      <c r="A234" t="s">
        <v>1280</v>
      </c>
      <c r="B234" t="s">
        <v>148</v>
      </c>
      <c r="C234" s="1">
        <v>45449</v>
      </c>
      <c r="E234" t="s">
        <v>32</v>
      </c>
      <c r="F234">
        <v>29</v>
      </c>
      <c r="G234" s="12">
        <v>5771</v>
      </c>
      <c r="H234" s="12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1047</v>
      </c>
      <c r="N234" t="b">
        <v>1</v>
      </c>
    </row>
    <row r="235" spans="1:14" x14ac:dyDescent="0.3">
      <c r="A235" t="s">
        <v>1281</v>
      </c>
      <c r="B235" t="s">
        <v>346</v>
      </c>
      <c r="C235" s="1">
        <v>45229</v>
      </c>
      <c r="E235" t="s">
        <v>15</v>
      </c>
      <c r="F235">
        <v>15</v>
      </c>
      <c r="G235" s="12">
        <v>0</v>
      </c>
      <c r="H235" s="12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1047</v>
      </c>
      <c r="N235" t="b">
        <v>1</v>
      </c>
    </row>
    <row r="236" spans="1:14" x14ac:dyDescent="0.3">
      <c r="A236" t="s">
        <v>1282</v>
      </c>
      <c r="B236" t="s">
        <v>754</v>
      </c>
      <c r="C236" s="1">
        <v>45607</v>
      </c>
      <c r="E236" t="s">
        <v>32</v>
      </c>
      <c r="F236">
        <v>19</v>
      </c>
      <c r="G236" s="12">
        <v>0</v>
      </c>
      <c r="H236" s="12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1047</v>
      </c>
      <c r="N236" t="b">
        <v>1</v>
      </c>
    </row>
    <row r="237" spans="1:14" x14ac:dyDescent="0.3">
      <c r="A237" t="s">
        <v>1283</v>
      </c>
      <c r="B237" t="s">
        <v>196</v>
      </c>
      <c r="C237" s="1">
        <v>45643</v>
      </c>
      <c r="E237" t="s">
        <v>39</v>
      </c>
      <c r="F237">
        <v>38</v>
      </c>
      <c r="G237" s="12">
        <v>0</v>
      </c>
      <c r="H237" s="12">
        <v>0</v>
      </c>
      <c r="I237" t="b">
        <v>1</v>
      </c>
      <c r="J237" t="b">
        <v>0</v>
      </c>
      <c r="K237" t="b">
        <v>0</v>
      </c>
      <c r="L237" t="b">
        <v>0</v>
      </c>
      <c r="M237" t="s">
        <v>1050</v>
      </c>
      <c r="N237" t="b">
        <v>1</v>
      </c>
    </row>
    <row r="238" spans="1:14" x14ac:dyDescent="0.3">
      <c r="A238" t="s">
        <v>1284</v>
      </c>
      <c r="B238" t="s">
        <v>200</v>
      </c>
      <c r="C238" s="1">
        <v>45429</v>
      </c>
      <c r="E238" t="s">
        <v>15</v>
      </c>
      <c r="F238">
        <v>27</v>
      </c>
      <c r="G238" s="12">
        <v>513</v>
      </c>
      <c r="H238" s="12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1050</v>
      </c>
      <c r="N238" t="b">
        <v>1</v>
      </c>
    </row>
    <row r="239" spans="1:14" x14ac:dyDescent="0.3">
      <c r="A239" t="s">
        <v>1285</v>
      </c>
      <c r="B239" t="s">
        <v>780</v>
      </c>
      <c r="C239" s="1">
        <v>45423</v>
      </c>
      <c r="E239" t="s">
        <v>15</v>
      </c>
      <c r="F239">
        <v>33</v>
      </c>
      <c r="G239" s="12">
        <v>627</v>
      </c>
      <c r="H239" s="12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1050</v>
      </c>
      <c r="N239" t="b">
        <v>0</v>
      </c>
    </row>
    <row r="240" spans="1:14" x14ac:dyDescent="0.3">
      <c r="A240" t="s">
        <v>1286</v>
      </c>
      <c r="B240" t="s">
        <v>856</v>
      </c>
      <c r="C240" s="1">
        <v>45563</v>
      </c>
      <c r="E240" t="s">
        <v>39</v>
      </c>
      <c r="F240">
        <v>28</v>
      </c>
      <c r="G240" s="12">
        <v>1372</v>
      </c>
      <c r="H240" s="12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1047</v>
      </c>
      <c r="N240" t="b">
        <v>1</v>
      </c>
    </row>
    <row r="241" spans="1:14" x14ac:dyDescent="0.3">
      <c r="A241" t="s">
        <v>1287</v>
      </c>
      <c r="B241" t="s">
        <v>298</v>
      </c>
      <c r="C241" s="1">
        <v>45514</v>
      </c>
      <c r="E241" t="s">
        <v>32</v>
      </c>
      <c r="F241">
        <v>24</v>
      </c>
      <c r="G241" s="12">
        <v>4776</v>
      </c>
      <c r="H241" s="12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1047</v>
      </c>
      <c r="N241" t="b">
        <v>1</v>
      </c>
    </row>
    <row r="242" spans="1:14" x14ac:dyDescent="0.3">
      <c r="A242" t="s">
        <v>1288</v>
      </c>
      <c r="B242" t="s">
        <v>538</v>
      </c>
      <c r="C242" s="1">
        <v>45518</v>
      </c>
      <c r="E242" t="s">
        <v>32</v>
      </c>
      <c r="F242">
        <v>6</v>
      </c>
      <c r="G242" s="12">
        <v>1194</v>
      </c>
      <c r="H242" s="1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1050</v>
      </c>
      <c r="N242" t="b">
        <v>1</v>
      </c>
    </row>
    <row r="243" spans="1:14" x14ac:dyDescent="0.3">
      <c r="A243" t="s">
        <v>1289</v>
      </c>
      <c r="B243" t="s">
        <v>85</v>
      </c>
      <c r="C243" s="1">
        <v>45482</v>
      </c>
      <c r="E243" t="s">
        <v>32</v>
      </c>
      <c r="F243">
        <v>14</v>
      </c>
      <c r="G243" s="12">
        <v>2786</v>
      </c>
      <c r="H243" s="12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1047</v>
      </c>
      <c r="N243" t="b">
        <v>1</v>
      </c>
    </row>
    <row r="244" spans="1:14" x14ac:dyDescent="0.3">
      <c r="A244" t="s">
        <v>1290</v>
      </c>
      <c r="B244" t="s">
        <v>406</v>
      </c>
      <c r="C244" s="1">
        <v>45453</v>
      </c>
      <c r="E244" t="s">
        <v>39</v>
      </c>
      <c r="F244">
        <v>25</v>
      </c>
      <c r="G244" s="12">
        <v>1225</v>
      </c>
      <c r="H244" s="12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1047</v>
      </c>
      <c r="N244" t="b">
        <v>0</v>
      </c>
    </row>
    <row r="245" spans="1:14" x14ac:dyDescent="0.3">
      <c r="A245" t="s">
        <v>1291</v>
      </c>
      <c r="B245" t="s">
        <v>944</v>
      </c>
      <c r="C245" s="1">
        <v>45607</v>
      </c>
      <c r="E245" t="s">
        <v>15</v>
      </c>
      <c r="F245">
        <v>6</v>
      </c>
      <c r="G245" s="12">
        <v>114</v>
      </c>
      <c r="H245" s="12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1047</v>
      </c>
      <c r="N245" t="b">
        <v>0</v>
      </c>
    </row>
    <row r="246" spans="1:14" x14ac:dyDescent="0.3">
      <c r="A246" t="s">
        <v>1292</v>
      </c>
      <c r="B246" t="s">
        <v>72</v>
      </c>
      <c r="C246" s="1">
        <v>45527</v>
      </c>
      <c r="E246" t="s">
        <v>15</v>
      </c>
      <c r="F246">
        <v>38</v>
      </c>
      <c r="G246" s="12">
        <v>722</v>
      </c>
      <c r="H246" s="12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1047</v>
      </c>
      <c r="N246" t="b">
        <v>1</v>
      </c>
    </row>
    <row r="247" spans="1:14" x14ac:dyDescent="0.3">
      <c r="A247" t="s">
        <v>1293</v>
      </c>
      <c r="B247" t="s">
        <v>512</v>
      </c>
      <c r="C247" s="1">
        <v>45487</v>
      </c>
      <c r="E247" t="s">
        <v>39</v>
      </c>
      <c r="F247">
        <v>27</v>
      </c>
      <c r="G247" s="12">
        <v>1323</v>
      </c>
      <c r="H247" s="12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1047</v>
      </c>
      <c r="N247" t="b">
        <v>1</v>
      </c>
    </row>
    <row r="248" spans="1:14" x14ac:dyDescent="0.3">
      <c r="A248" t="s">
        <v>1294</v>
      </c>
      <c r="B248" t="s">
        <v>212</v>
      </c>
      <c r="C248" s="1">
        <v>45339</v>
      </c>
      <c r="E248" t="s">
        <v>32</v>
      </c>
      <c r="F248">
        <v>48</v>
      </c>
      <c r="G248" s="12">
        <v>0</v>
      </c>
      <c r="H248" s="12">
        <v>0</v>
      </c>
      <c r="I248" t="b">
        <v>1</v>
      </c>
      <c r="J248" t="b">
        <v>0</v>
      </c>
      <c r="K248" t="b">
        <v>0</v>
      </c>
      <c r="L248" t="b">
        <v>0</v>
      </c>
      <c r="M248" t="s">
        <v>1050</v>
      </c>
      <c r="N248" t="b">
        <v>1</v>
      </c>
    </row>
    <row r="249" spans="1:14" x14ac:dyDescent="0.3">
      <c r="A249" t="s">
        <v>1295</v>
      </c>
      <c r="B249" t="s">
        <v>258</v>
      </c>
      <c r="C249" s="1">
        <v>45505</v>
      </c>
      <c r="E249" t="s">
        <v>15</v>
      </c>
      <c r="F249">
        <v>24</v>
      </c>
      <c r="G249" s="12">
        <v>456</v>
      </c>
      <c r="H249" s="12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1050</v>
      </c>
      <c r="N249" t="b">
        <v>1</v>
      </c>
    </row>
    <row r="250" spans="1:14" x14ac:dyDescent="0.3">
      <c r="A250" t="s">
        <v>1296</v>
      </c>
      <c r="B250" t="s">
        <v>966</v>
      </c>
      <c r="C250" s="1">
        <v>45638</v>
      </c>
      <c r="E250" t="s">
        <v>39</v>
      </c>
      <c r="F250">
        <v>25</v>
      </c>
      <c r="G250" s="12">
        <v>1225</v>
      </c>
      <c r="H250" s="12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1050</v>
      </c>
      <c r="N250" t="b">
        <v>1</v>
      </c>
    </row>
    <row r="251" spans="1:14" x14ac:dyDescent="0.3">
      <c r="A251" t="s">
        <v>1297</v>
      </c>
      <c r="B251" t="s">
        <v>874</v>
      </c>
      <c r="C251" s="1">
        <v>45407</v>
      </c>
      <c r="E251" t="s">
        <v>32</v>
      </c>
      <c r="F251">
        <v>9</v>
      </c>
      <c r="G251" s="12">
        <v>1791</v>
      </c>
      <c r="H251" s="12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1050</v>
      </c>
      <c r="N251" t="b">
        <v>0</v>
      </c>
    </row>
    <row r="252" spans="1:14" x14ac:dyDescent="0.3">
      <c r="A252" t="s">
        <v>1298</v>
      </c>
      <c r="B252" t="s">
        <v>152</v>
      </c>
      <c r="C252" s="1">
        <v>45563</v>
      </c>
      <c r="E252" t="s">
        <v>32</v>
      </c>
      <c r="F252">
        <v>41</v>
      </c>
      <c r="G252" s="12">
        <v>8159</v>
      </c>
      <c r="H252" s="1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1047</v>
      </c>
      <c r="N252" t="b">
        <v>0</v>
      </c>
    </row>
    <row r="253" spans="1:14" x14ac:dyDescent="0.3">
      <c r="A253" t="s">
        <v>1299</v>
      </c>
      <c r="B253" t="s">
        <v>212</v>
      </c>
      <c r="C253" s="1">
        <v>45435</v>
      </c>
      <c r="E253" t="s">
        <v>32</v>
      </c>
      <c r="F253">
        <v>48</v>
      </c>
      <c r="G253" s="12">
        <v>0</v>
      </c>
      <c r="H253" s="12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1047</v>
      </c>
      <c r="N253" t="b">
        <v>1</v>
      </c>
    </row>
    <row r="254" spans="1:14" x14ac:dyDescent="0.3">
      <c r="A254" t="s">
        <v>1300</v>
      </c>
      <c r="B254" t="s">
        <v>1006</v>
      </c>
      <c r="C254" s="1">
        <v>45650</v>
      </c>
      <c r="E254" t="s">
        <v>15</v>
      </c>
      <c r="F254">
        <v>148</v>
      </c>
      <c r="G254" s="12">
        <v>2812</v>
      </c>
      <c r="H254" s="12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1050</v>
      </c>
      <c r="N254" t="b">
        <v>1</v>
      </c>
    </row>
    <row r="255" spans="1:14" x14ac:dyDescent="0.3">
      <c r="A255" t="s">
        <v>1301</v>
      </c>
      <c r="B255" t="s">
        <v>916</v>
      </c>
      <c r="C255" s="1">
        <v>45541</v>
      </c>
      <c r="E255" t="s">
        <v>39</v>
      </c>
      <c r="F255">
        <v>13</v>
      </c>
      <c r="G255" s="12">
        <v>637</v>
      </c>
      <c r="H255" s="12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1050</v>
      </c>
      <c r="N255" t="b">
        <v>1</v>
      </c>
    </row>
    <row r="256" spans="1:14" x14ac:dyDescent="0.3">
      <c r="A256" t="s">
        <v>1302</v>
      </c>
      <c r="B256" t="s">
        <v>118</v>
      </c>
      <c r="C256" s="1">
        <v>45620</v>
      </c>
      <c r="E256" t="s">
        <v>39</v>
      </c>
      <c r="F256">
        <v>2</v>
      </c>
      <c r="G256" s="12">
        <v>98</v>
      </c>
      <c r="H256" s="12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1047</v>
      </c>
      <c r="N256" t="b">
        <v>1</v>
      </c>
    </row>
    <row r="257" spans="1:14" x14ac:dyDescent="0.3">
      <c r="A257" t="s">
        <v>1303</v>
      </c>
      <c r="B257" t="s">
        <v>406</v>
      </c>
      <c r="C257" s="1">
        <v>45475</v>
      </c>
      <c r="E257" t="s">
        <v>39</v>
      </c>
      <c r="F257">
        <v>8</v>
      </c>
      <c r="G257" s="12">
        <v>392</v>
      </c>
      <c r="H257" s="12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1050</v>
      </c>
      <c r="N257" t="b">
        <v>1</v>
      </c>
    </row>
    <row r="258" spans="1:14" x14ac:dyDescent="0.3">
      <c r="A258" t="s">
        <v>1304</v>
      </c>
      <c r="B258" t="s">
        <v>786</v>
      </c>
      <c r="C258" s="1">
        <v>45611</v>
      </c>
      <c r="D258" s="1">
        <v>45640</v>
      </c>
      <c r="E258" t="s">
        <v>15</v>
      </c>
      <c r="F258">
        <v>22</v>
      </c>
      <c r="G258" s="12">
        <v>418</v>
      </c>
      <c r="H258" s="12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1050</v>
      </c>
      <c r="N258" t="b">
        <v>0</v>
      </c>
    </row>
    <row r="259" spans="1:14" x14ac:dyDescent="0.3">
      <c r="A259" t="s">
        <v>1305</v>
      </c>
      <c r="B259" t="s">
        <v>634</v>
      </c>
      <c r="C259" s="1">
        <v>45645</v>
      </c>
      <c r="E259" t="s">
        <v>15</v>
      </c>
      <c r="F259">
        <v>34</v>
      </c>
      <c r="G259" s="12">
        <v>646</v>
      </c>
      <c r="H259" s="12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1047</v>
      </c>
      <c r="N259" t="b">
        <v>1</v>
      </c>
    </row>
    <row r="260" spans="1:14" x14ac:dyDescent="0.3">
      <c r="A260" t="s">
        <v>1306</v>
      </c>
      <c r="B260" t="s">
        <v>184</v>
      </c>
      <c r="C260" s="1">
        <v>45047</v>
      </c>
      <c r="E260" t="s">
        <v>39</v>
      </c>
      <c r="F260">
        <v>13</v>
      </c>
      <c r="G260" s="12">
        <v>637</v>
      </c>
      <c r="H260" s="12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1047</v>
      </c>
      <c r="N260" t="b">
        <v>1</v>
      </c>
    </row>
    <row r="261" spans="1:14" x14ac:dyDescent="0.3">
      <c r="A261" t="s">
        <v>1307</v>
      </c>
      <c r="B261" t="s">
        <v>268</v>
      </c>
      <c r="C261" s="1">
        <v>45602</v>
      </c>
      <c r="E261" t="s">
        <v>39</v>
      </c>
      <c r="F261">
        <v>21</v>
      </c>
      <c r="G261" s="12">
        <v>1029</v>
      </c>
      <c r="H261" s="12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1047</v>
      </c>
      <c r="N261" t="b">
        <v>0</v>
      </c>
    </row>
    <row r="262" spans="1:14" x14ac:dyDescent="0.3">
      <c r="A262" t="s">
        <v>1308</v>
      </c>
      <c r="B262" t="s">
        <v>1002</v>
      </c>
      <c r="C262" s="1">
        <v>45292</v>
      </c>
      <c r="E262" t="s">
        <v>15</v>
      </c>
      <c r="F262">
        <v>7</v>
      </c>
      <c r="G262" s="12">
        <v>0</v>
      </c>
      <c r="H262" s="1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1050</v>
      </c>
      <c r="N262" t="b">
        <v>1</v>
      </c>
    </row>
    <row r="263" spans="1:14" x14ac:dyDescent="0.3">
      <c r="A263" t="s">
        <v>1309</v>
      </c>
      <c r="B263" t="s">
        <v>898</v>
      </c>
      <c r="C263" s="1">
        <v>45643</v>
      </c>
      <c r="E263" t="s">
        <v>32</v>
      </c>
      <c r="F263">
        <v>1</v>
      </c>
      <c r="G263" s="12">
        <v>199</v>
      </c>
      <c r="H263" s="12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1050</v>
      </c>
      <c r="N263" t="b">
        <v>1</v>
      </c>
    </row>
    <row r="264" spans="1:14" x14ac:dyDescent="0.3">
      <c r="A264" t="s">
        <v>1310</v>
      </c>
      <c r="B264" t="s">
        <v>136</v>
      </c>
      <c r="C264" s="1">
        <v>45355</v>
      </c>
      <c r="E264" t="s">
        <v>32</v>
      </c>
      <c r="F264">
        <v>26</v>
      </c>
      <c r="G264" s="12">
        <v>5174</v>
      </c>
      <c r="H264" s="12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1047</v>
      </c>
      <c r="N264" t="b">
        <v>1</v>
      </c>
    </row>
    <row r="265" spans="1:14" x14ac:dyDescent="0.3">
      <c r="A265" t="s">
        <v>1311</v>
      </c>
      <c r="B265" t="s">
        <v>458</v>
      </c>
      <c r="C265" s="1">
        <v>45532</v>
      </c>
      <c r="E265" t="s">
        <v>15</v>
      </c>
      <c r="F265">
        <v>4</v>
      </c>
      <c r="G265" s="12">
        <v>76</v>
      </c>
      <c r="H265" s="12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1047</v>
      </c>
      <c r="N265" t="b">
        <v>1</v>
      </c>
    </row>
    <row r="266" spans="1:14" x14ac:dyDescent="0.3">
      <c r="A266" t="s">
        <v>1312</v>
      </c>
      <c r="B266" t="s">
        <v>758</v>
      </c>
      <c r="C266" s="1">
        <v>45545</v>
      </c>
      <c r="E266" t="s">
        <v>15</v>
      </c>
      <c r="F266">
        <v>24</v>
      </c>
      <c r="G266" s="12">
        <v>456</v>
      </c>
      <c r="H266" s="12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1047</v>
      </c>
      <c r="N266" t="b">
        <v>1</v>
      </c>
    </row>
    <row r="267" spans="1:14" x14ac:dyDescent="0.3">
      <c r="A267" t="s">
        <v>1313</v>
      </c>
      <c r="B267" t="s">
        <v>972</v>
      </c>
      <c r="C267" s="1">
        <v>45354</v>
      </c>
      <c r="E267" t="s">
        <v>32</v>
      </c>
      <c r="F267">
        <v>11</v>
      </c>
      <c r="G267" s="12">
        <v>2189</v>
      </c>
      <c r="H267" s="12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1050</v>
      </c>
      <c r="N267" t="b">
        <v>1</v>
      </c>
    </row>
    <row r="268" spans="1:14" x14ac:dyDescent="0.3">
      <c r="A268" t="s">
        <v>1314</v>
      </c>
      <c r="B268" t="s">
        <v>746</v>
      </c>
      <c r="C268" s="1">
        <v>45486</v>
      </c>
      <c r="D268" s="1">
        <v>45507</v>
      </c>
      <c r="E268" t="s">
        <v>39</v>
      </c>
      <c r="F268">
        <v>87</v>
      </c>
      <c r="G268" s="12">
        <v>0</v>
      </c>
      <c r="H268" s="12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1047</v>
      </c>
      <c r="N268" t="b">
        <v>1</v>
      </c>
    </row>
    <row r="269" spans="1:14" x14ac:dyDescent="0.3">
      <c r="A269" t="s">
        <v>1315</v>
      </c>
      <c r="B269" t="s">
        <v>546</v>
      </c>
      <c r="C269" s="1">
        <v>45214</v>
      </c>
      <c r="E269" t="s">
        <v>32</v>
      </c>
      <c r="F269">
        <v>49</v>
      </c>
      <c r="G269" s="12">
        <v>9751</v>
      </c>
      <c r="H269" s="12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1050</v>
      </c>
      <c r="N269" t="b">
        <v>1</v>
      </c>
    </row>
    <row r="270" spans="1:14" x14ac:dyDescent="0.3">
      <c r="A270" t="s">
        <v>1316</v>
      </c>
      <c r="B270" t="s">
        <v>106</v>
      </c>
      <c r="C270" s="1">
        <v>45651</v>
      </c>
      <c r="E270" t="s">
        <v>32</v>
      </c>
      <c r="F270">
        <v>20</v>
      </c>
      <c r="G270" s="12">
        <v>3980</v>
      </c>
      <c r="H270" s="12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1047</v>
      </c>
      <c r="N270" t="b">
        <v>1</v>
      </c>
    </row>
    <row r="271" spans="1:14" x14ac:dyDescent="0.3">
      <c r="A271" t="s">
        <v>1317</v>
      </c>
      <c r="B271" t="s">
        <v>474</v>
      </c>
      <c r="C271" s="1">
        <v>45239</v>
      </c>
      <c r="E271" t="s">
        <v>15</v>
      </c>
      <c r="F271">
        <v>5</v>
      </c>
      <c r="G271" s="12">
        <v>95</v>
      </c>
      <c r="H271" s="12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1050</v>
      </c>
      <c r="N271" t="b">
        <v>1</v>
      </c>
    </row>
    <row r="272" spans="1:14" x14ac:dyDescent="0.3">
      <c r="A272" t="s">
        <v>1318</v>
      </c>
      <c r="B272" t="s">
        <v>296</v>
      </c>
      <c r="C272" s="1">
        <v>45606</v>
      </c>
      <c r="D272" s="1">
        <v>45657</v>
      </c>
      <c r="E272" t="s">
        <v>39</v>
      </c>
      <c r="F272">
        <v>28</v>
      </c>
      <c r="G272" s="12">
        <v>1372</v>
      </c>
      <c r="H272" s="1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1050</v>
      </c>
      <c r="N272" t="b">
        <v>1</v>
      </c>
    </row>
    <row r="273" spans="1:14" x14ac:dyDescent="0.3">
      <c r="A273" t="s">
        <v>1319</v>
      </c>
      <c r="B273" t="s">
        <v>746</v>
      </c>
      <c r="C273" s="1">
        <v>45463</v>
      </c>
      <c r="E273" t="s">
        <v>39</v>
      </c>
      <c r="F273">
        <v>87</v>
      </c>
      <c r="G273" s="12">
        <v>0</v>
      </c>
      <c r="H273" s="12">
        <v>0</v>
      </c>
      <c r="I273" t="b">
        <v>1</v>
      </c>
      <c r="J273" t="b">
        <v>0</v>
      </c>
      <c r="K273" t="b">
        <v>0</v>
      </c>
      <c r="L273" t="b">
        <v>0</v>
      </c>
      <c r="M273" t="s">
        <v>1050</v>
      </c>
      <c r="N273" t="b">
        <v>0</v>
      </c>
    </row>
    <row r="274" spans="1:14" x14ac:dyDescent="0.3">
      <c r="A274" t="s">
        <v>1320</v>
      </c>
      <c r="B274" t="s">
        <v>308</v>
      </c>
      <c r="C274" s="1">
        <v>45570</v>
      </c>
      <c r="E274" t="s">
        <v>15</v>
      </c>
      <c r="F274">
        <v>53</v>
      </c>
      <c r="G274" s="12">
        <v>1007</v>
      </c>
      <c r="H274" s="12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1047</v>
      </c>
      <c r="N274" t="b">
        <v>1</v>
      </c>
    </row>
    <row r="275" spans="1:14" x14ac:dyDescent="0.3">
      <c r="A275" t="s">
        <v>1321</v>
      </c>
      <c r="B275" t="s">
        <v>168</v>
      </c>
      <c r="C275" s="1">
        <v>45632</v>
      </c>
      <c r="E275" t="s">
        <v>15</v>
      </c>
      <c r="F275">
        <v>21</v>
      </c>
      <c r="G275" s="12">
        <v>0</v>
      </c>
      <c r="H275" s="12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1047</v>
      </c>
      <c r="N275" t="b">
        <v>1</v>
      </c>
    </row>
    <row r="276" spans="1:14" x14ac:dyDescent="0.3">
      <c r="A276" t="s">
        <v>1322</v>
      </c>
      <c r="B276" t="s">
        <v>138</v>
      </c>
      <c r="C276" s="1">
        <v>45097</v>
      </c>
      <c r="E276" t="s">
        <v>39</v>
      </c>
      <c r="F276">
        <v>20</v>
      </c>
      <c r="G276" s="12">
        <v>980</v>
      </c>
      <c r="H276" s="12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1050</v>
      </c>
      <c r="N276" t="b">
        <v>1</v>
      </c>
    </row>
    <row r="277" spans="1:14" x14ac:dyDescent="0.3">
      <c r="A277" t="s">
        <v>1323</v>
      </c>
      <c r="B277" t="s">
        <v>350</v>
      </c>
      <c r="C277" s="1">
        <v>45634</v>
      </c>
      <c r="E277" t="s">
        <v>15</v>
      </c>
      <c r="F277">
        <v>19</v>
      </c>
      <c r="G277" s="12">
        <v>361</v>
      </c>
      <c r="H277" s="12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1050</v>
      </c>
      <c r="N277" t="b">
        <v>1</v>
      </c>
    </row>
    <row r="278" spans="1:14" x14ac:dyDescent="0.3">
      <c r="A278" t="s">
        <v>1324</v>
      </c>
      <c r="B278" t="s">
        <v>1016</v>
      </c>
      <c r="C278" s="1">
        <v>45521</v>
      </c>
      <c r="E278" t="s">
        <v>39</v>
      </c>
      <c r="F278">
        <v>55</v>
      </c>
      <c r="G278" s="12">
        <v>0</v>
      </c>
      <c r="H278" s="12">
        <v>0</v>
      </c>
      <c r="I278" t="b">
        <v>1</v>
      </c>
      <c r="J278" t="b">
        <v>0</v>
      </c>
      <c r="K278" t="b">
        <v>0</v>
      </c>
      <c r="L278" t="b">
        <v>0</v>
      </c>
      <c r="M278" t="s">
        <v>1050</v>
      </c>
      <c r="N278" t="b">
        <v>1</v>
      </c>
    </row>
    <row r="279" spans="1:14" x14ac:dyDescent="0.3">
      <c r="A279" t="s">
        <v>1325</v>
      </c>
      <c r="B279" t="s">
        <v>504</v>
      </c>
      <c r="C279" s="1">
        <v>45333</v>
      </c>
      <c r="D279" s="1">
        <v>45379</v>
      </c>
      <c r="E279" t="s">
        <v>15</v>
      </c>
      <c r="F279">
        <v>18</v>
      </c>
      <c r="G279" s="12">
        <v>342</v>
      </c>
      <c r="H279" s="12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1047</v>
      </c>
      <c r="N279" t="b">
        <v>1</v>
      </c>
    </row>
    <row r="280" spans="1:14" x14ac:dyDescent="0.3">
      <c r="A280" t="s">
        <v>1326</v>
      </c>
      <c r="B280" t="s">
        <v>856</v>
      </c>
      <c r="C280" s="1">
        <v>45629</v>
      </c>
      <c r="E280" t="s">
        <v>39</v>
      </c>
      <c r="F280">
        <v>28</v>
      </c>
      <c r="G280" s="12">
        <v>1372</v>
      </c>
      <c r="H280" s="12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1047</v>
      </c>
      <c r="N280" t="b">
        <v>1</v>
      </c>
    </row>
    <row r="281" spans="1:14" x14ac:dyDescent="0.3">
      <c r="A281" t="s">
        <v>1327</v>
      </c>
      <c r="B281" t="s">
        <v>250</v>
      </c>
      <c r="C281" s="1">
        <v>45398</v>
      </c>
      <c r="E281" t="s">
        <v>15</v>
      </c>
      <c r="F281">
        <v>8</v>
      </c>
      <c r="G281" s="12">
        <v>152</v>
      </c>
      <c r="H281" s="12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1047</v>
      </c>
      <c r="N281" t="b">
        <v>1</v>
      </c>
    </row>
    <row r="282" spans="1:14" x14ac:dyDescent="0.3">
      <c r="A282" t="s">
        <v>1328</v>
      </c>
      <c r="B282" t="s">
        <v>758</v>
      </c>
      <c r="C282" s="1">
        <v>45529</v>
      </c>
      <c r="E282" t="s">
        <v>39</v>
      </c>
      <c r="F282">
        <v>18</v>
      </c>
      <c r="G282" s="12">
        <v>882</v>
      </c>
      <c r="H282" s="1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1050</v>
      </c>
      <c r="N282" t="b">
        <v>1</v>
      </c>
    </row>
    <row r="283" spans="1:14" x14ac:dyDescent="0.3">
      <c r="A283" t="s">
        <v>1329</v>
      </c>
      <c r="B283" t="s">
        <v>554</v>
      </c>
      <c r="C283" s="1">
        <v>45383</v>
      </c>
      <c r="E283" t="s">
        <v>32</v>
      </c>
      <c r="F283">
        <v>17</v>
      </c>
      <c r="G283" s="12">
        <v>3383</v>
      </c>
      <c r="H283" s="12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1050</v>
      </c>
      <c r="N283" t="b">
        <v>0</v>
      </c>
    </row>
    <row r="284" spans="1:14" x14ac:dyDescent="0.3">
      <c r="A284" t="s">
        <v>1330</v>
      </c>
      <c r="B284" t="s">
        <v>296</v>
      </c>
      <c r="C284" s="1">
        <v>45590</v>
      </c>
      <c r="E284" t="s">
        <v>15</v>
      </c>
      <c r="F284">
        <v>61</v>
      </c>
      <c r="G284" s="12">
        <v>1159</v>
      </c>
      <c r="H284" s="12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1047</v>
      </c>
      <c r="N284" t="b">
        <v>0</v>
      </c>
    </row>
    <row r="285" spans="1:14" x14ac:dyDescent="0.3">
      <c r="A285" t="s">
        <v>1331</v>
      </c>
      <c r="B285" t="s">
        <v>1004</v>
      </c>
      <c r="C285" s="1">
        <v>45357</v>
      </c>
      <c r="E285" t="s">
        <v>39</v>
      </c>
      <c r="F285">
        <v>21</v>
      </c>
      <c r="G285" s="12">
        <v>1029</v>
      </c>
      <c r="H285" s="12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1047</v>
      </c>
      <c r="N285" t="b">
        <v>0</v>
      </c>
    </row>
    <row r="286" spans="1:14" x14ac:dyDescent="0.3">
      <c r="A286" t="s">
        <v>1332</v>
      </c>
      <c r="B286" t="s">
        <v>126</v>
      </c>
      <c r="C286" s="1">
        <v>45625</v>
      </c>
      <c r="E286" t="s">
        <v>15</v>
      </c>
      <c r="F286">
        <v>22</v>
      </c>
      <c r="G286" s="12">
        <v>418</v>
      </c>
      <c r="H286" s="12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1047</v>
      </c>
      <c r="N286" t="b">
        <v>1</v>
      </c>
    </row>
    <row r="287" spans="1:14" x14ac:dyDescent="0.3">
      <c r="A287" t="s">
        <v>1333</v>
      </c>
      <c r="B287" t="s">
        <v>154</v>
      </c>
      <c r="C287" s="1">
        <v>45562</v>
      </c>
      <c r="E287" t="s">
        <v>15</v>
      </c>
      <c r="F287">
        <v>33</v>
      </c>
      <c r="G287" s="12">
        <v>627</v>
      </c>
      <c r="H287" s="12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1047</v>
      </c>
      <c r="N287" t="b">
        <v>1</v>
      </c>
    </row>
    <row r="288" spans="1:14" x14ac:dyDescent="0.3">
      <c r="A288" t="s">
        <v>1334</v>
      </c>
      <c r="B288" t="s">
        <v>162</v>
      </c>
      <c r="C288" s="1">
        <v>45497</v>
      </c>
      <c r="E288" t="s">
        <v>39</v>
      </c>
      <c r="F288">
        <v>43</v>
      </c>
      <c r="G288" s="12">
        <v>0</v>
      </c>
      <c r="H288" s="12">
        <v>0</v>
      </c>
      <c r="I288" t="b">
        <v>1</v>
      </c>
      <c r="J288" t="b">
        <v>0</v>
      </c>
      <c r="K288" t="b">
        <v>0</v>
      </c>
      <c r="L288" t="b">
        <v>0</v>
      </c>
      <c r="M288" t="s">
        <v>1050</v>
      </c>
      <c r="N288" t="b">
        <v>1</v>
      </c>
    </row>
    <row r="289" spans="1:14" x14ac:dyDescent="0.3">
      <c r="A289" t="s">
        <v>1335</v>
      </c>
      <c r="B289" t="s">
        <v>732</v>
      </c>
      <c r="C289" s="1">
        <v>45511</v>
      </c>
      <c r="E289" t="s">
        <v>32</v>
      </c>
      <c r="F289">
        <v>32</v>
      </c>
      <c r="G289" s="12">
        <v>0</v>
      </c>
      <c r="H289" s="12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1047</v>
      </c>
      <c r="N289" t="b">
        <v>1</v>
      </c>
    </row>
    <row r="290" spans="1:14" x14ac:dyDescent="0.3">
      <c r="A290" t="s">
        <v>1336</v>
      </c>
      <c r="B290" t="s">
        <v>626</v>
      </c>
      <c r="C290" s="1">
        <v>45499</v>
      </c>
      <c r="E290" t="s">
        <v>15</v>
      </c>
      <c r="F290">
        <v>22</v>
      </c>
      <c r="G290" s="12">
        <v>418</v>
      </c>
      <c r="H290" s="12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1047</v>
      </c>
      <c r="N290" t="b">
        <v>1</v>
      </c>
    </row>
    <row r="291" spans="1:14" x14ac:dyDescent="0.3">
      <c r="A291" t="s">
        <v>1337</v>
      </c>
      <c r="B291" t="s">
        <v>95</v>
      </c>
      <c r="C291" s="1">
        <v>45243</v>
      </c>
      <c r="E291" t="s">
        <v>32</v>
      </c>
      <c r="F291">
        <v>9</v>
      </c>
      <c r="G291" s="12">
        <v>1791</v>
      </c>
      <c r="H291" s="12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1050</v>
      </c>
      <c r="N291" t="b">
        <v>1</v>
      </c>
    </row>
    <row r="292" spans="1:14" x14ac:dyDescent="0.3">
      <c r="A292" t="s">
        <v>1338</v>
      </c>
      <c r="B292" t="s">
        <v>858</v>
      </c>
      <c r="C292" s="1">
        <v>45183</v>
      </c>
      <c r="E292" t="s">
        <v>15</v>
      </c>
      <c r="F292">
        <v>29</v>
      </c>
      <c r="G292" s="12">
        <v>551</v>
      </c>
      <c r="H292" s="1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1050</v>
      </c>
      <c r="N292" t="b">
        <v>1</v>
      </c>
    </row>
    <row r="293" spans="1:14" x14ac:dyDescent="0.3">
      <c r="A293" t="s">
        <v>1339</v>
      </c>
      <c r="B293" t="s">
        <v>154</v>
      </c>
      <c r="C293" s="1">
        <v>45566</v>
      </c>
      <c r="E293" t="s">
        <v>39</v>
      </c>
      <c r="F293">
        <v>33</v>
      </c>
      <c r="G293" s="12">
        <v>1617</v>
      </c>
      <c r="H293" s="12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1047</v>
      </c>
      <c r="N293" t="b">
        <v>1</v>
      </c>
    </row>
    <row r="294" spans="1:14" x14ac:dyDescent="0.3">
      <c r="A294" t="s">
        <v>1340</v>
      </c>
      <c r="B294" t="s">
        <v>202</v>
      </c>
      <c r="C294" s="1">
        <v>45556</v>
      </c>
      <c r="E294" t="s">
        <v>39</v>
      </c>
      <c r="F294">
        <v>18</v>
      </c>
      <c r="G294" s="12">
        <v>0</v>
      </c>
      <c r="H294" s="12">
        <v>0</v>
      </c>
      <c r="I294" t="b">
        <v>1</v>
      </c>
      <c r="J294" t="b">
        <v>0</v>
      </c>
      <c r="K294" t="b">
        <v>0</v>
      </c>
      <c r="L294" t="b">
        <v>0</v>
      </c>
      <c r="M294" t="s">
        <v>1050</v>
      </c>
      <c r="N294" t="b">
        <v>1</v>
      </c>
    </row>
    <row r="295" spans="1:14" x14ac:dyDescent="0.3">
      <c r="A295" t="s">
        <v>1341</v>
      </c>
      <c r="B295" t="s">
        <v>538</v>
      </c>
      <c r="C295" s="1">
        <v>45082</v>
      </c>
      <c r="E295" t="s">
        <v>39</v>
      </c>
      <c r="F295">
        <v>9</v>
      </c>
      <c r="G295" s="12">
        <v>441</v>
      </c>
      <c r="H295" s="12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1050</v>
      </c>
      <c r="N295" t="b">
        <v>1</v>
      </c>
    </row>
    <row r="296" spans="1:14" x14ac:dyDescent="0.3">
      <c r="A296" t="s">
        <v>1342</v>
      </c>
      <c r="B296" t="s">
        <v>206</v>
      </c>
      <c r="C296" s="1">
        <v>45317</v>
      </c>
      <c r="E296" t="s">
        <v>15</v>
      </c>
      <c r="F296">
        <v>41</v>
      </c>
      <c r="G296" s="12">
        <v>0</v>
      </c>
      <c r="H296" s="12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1047</v>
      </c>
      <c r="N296" t="b">
        <v>1</v>
      </c>
    </row>
    <row r="297" spans="1:14" x14ac:dyDescent="0.3">
      <c r="A297" t="s">
        <v>1343</v>
      </c>
      <c r="B297" t="s">
        <v>310</v>
      </c>
      <c r="C297" s="1">
        <v>45425</v>
      </c>
      <c r="E297" t="s">
        <v>39</v>
      </c>
      <c r="F297">
        <v>31</v>
      </c>
      <c r="G297" s="12">
        <v>0</v>
      </c>
      <c r="H297" s="12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1047</v>
      </c>
      <c r="N297" t="b">
        <v>0</v>
      </c>
    </row>
    <row r="298" spans="1:14" x14ac:dyDescent="0.3">
      <c r="A298" t="s">
        <v>1344</v>
      </c>
      <c r="B298" t="s">
        <v>61</v>
      </c>
      <c r="C298" s="1">
        <v>45475</v>
      </c>
      <c r="E298" t="s">
        <v>32</v>
      </c>
      <c r="F298">
        <v>37</v>
      </c>
      <c r="G298" s="12">
        <v>7363</v>
      </c>
      <c r="H298" s="12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1047</v>
      </c>
      <c r="N298" t="b">
        <v>1</v>
      </c>
    </row>
    <row r="299" spans="1:14" x14ac:dyDescent="0.3">
      <c r="A299" t="s">
        <v>1345</v>
      </c>
      <c r="B299" t="s">
        <v>692</v>
      </c>
      <c r="C299" s="1">
        <v>45427</v>
      </c>
      <c r="E299" t="s">
        <v>39</v>
      </c>
      <c r="F299">
        <v>38</v>
      </c>
      <c r="G299" s="12">
        <v>1862</v>
      </c>
      <c r="H299" s="12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1050</v>
      </c>
      <c r="N299" t="b">
        <v>0</v>
      </c>
    </row>
    <row r="300" spans="1:14" x14ac:dyDescent="0.3">
      <c r="A300" t="s">
        <v>1346</v>
      </c>
      <c r="B300" t="s">
        <v>932</v>
      </c>
      <c r="C300" s="1">
        <v>45557</v>
      </c>
      <c r="D300" s="1">
        <v>45564</v>
      </c>
      <c r="E300" t="s">
        <v>39</v>
      </c>
      <c r="F300">
        <v>46</v>
      </c>
      <c r="G300" s="12">
        <v>2254</v>
      </c>
      <c r="H300" s="12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1047</v>
      </c>
      <c r="N300" t="b">
        <v>1</v>
      </c>
    </row>
    <row r="301" spans="1:14" x14ac:dyDescent="0.3">
      <c r="A301" t="s">
        <v>1347</v>
      </c>
      <c r="B301" t="s">
        <v>316</v>
      </c>
      <c r="C301" s="1">
        <v>45475</v>
      </c>
      <c r="E301" t="s">
        <v>15</v>
      </c>
      <c r="F301">
        <v>68</v>
      </c>
      <c r="G301" s="12">
        <v>0</v>
      </c>
      <c r="H301" s="12">
        <v>0</v>
      </c>
      <c r="I301" t="b">
        <v>1</v>
      </c>
      <c r="J301" t="b">
        <v>1</v>
      </c>
      <c r="K301" t="b">
        <v>0</v>
      </c>
      <c r="L301" t="b">
        <v>0</v>
      </c>
      <c r="M301" t="s">
        <v>1050</v>
      </c>
      <c r="N301" t="b">
        <v>0</v>
      </c>
    </row>
    <row r="302" spans="1:14" x14ac:dyDescent="0.3">
      <c r="A302" t="s">
        <v>1348</v>
      </c>
      <c r="B302" t="s">
        <v>234</v>
      </c>
      <c r="C302" s="1">
        <v>45551</v>
      </c>
      <c r="E302" t="s">
        <v>15</v>
      </c>
      <c r="F302">
        <v>14</v>
      </c>
      <c r="G302" s="12">
        <v>266</v>
      </c>
      <c r="H302" s="1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1047</v>
      </c>
      <c r="N302" t="b">
        <v>1</v>
      </c>
    </row>
    <row r="303" spans="1:14" x14ac:dyDescent="0.3">
      <c r="A303" t="s">
        <v>1349</v>
      </c>
      <c r="B303" t="s">
        <v>420</v>
      </c>
      <c r="C303" s="1">
        <v>45562</v>
      </c>
      <c r="E303" t="s">
        <v>39</v>
      </c>
      <c r="F303">
        <v>9</v>
      </c>
      <c r="G303" s="12">
        <v>0</v>
      </c>
      <c r="H303" s="12">
        <v>0</v>
      </c>
      <c r="I303" t="b">
        <v>1</v>
      </c>
      <c r="J303" t="b">
        <v>0</v>
      </c>
      <c r="K303" t="b">
        <v>0</v>
      </c>
      <c r="L303" t="b">
        <v>0</v>
      </c>
      <c r="M303" t="s">
        <v>1050</v>
      </c>
      <c r="N303" t="b">
        <v>1</v>
      </c>
    </row>
    <row r="304" spans="1:14" x14ac:dyDescent="0.3">
      <c r="A304" t="s">
        <v>1350</v>
      </c>
      <c r="B304" t="s">
        <v>382</v>
      </c>
      <c r="C304" s="1">
        <v>45539</v>
      </c>
      <c r="E304" t="s">
        <v>32</v>
      </c>
      <c r="F304">
        <v>24</v>
      </c>
      <c r="G304" s="12">
        <v>0</v>
      </c>
      <c r="H304" s="12">
        <v>0</v>
      </c>
      <c r="I304" t="b">
        <v>1</v>
      </c>
      <c r="J304" t="b">
        <v>0</v>
      </c>
      <c r="K304" t="b">
        <v>0</v>
      </c>
      <c r="L304" t="b">
        <v>0</v>
      </c>
      <c r="M304" t="s">
        <v>1050</v>
      </c>
      <c r="N304" t="b">
        <v>1</v>
      </c>
    </row>
    <row r="305" spans="1:14" x14ac:dyDescent="0.3">
      <c r="A305" t="s">
        <v>1351</v>
      </c>
      <c r="B305" t="s">
        <v>426</v>
      </c>
      <c r="C305" s="1">
        <v>45560</v>
      </c>
      <c r="E305" t="s">
        <v>15</v>
      </c>
      <c r="F305">
        <v>45</v>
      </c>
      <c r="G305" s="12">
        <v>855</v>
      </c>
      <c r="H305" s="12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1047</v>
      </c>
      <c r="N305" t="b">
        <v>1</v>
      </c>
    </row>
    <row r="306" spans="1:14" x14ac:dyDescent="0.3">
      <c r="A306" t="s">
        <v>1352</v>
      </c>
      <c r="B306" t="s">
        <v>356</v>
      </c>
      <c r="C306" s="1">
        <v>45645</v>
      </c>
      <c r="E306" t="s">
        <v>15</v>
      </c>
      <c r="F306">
        <v>44</v>
      </c>
      <c r="G306" s="12">
        <v>836</v>
      </c>
      <c r="H306" s="12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1047</v>
      </c>
      <c r="N306" t="b">
        <v>1</v>
      </c>
    </row>
    <row r="307" spans="1:14" x14ac:dyDescent="0.3">
      <c r="A307" t="s">
        <v>1353</v>
      </c>
      <c r="B307" t="s">
        <v>946</v>
      </c>
      <c r="C307" s="1">
        <v>45634</v>
      </c>
      <c r="E307" t="s">
        <v>39</v>
      </c>
      <c r="F307">
        <v>19</v>
      </c>
      <c r="G307" s="12">
        <v>931</v>
      </c>
      <c r="H307" s="12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1047</v>
      </c>
      <c r="N307" t="b">
        <v>1</v>
      </c>
    </row>
    <row r="308" spans="1:14" x14ac:dyDescent="0.3">
      <c r="A308" t="s">
        <v>1354</v>
      </c>
      <c r="B308" t="s">
        <v>858</v>
      </c>
      <c r="C308" s="1">
        <v>45535</v>
      </c>
      <c r="E308" t="s">
        <v>32</v>
      </c>
      <c r="F308">
        <v>47</v>
      </c>
      <c r="G308" s="12">
        <v>9353</v>
      </c>
      <c r="H308" s="12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1050</v>
      </c>
      <c r="N308" t="b">
        <v>1</v>
      </c>
    </row>
    <row r="309" spans="1:14" x14ac:dyDescent="0.3">
      <c r="A309" t="s">
        <v>1355</v>
      </c>
      <c r="B309" t="s">
        <v>814</v>
      </c>
      <c r="C309" s="1">
        <v>45551</v>
      </c>
      <c r="E309" t="s">
        <v>15</v>
      </c>
      <c r="F309">
        <v>30</v>
      </c>
      <c r="G309" s="12">
        <v>570</v>
      </c>
      <c r="H309" s="12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1047</v>
      </c>
      <c r="N309" t="b">
        <v>1</v>
      </c>
    </row>
    <row r="310" spans="1:14" x14ac:dyDescent="0.3">
      <c r="A310" t="s">
        <v>1356</v>
      </c>
      <c r="B310" t="s">
        <v>132</v>
      </c>
      <c r="C310" s="1">
        <v>45506</v>
      </c>
      <c r="E310" t="s">
        <v>32</v>
      </c>
      <c r="F310">
        <v>13</v>
      </c>
      <c r="G310" s="12">
        <v>2587</v>
      </c>
      <c r="H310" s="12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1047</v>
      </c>
      <c r="N310" t="b">
        <v>1</v>
      </c>
    </row>
    <row r="311" spans="1:14" x14ac:dyDescent="0.3">
      <c r="A311" t="s">
        <v>1357</v>
      </c>
      <c r="B311" t="s">
        <v>302</v>
      </c>
      <c r="C311" s="1">
        <v>45518</v>
      </c>
      <c r="E311" t="s">
        <v>32</v>
      </c>
      <c r="F311">
        <v>47</v>
      </c>
      <c r="G311" s="12">
        <v>0</v>
      </c>
      <c r="H311" s="12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1047</v>
      </c>
      <c r="N311" t="b">
        <v>1</v>
      </c>
    </row>
    <row r="312" spans="1:14" x14ac:dyDescent="0.3">
      <c r="A312" t="s">
        <v>1358</v>
      </c>
      <c r="B312" t="s">
        <v>812</v>
      </c>
      <c r="C312" s="1">
        <v>45275</v>
      </c>
      <c r="E312" t="s">
        <v>32</v>
      </c>
      <c r="F312">
        <v>31</v>
      </c>
      <c r="G312" s="12">
        <v>6169</v>
      </c>
      <c r="H312" s="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1050</v>
      </c>
      <c r="N312" t="b">
        <v>1</v>
      </c>
    </row>
    <row r="313" spans="1:14" x14ac:dyDescent="0.3">
      <c r="A313" t="s">
        <v>1359</v>
      </c>
      <c r="B313" t="s">
        <v>392</v>
      </c>
      <c r="C313" s="1">
        <v>45553</v>
      </c>
      <c r="E313" t="s">
        <v>15</v>
      </c>
      <c r="F313">
        <v>22</v>
      </c>
      <c r="G313" s="12">
        <v>418</v>
      </c>
      <c r="H313" s="12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1047</v>
      </c>
      <c r="N313" t="b">
        <v>1</v>
      </c>
    </row>
    <row r="314" spans="1:14" x14ac:dyDescent="0.3">
      <c r="A314" t="s">
        <v>1360</v>
      </c>
      <c r="B314" t="s">
        <v>636</v>
      </c>
      <c r="C314" s="1">
        <v>45421</v>
      </c>
      <c r="E314" t="s">
        <v>32</v>
      </c>
      <c r="F314">
        <v>9</v>
      </c>
      <c r="G314" s="12">
        <v>1791</v>
      </c>
      <c r="H314" s="12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1050</v>
      </c>
      <c r="N314" t="b">
        <v>1</v>
      </c>
    </row>
    <row r="315" spans="1:14" x14ac:dyDescent="0.3">
      <c r="A315" t="s">
        <v>1361</v>
      </c>
      <c r="B315" t="s">
        <v>964</v>
      </c>
      <c r="C315" s="1">
        <v>45515</v>
      </c>
      <c r="E315" t="s">
        <v>32</v>
      </c>
      <c r="F315">
        <v>3</v>
      </c>
      <c r="G315" s="12">
        <v>597</v>
      </c>
      <c r="H315" s="12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1050</v>
      </c>
      <c r="N315" t="b">
        <v>1</v>
      </c>
    </row>
    <row r="316" spans="1:14" x14ac:dyDescent="0.3">
      <c r="A316" t="s">
        <v>1362</v>
      </c>
      <c r="B316" t="s">
        <v>1000</v>
      </c>
      <c r="C316" s="1">
        <v>45649</v>
      </c>
      <c r="E316" t="s">
        <v>32</v>
      </c>
      <c r="F316">
        <v>53</v>
      </c>
      <c r="G316" s="12">
        <v>10547</v>
      </c>
      <c r="H316" s="12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1047</v>
      </c>
      <c r="N316" t="b">
        <v>1</v>
      </c>
    </row>
    <row r="317" spans="1:14" x14ac:dyDescent="0.3">
      <c r="A317" t="s">
        <v>1363</v>
      </c>
      <c r="B317" t="s">
        <v>606</v>
      </c>
      <c r="C317" s="1">
        <v>45518</v>
      </c>
      <c r="E317" t="s">
        <v>39</v>
      </c>
      <c r="F317">
        <v>10</v>
      </c>
      <c r="G317" s="12">
        <v>490</v>
      </c>
      <c r="H317" s="12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1050</v>
      </c>
      <c r="N317" t="b">
        <v>0</v>
      </c>
    </row>
    <row r="318" spans="1:14" x14ac:dyDescent="0.3">
      <c r="A318" t="s">
        <v>1364</v>
      </c>
      <c r="B318" t="s">
        <v>208</v>
      </c>
      <c r="C318" s="1">
        <v>45646</v>
      </c>
      <c r="E318" t="s">
        <v>15</v>
      </c>
      <c r="F318">
        <v>34</v>
      </c>
      <c r="G318" s="12">
        <v>646</v>
      </c>
      <c r="H318" s="12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1047</v>
      </c>
      <c r="N318" t="b">
        <v>1</v>
      </c>
    </row>
    <row r="319" spans="1:14" x14ac:dyDescent="0.3">
      <c r="A319" t="s">
        <v>1365</v>
      </c>
      <c r="B319" t="s">
        <v>85</v>
      </c>
      <c r="C319" s="1">
        <v>45346</v>
      </c>
      <c r="E319" t="s">
        <v>32</v>
      </c>
      <c r="F319">
        <v>136</v>
      </c>
      <c r="G319" s="12">
        <v>27064</v>
      </c>
      <c r="H319" s="12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1047</v>
      </c>
      <c r="N319" t="b">
        <v>0</v>
      </c>
    </row>
    <row r="320" spans="1:14" x14ac:dyDescent="0.3">
      <c r="A320" t="s">
        <v>1366</v>
      </c>
      <c r="B320" t="s">
        <v>47</v>
      </c>
      <c r="C320" s="1">
        <v>45627</v>
      </c>
      <c r="E320" t="s">
        <v>39</v>
      </c>
      <c r="F320">
        <v>18</v>
      </c>
      <c r="G320" s="12">
        <v>0</v>
      </c>
      <c r="H320" s="12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1047</v>
      </c>
      <c r="N320" t="b">
        <v>1</v>
      </c>
    </row>
    <row r="321" spans="1:14" x14ac:dyDescent="0.3">
      <c r="A321" t="s">
        <v>1367</v>
      </c>
      <c r="B321" t="s">
        <v>368</v>
      </c>
      <c r="C321" s="1">
        <v>45254</v>
      </c>
      <c r="E321" t="s">
        <v>15</v>
      </c>
      <c r="F321">
        <v>34</v>
      </c>
      <c r="G321" s="12">
        <v>646</v>
      </c>
      <c r="H321" s="12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1050</v>
      </c>
      <c r="N321" t="b">
        <v>1</v>
      </c>
    </row>
    <row r="322" spans="1:14" x14ac:dyDescent="0.3">
      <c r="A322" t="s">
        <v>1368</v>
      </c>
      <c r="B322" t="s">
        <v>764</v>
      </c>
      <c r="C322" s="1">
        <v>45528</v>
      </c>
      <c r="E322" t="s">
        <v>39</v>
      </c>
      <c r="F322">
        <v>69</v>
      </c>
      <c r="G322" s="12">
        <v>3381</v>
      </c>
      <c r="H322" s="1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1047</v>
      </c>
      <c r="N322" t="b">
        <v>1</v>
      </c>
    </row>
    <row r="323" spans="1:14" x14ac:dyDescent="0.3">
      <c r="A323" t="s">
        <v>1369</v>
      </c>
      <c r="B323" t="s">
        <v>49</v>
      </c>
      <c r="C323" s="1">
        <v>45613</v>
      </c>
      <c r="E323" t="s">
        <v>32</v>
      </c>
      <c r="F323">
        <v>59</v>
      </c>
      <c r="G323" s="12">
        <v>11741</v>
      </c>
      <c r="H323" s="12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1047</v>
      </c>
      <c r="N323" t="b">
        <v>0</v>
      </c>
    </row>
    <row r="324" spans="1:14" x14ac:dyDescent="0.3">
      <c r="A324" t="s">
        <v>1370</v>
      </c>
      <c r="B324" t="s">
        <v>822</v>
      </c>
      <c r="C324" s="1">
        <v>45307</v>
      </c>
      <c r="E324" t="s">
        <v>32</v>
      </c>
      <c r="F324">
        <v>28</v>
      </c>
      <c r="G324" s="12">
        <v>5572</v>
      </c>
      <c r="H324" s="12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1050</v>
      </c>
      <c r="N324" t="b">
        <v>1</v>
      </c>
    </row>
    <row r="325" spans="1:14" x14ac:dyDescent="0.3">
      <c r="A325" t="s">
        <v>1371</v>
      </c>
      <c r="B325" t="s">
        <v>1012</v>
      </c>
      <c r="C325" s="1">
        <v>45350</v>
      </c>
      <c r="E325" t="s">
        <v>39</v>
      </c>
      <c r="F325">
        <v>52</v>
      </c>
      <c r="G325" s="12">
        <v>2548</v>
      </c>
      <c r="H325" s="12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1050</v>
      </c>
      <c r="N325" t="b">
        <v>0</v>
      </c>
    </row>
    <row r="326" spans="1:14" x14ac:dyDescent="0.3">
      <c r="A326" t="s">
        <v>1372</v>
      </c>
      <c r="B326" t="s">
        <v>630</v>
      </c>
      <c r="C326" s="1">
        <v>45384</v>
      </c>
      <c r="E326" t="s">
        <v>39</v>
      </c>
      <c r="F326">
        <v>79</v>
      </c>
      <c r="G326" s="12">
        <v>3871</v>
      </c>
      <c r="H326" s="12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1050</v>
      </c>
      <c r="N326" t="b">
        <v>1</v>
      </c>
    </row>
    <row r="327" spans="1:14" x14ac:dyDescent="0.3">
      <c r="A327" t="s">
        <v>1373</v>
      </c>
      <c r="B327" t="s">
        <v>360</v>
      </c>
      <c r="C327" s="1">
        <v>45441</v>
      </c>
      <c r="E327" t="s">
        <v>15</v>
      </c>
      <c r="F327">
        <v>12</v>
      </c>
      <c r="G327" s="12">
        <v>228</v>
      </c>
      <c r="H327" s="12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1050</v>
      </c>
      <c r="N327" t="b">
        <v>1</v>
      </c>
    </row>
    <row r="328" spans="1:14" x14ac:dyDescent="0.3">
      <c r="A328" t="s">
        <v>1374</v>
      </c>
      <c r="B328" t="s">
        <v>840</v>
      </c>
      <c r="C328" s="1">
        <v>45628</v>
      </c>
      <c r="E328" t="s">
        <v>32</v>
      </c>
      <c r="F328">
        <v>13</v>
      </c>
      <c r="G328" s="12">
        <v>2587</v>
      </c>
      <c r="H328" s="12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1050</v>
      </c>
      <c r="N328" t="b">
        <v>1</v>
      </c>
    </row>
    <row r="329" spans="1:14" x14ac:dyDescent="0.3">
      <c r="A329" t="s">
        <v>1375</v>
      </c>
      <c r="B329" t="s">
        <v>208</v>
      </c>
      <c r="C329" s="1">
        <v>45612</v>
      </c>
      <c r="E329" t="s">
        <v>15</v>
      </c>
      <c r="F329">
        <v>24</v>
      </c>
      <c r="G329" s="12">
        <v>456</v>
      </c>
      <c r="H329" s="12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1047</v>
      </c>
      <c r="N329" t="b">
        <v>1</v>
      </c>
    </row>
    <row r="330" spans="1:14" x14ac:dyDescent="0.3">
      <c r="A330" t="s">
        <v>1376</v>
      </c>
      <c r="B330" t="s">
        <v>416</v>
      </c>
      <c r="C330" s="1">
        <v>45242</v>
      </c>
      <c r="D330" s="1">
        <v>45594</v>
      </c>
      <c r="E330" t="s">
        <v>32</v>
      </c>
      <c r="F330">
        <v>36</v>
      </c>
      <c r="G330" s="12">
        <v>7164</v>
      </c>
      <c r="H330" s="12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1050</v>
      </c>
      <c r="N330" t="b">
        <v>1</v>
      </c>
    </row>
    <row r="331" spans="1:14" x14ac:dyDescent="0.3">
      <c r="A331" t="s">
        <v>1377</v>
      </c>
      <c r="B331" t="s">
        <v>160</v>
      </c>
      <c r="C331" s="1">
        <v>45609</v>
      </c>
      <c r="E331" t="s">
        <v>32</v>
      </c>
      <c r="F331">
        <v>36</v>
      </c>
      <c r="G331" s="12">
        <v>7164</v>
      </c>
      <c r="H331" s="12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1047</v>
      </c>
      <c r="N331" t="b">
        <v>1</v>
      </c>
    </row>
    <row r="332" spans="1:14" x14ac:dyDescent="0.3">
      <c r="A332" t="s">
        <v>1378</v>
      </c>
      <c r="B332" t="s">
        <v>1000</v>
      </c>
      <c r="C332" s="1">
        <v>45650</v>
      </c>
      <c r="E332" t="s">
        <v>39</v>
      </c>
      <c r="F332">
        <v>53</v>
      </c>
      <c r="G332" s="12">
        <v>2597</v>
      </c>
      <c r="H332" s="1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1047</v>
      </c>
      <c r="N332" t="b">
        <v>1</v>
      </c>
    </row>
    <row r="333" spans="1:14" x14ac:dyDescent="0.3">
      <c r="A333" t="s">
        <v>1379</v>
      </c>
      <c r="B333" t="s">
        <v>216</v>
      </c>
      <c r="C333" s="1">
        <v>45651</v>
      </c>
      <c r="D333" s="1">
        <v>45657</v>
      </c>
      <c r="E333" t="s">
        <v>39</v>
      </c>
      <c r="F333">
        <v>31</v>
      </c>
      <c r="G333" s="12">
        <v>0</v>
      </c>
      <c r="H333" s="12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1047</v>
      </c>
      <c r="N333" t="b">
        <v>1</v>
      </c>
    </row>
    <row r="334" spans="1:14" x14ac:dyDescent="0.3">
      <c r="A334" t="s">
        <v>1380</v>
      </c>
      <c r="B334" t="s">
        <v>684</v>
      </c>
      <c r="C334" s="1">
        <v>45533</v>
      </c>
      <c r="E334" t="s">
        <v>15</v>
      </c>
      <c r="F334">
        <v>42</v>
      </c>
      <c r="G334" s="12">
        <v>798</v>
      </c>
      <c r="H334" s="12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1050</v>
      </c>
      <c r="N334" t="b">
        <v>0</v>
      </c>
    </row>
    <row r="335" spans="1:14" x14ac:dyDescent="0.3">
      <c r="A335" t="s">
        <v>1381</v>
      </c>
      <c r="B335" t="s">
        <v>174</v>
      </c>
      <c r="C335" s="1">
        <v>45374</v>
      </c>
      <c r="E335" t="s">
        <v>32</v>
      </c>
      <c r="F335">
        <v>7</v>
      </c>
      <c r="G335" s="12">
        <v>1393</v>
      </c>
      <c r="H335" s="12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1047</v>
      </c>
      <c r="N335" t="b">
        <v>1</v>
      </c>
    </row>
    <row r="336" spans="1:14" x14ac:dyDescent="0.3">
      <c r="A336" t="s">
        <v>1382</v>
      </c>
      <c r="B336" t="s">
        <v>272</v>
      </c>
      <c r="C336" s="1">
        <v>45503</v>
      </c>
      <c r="E336" t="s">
        <v>39</v>
      </c>
      <c r="F336">
        <v>45</v>
      </c>
      <c r="G336" s="12">
        <v>2205</v>
      </c>
      <c r="H336" s="12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1047</v>
      </c>
      <c r="N336" t="b">
        <v>1</v>
      </c>
    </row>
    <row r="337" spans="1:14" x14ac:dyDescent="0.3">
      <c r="A337" t="s">
        <v>1383</v>
      </c>
      <c r="B337" t="s">
        <v>680</v>
      </c>
      <c r="C337" s="1">
        <v>45626</v>
      </c>
      <c r="E337" t="s">
        <v>32</v>
      </c>
      <c r="F337">
        <v>8</v>
      </c>
      <c r="G337" s="12">
        <v>0</v>
      </c>
      <c r="H337" s="12">
        <v>0</v>
      </c>
      <c r="I337" t="b">
        <v>1</v>
      </c>
      <c r="J337" t="b">
        <v>0</v>
      </c>
      <c r="K337" t="b">
        <v>0</v>
      </c>
      <c r="L337" t="b">
        <v>0</v>
      </c>
      <c r="M337" t="s">
        <v>1050</v>
      </c>
      <c r="N337" t="b">
        <v>0</v>
      </c>
    </row>
    <row r="338" spans="1:14" x14ac:dyDescent="0.3">
      <c r="A338" t="s">
        <v>1384</v>
      </c>
      <c r="B338" t="s">
        <v>486</v>
      </c>
      <c r="C338" s="1">
        <v>45188</v>
      </c>
      <c r="D338" s="1">
        <v>45295</v>
      </c>
      <c r="E338" t="s">
        <v>39</v>
      </c>
      <c r="F338">
        <v>53</v>
      </c>
      <c r="G338" s="12">
        <v>2597</v>
      </c>
      <c r="H338" s="12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1047</v>
      </c>
      <c r="N338" t="b">
        <v>1</v>
      </c>
    </row>
    <row r="339" spans="1:14" x14ac:dyDescent="0.3">
      <c r="A339" t="s">
        <v>1385</v>
      </c>
      <c r="B339" t="s">
        <v>738</v>
      </c>
      <c r="C339" s="1">
        <v>45572</v>
      </c>
      <c r="E339" t="s">
        <v>39</v>
      </c>
      <c r="F339">
        <v>29</v>
      </c>
      <c r="G339" s="12">
        <v>0</v>
      </c>
      <c r="H339" s="12">
        <v>0</v>
      </c>
      <c r="I339" t="b">
        <v>1</v>
      </c>
      <c r="J339" t="b">
        <v>0</v>
      </c>
      <c r="K339" t="b">
        <v>0</v>
      </c>
      <c r="L339" t="b">
        <v>0</v>
      </c>
      <c r="M339" t="s">
        <v>1050</v>
      </c>
      <c r="N339" t="b">
        <v>1</v>
      </c>
    </row>
    <row r="340" spans="1:14" x14ac:dyDescent="0.3">
      <c r="A340" t="s">
        <v>1386</v>
      </c>
      <c r="B340" t="s">
        <v>834</v>
      </c>
      <c r="C340" s="1">
        <v>45165</v>
      </c>
      <c r="E340" t="s">
        <v>32</v>
      </c>
      <c r="F340">
        <v>68</v>
      </c>
      <c r="G340" s="12">
        <v>13532</v>
      </c>
      <c r="H340" s="12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1047</v>
      </c>
      <c r="N340" t="b">
        <v>1</v>
      </c>
    </row>
    <row r="341" spans="1:14" x14ac:dyDescent="0.3">
      <c r="A341" t="s">
        <v>1387</v>
      </c>
      <c r="B341" t="s">
        <v>76</v>
      </c>
      <c r="C341" s="1">
        <v>45618</v>
      </c>
      <c r="E341" t="s">
        <v>39</v>
      </c>
      <c r="F341">
        <v>5</v>
      </c>
      <c r="G341" s="12">
        <v>0</v>
      </c>
      <c r="H341" s="12">
        <v>0</v>
      </c>
      <c r="I341" t="b">
        <v>1</v>
      </c>
      <c r="J341" t="b">
        <v>0</v>
      </c>
      <c r="K341" t="b">
        <v>0</v>
      </c>
      <c r="L341" t="b">
        <v>0</v>
      </c>
      <c r="M341" t="s">
        <v>1050</v>
      </c>
      <c r="N341" t="b">
        <v>1</v>
      </c>
    </row>
    <row r="342" spans="1:14" x14ac:dyDescent="0.3">
      <c r="A342" t="s">
        <v>1388</v>
      </c>
      <c r="B342" t="s">
        <v>1022</v>
      </c>
      <c r="C342" s="1">
        <v>45366</v>
      </c>
      <c r="E342" t="s">
        <v>39</v>
      </c>
      <c r="F342">
        <v>9</v>
      </c>
      <c r="G342" s="12">
        <v>441</v>
      </c>
      <c r="H342" s="1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1050</v>
      </c>
      <c r="N342" t="b">
        <v>1</v>
      </c>
    </row>
    <row r="343" spans="1:14" x14ac:dyDescent="0.3">
      <c r="A343" t="s">
        <v>1389</v>
      </c>
      <c r="B343" t="s">
        <v>932</v>
      </c>
      <c r="C343" s="1">
        <v>45513</v>
      </c>
      <c r="E343" t="s">
        <v>39</v>
      </c>
      <c r="F343">
        <v>25</v>
      </c>
      <c r="G343" s="12">
        <v>1225</v>
      </c>
      <c r="H343" s="12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1050</v>
      </c>
      <c r="N343" t="b">
        <v>1</v>
      </c>
    </row>
    <row r="344" spans="1:14" x14ac:dyDescent="0.3">
      <c r="A344" t="s">
        <v>1390</v>
      </c>
      <c r="B344" t="s">
        <v>132</v>
      </c>
      <c r="C344" s="1">
        <v>45625</v>
      </c>
      <c r="E344" t="s">
        <v>32</v>
      </c>
      <c r="F344">
        <v>17</v>
      </c>
      <c r="G344" s="12">
        <v>3383</v>
      </c>
      <c r="H344" s="12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1047</v>
      </c>
      <c r="N344" t="b">
        <v>1</v>
      </c>
    </row>
    <row r="345" spans="1:14" x14ac:dyDescent="0.3">
      <c r="A345" t="s">
        <v>1391</v>
      </c>
      <c r="B345" t="s">
        <v>196</v>
      </c>
      <c r="C345" s="1">
        <v>45640</v>
      </c>
      <c r="E345" t="s">
        <v>15</v>
      </c>
      <c r="F345">
        <v>38</v>
      </c>
      <c r="G345" s="12">
        <v>722</v>
      </c>
      <c r="H345" s="12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1047</v>
      </c>
      <c r="N345" t="b">
        <v>1</v>
      </c>
    </row>
    <row r="346" spans="1:14" x14ac:dyDescent="0.3">
      <c r="A346" t="s">
        <v>1392</v>
      </c>
      <c r="B346" t="s">
        <v>330</v>
      </c>
      <c r="C346" s="1">
        <v>45223</v>
      </c>
      <c r="E346" t="s">
        <v>39</v>
      </c>
      <c r="F346">
        <v>30</v>
      </c>
      <c r="G346" s="12">
        <v>1470</v>
      </c>
      <c r="H346" s="12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1050</v>
      </c>
      <c r="N346" t="b">
        <v>0</v>
      </c>
    </row>
    <row r="347" spans="1:14" x14ac:dyDescent="0.3">
      <c r="A347" t="s">
        <v>1393</v>
      </c>
      <c r="B347" t="s">
        <v>1004</v>
      </c>
      <c r="C347" s="1">
        <v>45203</v>
      </c>
      <c r="E347" t="s">
        <v>15</v>
      </c>
      <c r="F347">
        <v>21</v>
      </c>
      <c r="G347" s="12">
        <v>399</v>
      </c>
      <c r="H347" s="12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1050</v>
      </c>
      <c r="N347" t="b">
        <v>1</v>
      </c>
    </row>
    <row r="348" spans="1:14" x14ac:dyDescent="0.3">
      <c r="A348" t="s">
        <v>1394</v>
      </c>
      <c r="B348" t="s">
        <v>204</v>
      </c>
      <c r="C348" s="1">
        <v>45631</v>
      </c>
      <c r="E348" t="s">
        <v>15</v>
      </c>
      <c r="F348">
        <v>92</v>
      </c>
      <c r="G348" s="12">
        <v>1748</v>
      </c>
      <c r="H348" s="12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1047</v>
      </c>
      <c r="N348" t="b">
        <v>0</v>
      </c>
    </row>
    <row r="349" spans="1:14" x14ac:dyDescent="0.3">
      <c r="A349" t="s">
        <v>1395</v>
      </c>
      <c r="B349" t="s">
        <v>590</v>
      </c>
      <c r="C349" s="1">
        <v>45655</v>
      </c>
      <c r="E349" t="s">
        <v>15</v>
      </c>
      <c r="F349">
        <v>8</v>
      </c>
      <c r="G349" s="12">
        <v>152</v>
      </c>
      <c r="H349" s="12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1050</v>
      </c>
      <c r="N349" t="b">
        <v>1</v>
      </c>
    </row>
    <row r="350" spans="1:14" x14ac:dyDescent="0.3">
      <c r="A350" t="s">
        <v>1396</v>
      </c>
      <c r="B350" t="s">
        <v>638</v>
      </c>
      <c r="C350" s="1">
        <v>45652</v>
      </c>
      <c r="E350" t="s">
        <v>39</v>
      </c>
      <c r="F350">
        <v>19</v>
      </c>
      <c r="G350" s="12">
        <v>931</v>
      </c>
      <c r="H350" s="12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1047</v>
      </c>
      <c r="N350" t="b">
        <v>1</v>
      </c>
    </row>
    <row r="351" spans="1:14" x14ac:dyDescent="0.3">
      <c r="A351" t="s">
        <v>1397</v>
      </c>
      <c r="B351" t="s">
        <v>470</v>
      </c>
      <c r="C351" s="1">
        <v>45653</v>
      </c>
      <c r="E351" t="s">
        <v>15</v>
      </c>
      <c r="F351">
        <v>13</v>
      </c>
      <c r="G351" s="12">
        <v>247</v>
      </c>
      <c r="H351" s="12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1050</v>
      </c>
      <c r="N351" t="b">
        <v>1</v>
      </c>
    </row>
    <row r="352" spans="1:14" x14ac:dyDescent="0.3">
      <c r="A352" t="s">
        <v>1398</v>
      </c>
      <c r="B352" t="s">
        <v>190</v>
      </c>
      <c r="C352" s="1">
        <v>45196</v>
      </c>
      <c r="E352" t="s">
        <v>15</v>
      </c>
      <c r="F352">
        <v>56</v>
      </c>
      <c r="G352" s="12">
        <v>1064</v>
      </c>
      <c r="H352" s="1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1050</v>
      </c>
      <c r="N352" t="b">
        <v>1</v>
      </c>
    </row>
    <row r="353" spans="1:14" x14ac:dyDescent="0.3">
      <c r="A353" t="s">
        <v>1399</v>
      </c>
      <c r="B353" t="s">
        <v>240</v>
      </c>
      <c r="C353" s="1">
        <v>45195</v>
      </c>
      <c r="E353" t="s">
        <v>39</v>
      </c>
      <c r="F353">
        <v>34</v>
      </c>
      <c r="G353" s="12">
        <v>1666</v>
      </c>
      <c r="H353" s="12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1050</v>
      </c>
      <c r="N353" t="b">
        <v>1</v>
      </c>
    </row>
    <row r="354" spans="1:14" x14ac:dyDescent="0.3">
      <c r="A354" t="s">
        <v>1400</v>
      </c>
      <c r="B354" t="s">
        <v>706</v>
      </c>
      <c r="C354" s="1">
        <v>45545</v>
      </c>
      <c r="E354" t="s">
        <v>39</v>
      </c>
      <c r="F354">
        <v>24</v>
      </c>
      <c r="G354" s="12">
        <v>1176</v>
      </c>
      <c r="H354" s="12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1047</v>
      </c>
      <c r="N354" t="b">
        <v>0</v>
      </c>
    </row>
    <row r="355" spans="1:14" x14ac:dyDescent="0.3">
      <c r="A355" t="s">
        <v>1401</v>
      </c>
      <c r="B355" t="s">
        <v>128</v>
      </c>
      <c r="C355" s="1">
        <v>45206</v>
      </c>
      <c r="E355" t="s">
        <v>39</v>
      </c>
      <c r="F355">
        <v>31</v>
      </c>
      <c r="G355" s="12">
        <v>1519</v>
      </c>
      <c r="H355" s="12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1050</v>
      </c>
      <c r="N355" t="b">
        <v>0</v>
      </c>
    </row>
    <row r="356" spans="1:14" x14ac:dyDescent="0.3">
      <c r="A356" t="s">
        <v>1402</v>
      </c>
      <c r="B356" t="s">
        <v>186</v>
      </c>
      <c r="C356" s="1">
        <v>45018</v>
      </c>
      <c r="D356" s="1">
        <v>45021</v>
      </c>
      <c r="E356" t="s">
        <v>39</v>
      </c>
      <c r="F356">
        <v>5</v>
      </c>
      <c r="G356" s="12">
        <v>245</v>
      </c>
      <c r="H356" s="12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1050</v>
      </c>
      <c r="N356" t="b">
        <v>1</v>
      </c>
    </row>
    <row r="357" spans="1:14" x14ac:dyDescent="0.3">
      <c r="A357" t="s">
        <v>1403</v>
      </c>
      <c r="B357" t="s">
        <v>118</v>
      </c>
      <c r="C357" s="1">
        <v>45554</v>
      </c>
      <c r="E357" t="s">
        <v>32</v>
      </c>
      <c r="F357">
        <v>27</v>
      </c>
      <c r="G357" s="12">
        <v>5373</v>
      </c>
      <c r="H357" s="12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1050</v>
      </c>
      <c r="N357" t="b">
        <v>1</v>
      </c>
    </row>
    <row r="358" spans="1:14" x14ac:dyDescent="0.3">
      <c r="A358" t="s">
        <v>1404</v>
      </c>
      <c r="B358" t="s">
        <v>234</v>
      </c>
      <c r="C358" s="1">
        <v>45112</v>
      </c>
      <c r="E358" t="s">
        <v>15</v>
      </c>
      <c r="F358">
        <v>50</v>
      </c>
      <c r="G358" s="12">
        <v>0</v>
      </c>
      <c r="H358" s="12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1047</v>
      </c>
      <c r="N358" t="b">
        <v>0</v>
      </c>
    </row>
    <row r="359" spans="1:14" x14ac:dyDescent="0.3">
      <c r="A359" t="s">
        <v>1405</v>
      </c>
      <c r="B359" t="s">
        <v>204</v>
      </c>
      <c r="C359" s="1">
        <v>45620</v>
      </c>
      <c r="E359" t="s">
        <v>15</v>
      </c>
      <c r="F359">
        <v>92</v>
      </c>
      <c r="G359" s="12">
        <v>1748</v>
      </c>
      <c r="H359" s="12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1050</v>
      </c>
      <c r="N359" t="b">
        <v>1</v>
      </c>
    </row>
    <row r="360" spans="1:14" x14ac:dyDescent="0.3">
      <c r="A360" t="s">
        <v>1406</v>
      </c>
      <c r="B360" t="s">
        <v>894</v>
      </c>
      <c r="C360" s="1">
        <v>45292</v>
      </c>
      <c r="E360" t="s">
        <v>39</v>
      </c>
      <c r="F360">
        <v>18</v>
      </c>
      <c r="G360" s="12">
        <v>882</v>
      </c>
      <c r="H360" s="12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1050</v>
      </c>
      <c r="N360" t="b">
        <v>1</v>
      </c>
    </row>
    <row r="361" spans="1:14" x14ac:dyDescent="0.3">
      <c r="A361" t="s">
        <v>1407</v>
      </c>
      <c r="B361" t="s">
        <v>512</v>
      </c>
      <c r="C361" s="1">
        <v>45551</v>
      </c>
      <c r="E361" t="s">
        <v>32</v>
      </c>
      <c r="F361">
        <v>27</v>
      </c>
      <c r="G361" s="12">
        <v>5373</v>
      </c>
      <c r="H361" s="12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1050</v>
      </c>
      <c r="N361" t="b">
        <v>0</v>
      </c>
    </row>
    <row r="362" spans="1:14" x14ac:dyDescent="0.3">
      <c r="A362" t="s">
        <v>1408</v>
      </c>
      <c r="B362" t="s">
        <v>122</v>
      </c>
      <c r="C362" s="1">
        <v>45580</v>
      </c>
      <c r="D362" s="1">
        <v>45603</v>
      </c>
      <c r="E362" t="s">
        <v>39</v>
      </c>
      <c r="F362">
        <v>14</v>
      </c>
      <c r="G362" s="12">
        <v>686</v>
      </c>
      <c r="H362" s="1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1050</v>
      </c>
      <c r="N362" t="b">
        <v>1</v>
      </c>
    </row>
    <row r="363" spans="1:14" x14ac:dyDescent="0.3">
      <c r="A363" t="s">
        <v>1409</v>
      </c>
      <c r="B363" t="s">
        <v>936</v>
      </c>
      <c r="C363" s="1">
        <v>45624</v>
      </c>
      <c r="D363" s="1">
        <v>45635</v>
      </c>
      <c r="E363" t="s">
        <v>39</v>
      </c>
      <c r="F363">
        <v>36</v>
      </c>
      <c r="G363" s="12">
        <v>1764</v>
      </c>
      <c r="H363" s="12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1050</v>
      </c>
      <c r="N363" t="b">
        <v>1</v>
      </c>
    </row>
    <row r="364" spans="1:14" x14ac:dyDescent="0.3">
      <c r="A364" t="s">
        <v>1410</v>
      </c>
      <c r="B364" t="s">
        <v>72</v>
      </c>
      <c r="C364" s="1">
        <v>45591</v>
      </c>
      <c r="E364" t="s">
        <v>39</v>
      </c>
      <c r="F364">
        <v>25</v>
      </c>
      <c r="G364" s="12">
        <v>0</v>
      </c>
      <c r="H364" s="12">
        <v>0</v>
      </c>
      <c r="I364" t="b">
        <v>1</v>
      </c>
      <c r="J364" t="b">
        <v>0</v>
      </c>
      <c r="K364" t="b">
        <v>0</v>
      </c>
      <c r="L364" t="b">
        <v>0</v>
      </c>
      <c r="M364" t="s">
        <v>1050</v>
      </c>
      <c r="N364" t="b">
        <v>1</v>
      </c>
    </row>
    <row r="365" spans="1:14" x14ac:dyDescent="0.3">
      <c r="A365" t="s">
        <v>1411</v>
      </c>
      <c r="B365" t="s">
        <v>298</v>
      </c>
      <c r="C365" s="1">
        <v>45265</v>
      </c>
      <c r="E365" t="s">
        <v>39</v>
      </c>
      <c r="F365">
        <v>32</v>
      </c>
      <c r="G365" s="12">
        <v>1568</v>
      </c>
      <c r="H365" s="12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1047</v>
      </c>
      <c r="N365" t="b">
        <v>1</v>
      </c>
    </row>
    <row r="366" spans="1:14" x14ac:dyDescent="0.3">
      <c r="A366" t="s">
        <v>1412</v>
      </c>
      <c r="B366" t="s">
        <v>184</v>
      </c>
      <c r="C366" s="1">
        <v>45140</v>
      </c>
      <c r="E366" t="s">
        <v>15</v>
      </c>
      <c r="F366">
        <v>22</v>
      </c>
      <c r="G366" s="12">
        <v>418</v>
      </c>
      <c r="H366" s="12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1050</v>
      </c>
      <c r="N366" t="b">
        <v>1</v>
      </c>
    </row>
    <row r="367" spans="1:14" x14ac:dyDescent="0.3">
      <c r="A367" t="s">
        <v>1413</v>
      </c>
      <c r="B367" t="s">
        <v>856</v>
      </c>
      <c r="C367" s="1">
        <v>45592</v>
      </c>
      <c r="E367" t="s">
        <v>39</v>
      </c>
      <c r="F367">
        <v>35</v>
      </c>
      <c r="G367" s="12">
        <v>1715</v>
      </c>
      <c r="H367" s="12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1047</v>
      </c>
      <c r="N367" t="b">
        <v>1</v>
      </c>
    </row>
    <row r="368" spans="1:14" x14ac:dyDescent="0.3">
      <c r="A368" t="s">
        <v>1414</v>
      </c>
      <c r="B368" t="s">
        <v>596</v>
      </c>
      <c r="C368" s="1">
        <v>45189</v>
      </c>
      <c r="E368" t="s">
        <v>39</v>
      </c>
      <c r="F368">
        <v>65</v>
      </c>
      <c r="G368" s="12">
        <v>3185</v>
      </c>
      <c r="H368" s="12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1050</v>
      </c>
      <c r="N368" t="b">
        <v>1</v>
      </c>
    </row>
    <row r="369" spans="1:14" x14ac:dyDescent="0.3">
      <c r="A369" t="s">
        <v>1415</v>
      </c>
      <c r="B369" t="s">
        <v>1018</v>
      </c>
      <c r="C369" s="1">
        <v>45498</v>
      </c>
      <c r="E369" t="s">
        <v>32</v>
      </c>
      <c r="F369">
        <v>15</v>
      </c>
      <c r="G369" s="12">
        <v>2985</v>
      </c>
      <c r="H369" s="12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1050</v>
      </c>
      <c r="N369" t="b">
        <v>1</v>
      </c>
    </row>
    <row r="370" spans="1:14" x14ac:dyDescent="0.3">
      <c r="A370" t="s">
        <v>1416</v>
      </c>
      <c r="B370" t="s">
        <v>616</v>
      </c>
      <c r="C370" s="1">
        <v>45657</v>
      </c>
      <c r="D370" s="1">
        <v>45657</v>
      </c>
      <c r="E370" t="s">
        <v>15</v>
      </c>
      <c r="F370">
        <v>6</v>
      </c>
      <c r="G370" s="12">
        <v>114</v>
      </c>
      <c r="H370" s="12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1050</v>
      </c>
      <c r="N370" t="b">
        <v>1</v>
      </c>
    </row>
    <row r="371" spans="1:14" x14ac:dyDescent="0.3">
      <c r="A371" t="s">
        <v>1417</v>
      </c>
      <c r="B371" t="s">
        <v>110</v>
      </c>
      <c r="C371" s="1">
        <v>45454</v>
      </c>
      <c r="E371" t="s">
        <v>32</v>
      </c>
      <c r="F371">
        <v>92</v>
      </c>
      <c r="G371" s="12">
        <v>18308</v>
      </c>
      <c r="H371" s="12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1047</v>
      </c>
      <c r="N371" t="b">
        <v>1</v>
      </c>
    </row>
    <row r="372" spans="1:14" x14ac:dyDescent="0.3">
      <c r="A372" t="s">
        <v>1418</v>
      </c>
      <c r="B372" t="s">
        <v>544</v>
      </c>
      <c r="C372" s="1">
        <v>45640</v>
      </c>
      <c r="E372" t="s">
        <v>32</v>
      </c>
      <c r="F372">
        <v>37</v>
      </c>
      <c r="G372" s="12">
        <v>7363</v>
      </c>
      <c r="H372" s="1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1047</v>
      </c>
      <c r="N372" t="b">
        <v>0</v>
      </c>
    </row>
    <row r="373" spans="1:14" x14ac:dyDescent="0.3">
      <c r="A373" t="s">
        <v>1419</v>
      </c>
      <c r="B373" t="s">
        <v>152</v>
      </c>
      <c r="C373" s="1">
        <v>45508</v>
      </c>
      <c r="E373" t="s">
        <v>15</v>
      </c>
      <c r="F373">
        <v>41</v>
      </c>
      <c r="G373" s="12">
        <v>0</v>
      </c>
      <c r="H373" s="12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1047</v>
      </c>
      <c r="N373" t="b">
        <v>0</v>
      </c>
    </row>
    <row r="374" spans="1:14" x14ac:dyDescent="0.3">
      <c r="A374" t="s">
        <v>1420</v>
      </c>
      <c r="B374" t="s">
        <v>1024</v>
      </c>
      <c r="C374" s="1">
        <v>45616</v>
      </c>
      <c r="E374" t="s">
        <v>15</v>
      </c>
      <c r="F374">
        <v>11</v>
      </c>
      <c r="G374" s="12">
        <v>209</v>
      </c>
      <c r="H374" s="12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1047</v>
      </c>
      <c r="N374" t="b">
        <v>1</v>
      </c>
    </row>
    <row r="375" spans="1:14" x14ac:dyDescent="0.3">
      <c r="A375" t="s">
        <v>1421</v>
      </c>
      <c r="B375" t="s">
        <v>70</v>
      </c>
      <c r="C375" s="1">
        <v>45609</v>
      </c>
      <c r="E375" t="s">
        <v>15</v>
      </c>
      <c r="F375">
        <v>28</v>
      </c>
      <c r="G375" s="12">
        <v>532</v>
      </c>
      <c r="H375" s="12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1050</v>
      </c>
      <c r="N375" t="b">
        <v>1</v>
      </c>
    </row>
    <row r="376" spans="1:14" x14ac:dyDescent="0.3">
      <c r="A376" t="s">
        <v>1422</v>
      </c>
      <c r="B376" t="s">
        <v>236</v>
      </c>
      <c r="C376" s="1">
        <v>45173</v>
      </c>
      <c r="E376" t="s">
        <v>32</v>
      </c>
      <c r="F376">
        <v>6</v>
      </c>
      <c r="G376" s="12">
        <v>1194</v>
      </c>
      <c r="H376" s="12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1050</v>
      </c>
      <c r="N376" t="b">
        <v>0</v>
      </c>
    </row>
    <row r="377" spans="1:14" x14ac:dyDescent="0.3">
      <c r="A377" t="s">
        <v>1423</v>
      </c>
      <c r="B377" t="s">
        <v>356</v>
      </c>
      <c r="C377" s="1">
        <v>45510</v>
      </c>
      <c r="E377" t="s">
        <v>15</v>
      </c>
      <c r="F377">
        <v>45</v>
      </c>
      <c r="G377" s="12">
        <v>855</v>
      </c>
      <c r="H377" s="12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1050</v>
      </c>
      <c r="N377" t="b">
        <v>1</v>
      </c>
    </row>
    <row r="378" spans="1:14" x14ac:dyDescent="0.3">
      <c r="A378" t="s">
        <v>1424</v>
      </c>
      <c r="B378" t="s">
        <v>598</v>
      </c>
      <c r="C378" s="1">
        <v>45643</v>
      </c>
      <c r="E378" t="s">
        <v>32</v>
      </c>
      <c r="F378">
        <v>4</v>
      </c>
      <c r="G378" s="12">
        <v>796</v>
      </c>
      <c r="H378" s="12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1050</v>
      </c>
      <c r="N378" t="b">
        <v>1</v>
      </c>
    </row>
    <row r="379" spans="1:14" x14ac:dyDescent="0.3">
      <c r="A379" t="s">
        <v>1425</v>
      </c>
      <c r="B379" t="s">
        <v>906</v>
      </c>
      <c r="C379" s="1">
        <v>45360</v>
      </c>
      <c r="E379" t="s">
        <v>32</v>
      </c>
      <c r="F379">
        <v>15</v>
      </c>
      <c r="G379" s="12">
        <v>2985</v>
      </c>
      <c r="H379" s="12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1050</v>
      </c>
      <c r="N379" t="b">
        <v>1</v>
      </c>
    </row>
    <row r="380" spans="1:14" x14ac:dyDescent="0.3">
      <c r="A380" t="s">
        <v>1426</v>
      </c>
      <c r="B380" t="s">
        <v>968</v>
      </c>
      <c r="C380" s="1">
        <v>45082</v>
      </c>
      <c r="E380" t="s">
        <v>32</v>
      </c>
      <c r="F380">
        <v>32</v>
      </c>
      <c r="G380" s="12">
        <v>0</v>
      </c>
      <c r="H380" s="12">
        <v>0</v>
      </c>
      <c r="I380" t="b">
        <v>1</v>
      </c>
      <c r="J380" t="b">
        <v>0</v>
      </c>
      <c r="K380" t="b">
        <v>0</v>
      </c>
      <c r="L380" t="b">
        <v>0</v>
      </c>
      <c r="M380" t="s">
        <v>1050</v>
      </c>
      <c r="N380" t="b">
        <v>1</v>
      </c>
    </row>
    <row r="381" spans="1:14" x14ac:dyDescent="0.3">
      <c r="A381" t="s">
        <v>1427</v>
      </c>
      <c r="B381" t="s">
        <v>144</v>
      </c>
      <c r="C381" s="1">
        <v>45588</v>
      </c>
      <c r="E381" t="s">
        <v>15</v>
      </c>
      <c r="F381">
        <v>21</v>
      </c>
      <c r="G381" s="12">
        <v>399</v>
      </c>
      <c r="H381" s="12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1047</v>
      </c>
      <c r="N381" t="b">
        <v>0</v>
      </c>
    </row>
    <row r="382" spans="1:14" x14ac:dyDescent="0.3">
      <c r="A382" t="s">
        <v>1428</v>
      </c>
      <c r="B382" t="s">
        <v>610</v>
      </c>
      <c r="C382" s="1">
        <v>45612</v>
      </c>
      <c r="D382" s="1">
        <v>45618</v>
      </c>
      <c r="E382" t="s">
        <v>32</v>
      </c>
      <c r="F382">
        <v>10</v>
      </c>
      <c r="G382" s="12">
        <v>1990</v>
      </c>
      <c r="H382" s="1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1047</v>
      </c>
      <c r="N382" t="b">
        <v>1</v>
      </c>
    </row>
    <row r="383" spans="1:14" x14ac:dyDescent="0.3">
      <c r="A383" t="s">
        <v>1429</v>
      </c>
      <c r="B383" t="s">
        <v>606</v>
      </c>
      <c r="C383" s="1">
        <v>45495</v>
      </c>
      <c r="E383" t="s">
        <v>39</v>
      </c>
      <c r="F383">
        <v>17</v>
      </c>
      <c r="G383" s="12">
        <v>833</v>
      </c>
      <c r="H383" s="12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1050</v>
      </c>
      <c r="N383" t="b">
        <v>1</v>
      </c>
    </row>
    <row r="384" spans="1:14" x14ac:dyDescent="0.3">
      <c r="A384" t="s">
        <v>1430</v>
      </c>
      <c r="B384" t="s">
        <v>928</v>
      </c>
      <c r="C384" s="1">
        <v>45490</v>
      </c>
      <c r="D384" s="1">
        <v>45588</v>
      </c>
      <c r="E384" t="s">
        <v>39</v>
      </c>
      <c r="F384">
        <v>18</v>
      </c>
      <c r="G384" s="12">
        <v>882</v>
      </c>
      <c r="H384" s="12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1050</v>
      </c>
      <c r="N384" t="b">
        <v>1</v>
      </c>
    </row>
    <row r="385" spans="1:14" x14ac:dyDescent="0.3">
      <c r="A385" t="s">
        <v>1431</v>
      </c>
      <c r="B385" t="s">
        <v>614</v>
      </c>
      <c r="C385" s="1">
        <v>45642</v>
      </c>
      <c r="E385" t="s">
        <v>39</v>
      </c>
      <c r="F385">
        <v>25</v>
      </c>
      <c r="G385" s="12">
        <v>1225</v>
      </c>
      <c r="H385" s="12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1047</v>
      </c>
      <c r="N385" t="b">
        <v>0</v>
      </c>
    </row>
    <row r="386" spans="1:14" x14ac:dyDescent="0.3">
      <c r="A386" t="s">
        <v>1432</v>
      </c>
      <c r="B386" t="s">
        <v>206</v>
      </c>
      <c r="C386" s="1">
        <v>45237</v>
      </c>
      <c r="E386" t="s">
        <v>39</v>
      </c>
      <c r="F386">
        <v>41</v>
      </c>
      <c r="G386" s="12">
        <v>2009</v>
      </c>
      <c r="H386" s="12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1047</v>
      </c>
      <c r="N386" t="b">
        <v>1</v>
      </c>
    </row>
    <row r="387" spans="1:14" x14ac:dyDescent="0.3">
      <c r="A387" t="s">
        <v>1433</v>
      </c>
      <c r="B387" t="s">
        <v>662</v>
      </c>
      <c r="C387" s="1">
        <v>45638</v>
      </c>
      <c r="E387" t="s">
        <v>15</v>
      </c>
      <c r="F387">
        <v>41</v>
      </c>
      <c r="G387" s="12">
        <v>779</v>
      </c>
      <c r="H387" s="12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1050</v>
      </c>
      <c r="N387" t="b">
        <v>1</v>
      </c>
    </row>
    <row r="388" spans="1:14" x14ac:dyDescent="0.3">
      <c r="A388" t="s">
        <v>1434</v>
      </c>
      <c r="B388" t="s">
        <v>940</v>
      </c>
      <c r="C388" s="1">
        <v>45635</v>
      </c>
      <c r="E388" t="s">
        <v>39</v>
      </c>
      <c r="F388">
        <v>8</v>
      </c>
      <c r="G388" s="12">
        <v>392</v>
      </c>
      <c r="H388" s="12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1047</v>
      </c>
      <c r="N388" t="b">
        <v>1</v>
      </c>
    </row>
    <row r="389" spans="1:14" x14ac:dyDescent="0.3">
      <c r="A389" t="s">
        <v>1435</v>
      </c>
      <c r="B389" t="s">
        <v>78</v>
      </c>
      <c r="C389" s="1">
        <v>45478</v>
      </c>
      <c r="E389" t="s">
        <v>39</v>
      </c>
      <c r="F389">
        <v>32</v>
      </c>
      <c r="G389" s="12">
        <v>1568</v>
      </c>
      <c r="H389" s="12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1050</v>
      </c>
      <c r="N389" t="b">
        <v>1</v>
      </c>
    </row>
    <row r="390" spans="1:14" x14ac:dyDescent="0.3">
      <c r="A390" t="s">
        <v>1436</v>
      </c>
      <c r="B390" t="s">
        <v>47</v>
      </c>
      <c r="C390" s="1">
        <v>45603</v>
      </c>
      <c r="E390" t="s">
        <v>39</v>
      </c>
      <c r="F390">
        <v>36</v>
      </c>
      <c r="G390" s="12">
        <v>1764</v>
      </c>
      <c r="H390" s="12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1050</v>
      </c>
      <c r="N390" t="b">
        <v>1</v>
      </c>
    </row>
    <row r="391" spans="1:14" x14ac:dyDescent="0.3">
      <c r="A391" t="s">
        <v>1437</v>
      </c>
      <c r="B391" t="s">
        <v>316</v>
      </c>
      <c r="C391" s="1">
        <v>45586</v>
      </c>
      <c r="E391" t="s">
        <v>32</v>
      </c>
      <c r="F391">
        <v>12</v>
      </c>
      <c r="G391" s="12">
        <v>2388</v>
      </c>
      <c r="H391" s="12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1047</v>
      </c>
      <c r="N391" t="b">
        <v>1</v>
      </c>
    </row>
    <row r="392" spans="1:14" x14ac:dyDescent="0.3">
      <c r="A392" t="s">
        <v>1438</v>
      </c>
      <c r="B392" t="s">
        <v>1024</v>
      </c>
      <c r="C392" s="1">
        <v>45617</v>
      </c>
      <c r="E392" t="s">
        <v>15</v>
      </c>
      <c r="F392">
        <v>15</v>
      </c>
      <c r="G392" s="12">
        <v>0</v>
      </c>
      <c r="H392" s="1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1050</v>
      </c>
      <c r="N392" t="b">
        <v>1</v>
      </c>
    </row>
    <row r="393" spans="1:14" x14ac:dyDescent="0.3">
      <c r="A393" t="s">
        <v>1439</v>
      </c>
      <c r="B393" t="s">
        <v>1026</v>
      </c>
      <c r="C393" s="1">
        <v>45591</v>
      </c>
      <c r="E393" t="s">
        <v>39</v>
      </c>
      <c r="F393">
        <v>70</v>
      </c>
      <c r="G393" s="12">
        <v>3430</v>
      </c>
      <c r="H393" s="12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1050</v>
      </c>
      <c r="N393" t="b">
        <v>1</v>
      </c>
    </row>
    <row r="394" spans="1:14" x14ac:dyDescent="0.3">
      <c r="A394" t="s">
        <v>1440</v>
      </c>
      <c r="B394" t="s">
        <v>776</v>
      </c>
      <c r="C394" s="1">
        <v>45591</v>
      </c>
      <c r="E394" t="s">
        <v>32</v>
      </c>
      <c r="F394">
        <v>18</v>
      </c>
      <c r="G394" s="12">
        <v>3582</v>
      </c>
      <c r="H394" s="12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1047</v>
      </c>
      <c r="N394" t="b">
        <v>1</v>
      </c>
    </row>
    <row r="395" spans="1:14" x14ac:dyDescent="0.3">
      <c r="A395" t="s">
        <v>1441</v>
      </c>
      <c r="B395" t="s">
        <v>222</v>
      </c>
      <c r="C395" s="1">
        <v>45565</v>
      </c>
      <c r="E395" t="s">
        <v>15</v>
      </c>
      <c r="F395">
        <v>10</v>
      </c>
      <c r="G395" s="12">
        <v>190</v>
      </c>
      <c r="H395" s="12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1050</v>
      </c>
      <c r="N395" t="b">
        <v>1</v>
      </c>
    </row>
    <row r="396" spans="1:14" x14ac:dyDescent="0.3">
      <c r="A396" t="s">
        <v>1442</v>
      </c>
      <c r="B396" t="s">
        <v>788</v>
      </c>
      <c r="C396" s="1">
        <v>45652</v>
      </c>
      <c r="E396" t="s">
        <v>32</v>
      </c>
      <c r="F396">
        <v>13</v>
      </c>
      <c r="G396" s="12">
        <v>2587</v>
      </c>
      <c r="H396" s="12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1050</v>
      </c>
      <c r="N396" t="b">
        <v>1</v>
      </c>
    </row>
    <row r="397" spans="1:14" x14ac:dyDescent="0.3">
      <c r="A397" t="s">
        <v>1443</v>
      </c>
      <c r="B397" t="s">
        <v>870</v>
      </c>
      <c r="C397" s="1">
        <v>45538</v>
      </c>
      <c r="E397" t="s">
        <v>32</v>
      </c>
      <c r="F397">
        <v>10</v>
      </c>
      <c r="G397" s="12">
        <v>1990</v>
      </c>
      <c r="H397" s="12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1047</v>
      </c>
      <c r="N397" t="b">
        <v>1</v>
      </c>
    </row>
    <row r="398" spans="1:14" x14ac:dyDescent="0.3">
      <c r="A398" t="s">
        <v>1444</v>
      </c>
      <c r="B398" t="s">
        <v>95</v>
      </c>
      <c r="C398" s="1">
        <v>45359</v>
      </c>
      <c r="E398" t="s">
        <v>32</v>
      </c>
      <c r="F398">
        <v>3</v>
      </c>
      <c r="G398" s="12">
        <v>597</v>
      </c>
      <c r="H398" s="12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1050</v>
      </c>
      <c r="N398" t="b">
        <v>1</v>
      </c>
    </row>
    <row r="399" spans="1:14" x14ac:dyDescent="0.3">
      <c r="A399" t="s">
        <v>1445</v>
      </c>
      <c r="B399" t="s">
        <v>168</v>
      </c>
      <c r="C399" s="1">
        <v>45617</v>
      </c>
      <c r="E399" t="s">
        <v>32</v>
      </c>
      <c r="F399">
        <v>63</v>
      </c>
      <c r="G399" s="12">
        <v>12537</v>
      </c>
      <c r="H399" s="12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1047</v>
      </c>
      <c r="N399" t="b">
        <v>1</v>
      </c>
    </row>
    <row r="400" spans="1:14" x14ac:dyDescent="0.3">
      <c r="A400" t="s">
        <v>1446</v>
      </c>
      <c r="B400" t="s">
        <v>206</v>
      </c>
      <c r="C400" s="1">
        <v>45152</v>
      </c>
      <c r="E400" t="s">
        <v>15</v>
      </c>
      <c r="F400">
        <v>41</v>
      </c>
      <c r="G400" s="12">
        <v>779</v>
      </c>
      <c r="H400" s="12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1047</v>
      </c>
      <c r="N400" t="b">
        <v>1</v>
      </c>
    </row>
    <row r="401" spans="1:14" x14ac:dyDescent="0.3">
      <c r="A401" t="s">
        <v>1447</v>
      </c>
      <c r="B401" t="s">
        <v>284</v>
      </c>
      <c r="C401" s="1">
        <v>45011</v>
      </c>
      <c r="E401" t="s">
        <v>39</v>
      </c>
      <c r="F401">
        <v>26</v>
      </c>
      <c r="G401" s="12">
        <v>1274</v>
      </c>
      <c r="H401" s="12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1047</v>
      </c>
      <c r="N401" t="b">
        <v>0</v>
      </c>
    </row>
    <row r="402" spans="1:14" x14ac:dyDescent="0.3">
      <c r="A402" t="s">
        <v>1448</v>
      </c>
      <c r="B402" t="s">
        <v>970</v>
      </c>
      <c r="C402" s="1">
        <v>45378</v>
      </c>
      <c r="E402" t="s">
        <v>32</v>
      </c>
      <c r="F402">
        <v>11</v>
      </c>
      <c r="G402" s="12">
        <v>2189</v>
      </c>
      <c r="H402" s="1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1047</v>
      </c>
      <c r="N402" t="b">
        <v>1</v>
      </c>
    </row>
    <row r="403" spans="1:14" x14ac:dyDescent="0.3">
      <c r="A403" t="s">
        <v>1449</v>
      </c>
      <c r="B403" t="s">
        <v>310</v>
      </c>
      <c r="C403" s="1">
        <v>45470</v>
      </c>
      <c r="E403" t="s">
        <v>39</v>
      </c>
      <c r="F403">
        <v>31</v>
      </c>
      <c r="G403" s="12">
        <v>1519</v>
      </c>
      <c r="H403" s="12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1050</v>
      </c>
      <c r="N403" t="b">
        <v>1</v>
      </c>
    </row>
    <row r="404" spans="1:14" x14ac:dyDescent="0.3">
      <c r="A404" t="s">
        <v>1450</v>
      </c>
      <c r="B404" t="s">
        <v>680</v>
      </c>
      <c r="C404" s="1">
        <v>45628</v>
      </c>
      <c r="E404" t="s">
        <v>32</v>
      </c>
      <c r="F404">
        <v>6</v>
      </c>
      <c r="G404" s="12">
        <v>1194</v>
      </c>
      <c r="H404" s="12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1047</v>
      </c>
      <c r="N404" t="b">
        <v>1</v>
      </c>
    </row>
    <row r="405" spans="1:14" x14ac:dyDescent="0.3">
      <c r="A405" t="s">
        <v>1451</v>
      </c>
      <c r="B405" t="s">
        <v>276</v>
      </c>
      <c r="C405" s="1">
        <v>45337</v>
      </c>
      <c r="E405" t="s">
        <v>39</v>
      </c>
      <c r="F405">
        <v>22</v>
      </c>
      <c r="G405" s="12">
        <v>1078</v>
      </c>
      <c r="H405" s="12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1050</v>
      </c>
      <c r="N405" t="b">
        <v>1</v>
      </c>
    </row>
    <row r="406" spans="1:14" x14ac:dyDescent="0.3">
      <c r="A406" t="s">
        <v>1452</v>
      </c>
      <c r="B406" t="s">
        <v>210</v>
      </c>
      <c r="C406" s="1">
        <v>45522</v>
      </c>
      <c r="E406" t="s">
        <v>32</v>
      </c>
      <c r="F406">
        <v>92</v>
      </c>
      <c r="G406" s="12">
        <v>0</v>
      </c>
      <c r="H406" s="12">
        <v>0</v>
      </c>
      <c r="I406" t="b">
        <v>1</v>
      </c>
      <c r="J406" t="b">
        <v>0</v>
      </c>
      <c r="K406" t="b">
        <v>0</v>
      </c>
      <c r="L406" t="b">
        <v>0</v>
      </c>
      <c r="M406" t="s">
        <v>1050</v>
      </c>
      <c r="N406" t="b">
        <v>1</v>
      </c>
    </row>
    <row r="407" spans="1:14" x14ac:dyDescent="0.3">
      <c r="A407" t="s">
        <v>1453</v>
      </c>
      <c r="B407" t="s">
        <v>382</v>
      </c>
      <c r="C407" s="1">
        <v>45127</v>
      </c>
      <c r="E407" t="s">
        <v>39</v>
      </c>
      <c r="F407">
        <v>55</v>
      </c>
      <c r="G407" s="12">
        <v>2695</v>
      </c>
      <c r="H407" s="12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1047</v>
      </c>
      <c r="N407" t="b">
        <v>1</v>
      </c>
    </row>
    <row r="408" spans="1:14" x14ac:dyDescent="0.3">
      <c r="A408" t="s">
        <v>1454</v>
      </c>
      <c r="B408" t="s">
        <v>320</v>
      </c>
      <c r="C408" s="1">
        <v>45410</v>
      </c>
      <c r="E408" t="s">
        <v>39</v>
      </c>
      <c r="F408">
        <v>24</v>
      </c>
      <c r="G408" s="12">
        <v>1176</v>
      </c>
      <c r="H408" s="12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1047</v>
      </c>
      <c r="N408" t="b">
        <v>0</v>
      </c>
    </row>
    <row r="409" spans="1:14" x14ac:dyDescent="0.3">
      <c r="A409" t="s">
        <v>1455</v>
      </c>
      <c r="B409" t="s">
        <v>196</v>
      </c>
      <c r="C409" s="1">
        <v>45648</v>
      </c>
      <c r="E409" t="s">
        <v>15</v>
      </c>
      <c r="F409">
        <v>38</v>
      </c>
      <c r="G409" s="12">
        <v>722</v>
      </c>
      <c r="H409" s="12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1047</v>
      </c>
      <c r="N409" t="b">
        <v>1</v>
      </c>
    </row>
    <row r="410" spans="1:14" x14ac:dyDescent="0.3">
      <c r="A410" t="s">
        <v>1456</v>
      </c>
      <c r="B410" t="s">
        <v>692</v>
      </c>
      <c r="C410" s="1">
        <v>45391</v>
      </c>
      <c r="D410" s="1">
        <v>45496</v>
      </c>
      <c r="E410" t="s">
        <v>32</v>
      </c>
      <c r="F410">
        <v>17</v>
      </c>
      <c r="G410" s="12">
        <v>3383</v>
      </c>
      <c r="H410" s="12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1050</v>
      </c>
      <c r="N410" t="b">
        <v>1</v>
      </c>
    </row>
    <row r="411" spans="1:14" x14ac:dyDescent="0.3">
      <c r="A411" t="s">
        <v>1457</v>
      </c>
      <c r="B411" t="s">
        <v>696</v>
      </c>
      <c r="C411" s="1">
        <v>45583</v>
      </c>
      <c r="E411" t="s">
        <v>32</v>
      </c>
      <c r="F411">
        <v>11</v>
      </c>
      <c r="G411" s="12">
        <v>2189</v>
      </c>
      <c r="H411" s="12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1047</v>
      </c>
      <c r="N411" t="b">
        <v>1</v>
      </c>
    </row>
    <row r="412" spans="1:14" x14ac:dyDescent="0.3">
      <c r="A412" t="s">
        <v>1458</v>
      </c>
      <c r="B412" t="s">
        <v>914</v>
      </c>
      <c r="C412" s="1">
        <v>45654</v>
      </c>
      <c r="D412" s="1">
        <v>45654</v>
      </c>
      <c r="E412" t="s">
        <v>32</v>
      </c>
      <c r="F412">
        <v>17</v>
      </c>
      <c r="G412" s="12">
        <v>3383</v>
      </c>
      <c r="H412" s="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1050</v>
      </c>
      <c r="N412" t="b">
        <v>1</v>
      </c>
    </row>
    <row r="413" spans="1:14" x14ac:dyDescent="0.3">
      <c r="A413" t="s">
        <v>1459</v>
      </c>
      <c r="B413" t="s">
        <v>962</v>
      </c>
      <c r="C413" s="1">
        <v>45257</v>
      </c>
      <c r="E413" t="s">
        <v>32</v>
      </c>
      <c r="F413">
        <v>19</v>
      </c>
      <c r="G413" s="12">
        <v>0</v>
      </c>
      <c r="H413" s="12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1047</v>
      </c>
      <c r="N413" t="b">
        <v>1</v>
      </c>
    </row>
    <row r="414" spans="1:14" x14ac:dyDescent="0.3">
      <c r="A414" t="s">
        <v>1460</v>
      </c>
      <c r="B414" t="s">
        <v>644</v>
      </c>
      <c r="C414" s="1">
        <v>45654</v>
      </c>
      <c r="E414" t="s">
        <v>15</v>
      </c>
      <c r="F414">
        <v>13</v>
      </c>
      <c r="G414" s="12">
        <v>247</v>
      </c>
      <c r="H414" s="12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1047</v>
      </c>
      <c r="N414" t="b">
        <v>1</v>
      </c>
    </row>
    <row r="415" spans="1:14" x14ac:dyDescent="0.3">
      <c r="A415" t="s">
        <v>1461</v>
      </c>
      <c r="B415" t="s">
        <v>288</v>
      </c>
      <c r="C415" s="1">
        <v>45514</v>
      </c>
      <c r="E415" t="s">
        <v>32</v>
      </c>
      <c r="F415">
        <v>3</v>
      </c>
      <c r="G415" s="12">
        <v>597</v>
      </c>
      <c r="H415" s="12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1050</v>
      </c>
      <c r="N415" t="b">
        <v>1</v>
      </c>
    </row>
    <row r="416" spans="1:14" x14ac:dyDescent="0.3">
      <c r="A416" t="s">
        <v>1462</v>
      </c>
      <c r="B416" t="s">
        <v>462</v>
      </c>
      <c r="C416" s="1">
        <v>45443</v>
      </c>
      <c r="D416" s="1">
        <v>45560</v>
      </c>
      <c r="E416" t="s">
        <v>39</v>
      </c>
      <c r="F416">
        <v>33</v>
      </c>
      <c r="G416" s="12">
        <v>1617</v>
      </c>
      <c r="H416" s="12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1050</v>
      </c>
      <c r="N416" t="b">
        <v>0</v>
      </c>
    </row>
    <row r="417" spans="1:14" x14ac:dyDescent="0.3">
      <c r="A417" t="s">
        <v>1463</v>
      </c>
      <c r="B417" t="s">
        <v>252</v>
      </c>
      <c r="C417" s="1">
        <v>45489</v>
      </c>
      <c r="E417" t="s">
        <v>39</v>
      </c>
      <c r="F417">
        <v>2</v>
      </c>
      <c r="G417" s="12">
        <v>98</v>
      </c>
      <c r="H417" s="12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1050</v>
      </c>
      <c r="N417" t="b">
        <v>1</v>
      </c>
    </row>
    <row r="418" spans="1:14" x14ac:dyDescent="0.3">
      <c r="A418" t="s">
        <v>1464</v>
      </c>
      <c r="B418" t="s">
        <v>628</v>
      </c>
      <c r="C418" s="1">
        <v>45214</v>
      </c>
      <c r="E418" t="s">
        <v>15</v>
      </c>
      <c r="F418">
        <v>45</v>
      </c>
      <c r="G418" s="12">
        <v>855</v>
      </c>
      <c r="H418" s="12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1050</v>
      </c>
      <c r="N418" t="b">
        <v>0</v>
      </c>
    </row>
    <row r="419" spans="1:14" x14ac:dyDescent="0.3">
      <c r="A419" t="s">
        <v>1465</v>
      </c>
      <c r="B419" t="s">
        <v>604</v>
      </c>
      <c r="C419" s="1">
        <v>45641</v>
      </c>
      <c r="E419" t="s">
        <v>32</v>
      </c>
      <c r="F419">
        <v>28</v>
      </c>
      <c r="G419" s="12">
        <v>5572</v>
      </c>
      <c r="H419" s="12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1050</v>
      </c>
      <c r="N419" t="b">
        <v>1</v>
      </c>
    </row>
    <row r="420" spans="1:14" x14ac:dyDescent="0.3">
      <c r="A420" t="s">
        <v>1466</v>
      </c>
      <c r="B420" t="s">
        <v>334</v>
      </c>
      <c r="C420" s="1">
        <v>45398</v>
      </c>
      <c r="D420" s="1">
        <v>45430</v>
      </c>
      <c r="E420" t="s">
        <v>39</v>
      </c>
      <c r="F420">
        <v>22</v>
      </c>
      <c r="G420" s="12">
        <v>0</v>
      </c>
      <c r="H420" s="12">
        <v>0</v>
      </c>
      <c r="I420" t="b">
        <v>1</v>
      </c>
      <c r="J420" t="b">
        <v>0</v>
      </c>
      <c r="K420" t="b">
        <v>0</v>
      </c>
      <c r="L420" t="b">
        <v>1</v>
      </c>
      <c r="M420" t="s">
        <v>1050</v>
      </c>
      <c r="N420" t="b">
        <v>1</v>
      </c>
    </row>
    <row r="421" spans="1:14" x14ac:dyDescent="0.3">
      <c r="A421" t="s">
        <v>1467</v>
      </c>
      <c r="B421" t="s">
        <v>312</v>
      </c>
      <c r="C421" s="1">
        <v>45608</v>
      </c>
      <c r="E421" t="s">
        <v>39</v>
      </c>
      <c r="F421">
        <v>20</v>
      </c>
      <c r="G421" s="12">
        <v>980</v>
      </c>
      <c r="H421" s="12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1050</v>
      </c>
      <c r="N421" t="b">
        <v>1</v>
      </c>
    </row>
    <row r="422" spans="1:14" x14ac:dyDescent="0.3">
      <c r="A422" t="s">
        <v>1468</v>
      </c>
      <c r="B422" t="s">
        <v>296</v>
      </c>
      <c r="C422" s="1">
        <v>45506</v>
      </c>
      <c r="E422" t="s">
        <v>32</v>
      </c>
      <c r="F422">
        <v>28</v>
      </c>
      <c r="G422" s="12">
        <v>5572</v>
      </c>
      <c r="H422" s="1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1050</v>
      </c>
      <c r="N422" t="b">
        <v>0</v>
      </c>
    </row>
    <row r="423" spans="1:14" x14ac:dyDescent="0.3">
      <c r="A423" t="s">
        <v>1469</v>
      </c>
      <c r="B423" t="s">
        <v>222</v>
      </c>
      <c r="C423" s="1">
        <v>45415</v>
      </c>
      <c r="E423" t="s">
        <v>32</v>
      </c>
      <c r="F423">
        <v>10</v>
      </c>
      <c r="G423" s="12">
        <v>1990</v>
      </c>
      <c r="H423" s="12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1047</v>
      </c>
      <c r="N423" t="b">
        <v>1</v>
      </c>
    </row>
    <row r="424" spans="1:14" x14ac:dyDescent="0.3">
      <c r="A424" t="s">
        <v>1470</v>
      </c>
      <c r="B424" t="s">
        <v>950</v>
      </c>
      <c r="C424" s="1">
        <v>45383</v>
      </c>
      <c r="E424" t="s">
        <v>32</v>
      </c>
      <c r="F424">
        <v>3</v>
      </c>
      <c r="G424" s="12">
        <v>597</v>
      </c>
      <c r="H424" s="12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1050</v>
      </c>
      <c r="N424" t="b">
        <v>1</v>
      </c>
    </row>
    <row r="425" spans="1:14" x14ac:dyDescent="0.3">
      <c r="A425" t="s">
        <v>1471</v>
      </c>
      <c r="B425" t="s">
        <v>706</v>
      </c>
      <c r="C425" s="1">
        <v>45554</v>
      </c>
      <c r="E425" t="s">
        <v>32</v>
      </c>
      <c r="F425">
        <v>24</v>
      </c>
      <c r="G425" s="12">
        <v>4776</v>
      </c>
      <c r="H425" s="12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1047</v>
      </c>
      <c r="N425" t="b">
        <v>1</v>
      </c>
    </row>
    <row r="426" spans="1:14" x14ac:dyDescent="0.3">
      <c r="A426" t="s">
        <v>1472</v>
      </c>
      <c r="B426" t="s">
        <v>768</v>
      </c>
      <c r="C426" s="1">
        <v>45080</v>
      </c>
      <c r="E426" t="s">
        <v>32</v>
      </c>
      <c r="F426">
        <v>28</v>
      </c>
      <c r="G426" s="12">
        <v>5572</v>
      </c>
      <c r="H426" s="12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1050</v>
      </c>
      <c r="N426" t="b">
        <v>1</v>
      </c>
    </row>
    <row r="427" spans="1:14" x14ac:dyDescent="0.3">
      <c r="A427" t="s">
        <v>1473</v>
      </c>
      <c r="B427" t="s">
        <v>332</v>
      </c>
      <c r="C427" s="1">
        <v>45202</v>
      </c>
      <c r="E427" t="s">
        <v>39</v>
      </c>
      <c r="F427">
        <v>54</v>
      </c>
      <c r="G427" s="12">
        <v>2646</v>
      </c>
      <c r="H427" s="12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1050</v>
      </c>
      <c r="N427" t="b">
        <v>1</v>
      </c>
    </row>
    <row r="428" spans="1:14" x14ac:dyDescent="0.3">
      <c r="A428" t="s">
        <v>1474</v>
      </c>
      <c r="B428" t="s">
        <v>426</v>
      </c>
      <c r="C428" s="1">
        <v>45500</v>
      </c>
      <c r="E428" t="s">
        <v>32</v>
      </c>
      <c r="F428">
        <v>45</v>
      </c>
      <c r="G428" s="12">
        <v>0</v>
      </c>
      <c r="H428" s="12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1047</v>
      </c>
      <c r="N428" t="b">
        <v>1</v>
      </c>
    </row>
    <row r="429" spans="1:14" x14ac:dyDescent="0.3">
      <c r="A429" t="s">
        <v>1475</v>
      </c>
      <c r="B429" t="s">
        <v>380</v>
      </c>
      <c r="C429" s="1">
        <v>45458</v>
      </c>
      <c r="E429" t="s">
        <v>32</v>
      </c>
      <c r="F429">
        <v>28</v>
      </c>
      <c r="G429" s="12">
        <v>5572</v>
      </c>
      <c r="H429" s="12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1050</v>
      </c>
      <c r="N429" t="b">
        <v>0</v>
      </c>
    </row>
    <row r="430" spans="1:14" x14ac:dyDescent="0.3">
      <c r="A430" t="s">
        <v>1476</v>
      </c>
      <c r="B430" t="s">
        <v>958</v>
      </c>
      <c r="C430" s="1">
        <v>45603</v>
      </c>
      <c r="E430" t="s">
        <v>39</v>
      </c>
      <c r="F430">
        <v>22</v>
      </c>
      <c r="G430" s="12">
        <v>1078</v>
      </c>
      <c r="H430" s="12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1050</v>
      </c>
      <c r="N430" t="b">
        <v>1</v>
      </c>
    </row>
    <row r="431" spans="1:14" x14ac:dyDescent="0.3">
      <c r="A431" t="s">
        <v>1477</v>
      </c>
      <c r="B431" t="s">
        <v>894</v>
      </c>
      <c r="C431" s="1">
        <v>45320</v>
      </c>
      <c r="E431" t="s">
        <v>32</v>
      </c>
      <c r="F431">
        <v>22</v>
      </c>
      <c r="G431" s="12">
        <v>4378</v>
      </c>
      <c r="H431" s="12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1047</v>
      </c>
      <c r="N431" t="b">
        <v>1</v>
      </c>
    </row>
    <row r="432" spans="1:14" x14ac:dyDescent="0.3">
      <c r="A432" t="s">
        <v>1478</v>
      </c>
      <c r="B432" t="s">
        <v>330</v>
      </c>
      <c r="C432" s="1">
        <v>45262</v>
      </c>
      <c r="E432" t="s">
        <v>39</v>
      </c>
      <c r="F432">
        <v>30</v>
      </c>
      <c r="G432" s="12">
        <v>1470</v>
      </c>
      <c r="H432" s="1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1047</v>
      </c>
      <c r="N432" t="b">
        <v>1</v>
      </c>
    </row>
    <row r="433" spans="1:14" x14ac:dyDescent="0.3">
      <c r="A433" t="s">
        <v>1479</v>
      </c>
      <c r="B433" t="s">
        <v>788</v>
      </c>
      <c r="C433" s="1">
        <v>45637</v>
      </c>
      <c r="E433" t="s">
        <v>32</v>
      </c>
      <c r="F433">
        <v>13</v>
      </c>
      <c r="G433" s="12">
        <v>2587</v>
      </c>
      <c r="H433" s="12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1047</v>
      </c>
      <c r="N433" t="b">
        <v>1</v>
      </c>
    </row>
    <row r="434" spans="1:14" x14ac:dyDescent="0.3">
      <c r="A434" t="s">
        <v>1480</v>
      </c>
      <c r="B434" t="s">
        <v>998</v>
      </c>
      <c r="C434" s="1">
        <v>45326</v>
      </c>
      <c r="E434" t="s">
        <v>32</v>
      </c>
      <c r="F434">
        <v>40</v>
      </c>
      <c r="G434" s="12">
        <v>7960</v>
      </c>
      <c r="H434" s="12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1047</v>
      </c>
      <c r="N434" t="b">
        <v>1</v>
      </c>
    </row>
    <row r="435" spans="1:14" x14ac:dyDescent="0.3">
      <c r="A435" t="s">
        <v>1481</v>
      </c>
      <c r="B435" t="s">
        <v>256</v>
      </c>
      <c r="C435" s="1">
        <v>45373</v>
      </c>
      <c r="E435" t="s">
        <v>15</v>
      </c>
      <c r="F435">
        <v>5</v>
      </c>
      <c r="G435" s="12">
        <v>0</v>
      </c>
      <c r="H435" s="12">
        <v>0</v>
      </c>
      <c r="I435" t="b">
        <v>1</v>
      </c>
      <c r="J435" t="b">
        <v>0</v>
      </c>
      <c r="K435" t="b">
        <v>0</v>
      </c>
      <c r="L435" t="b">
        <v>0</v>
      </c>
      <c r="M435" t="s">
        <v>1050</v>
      </c>
      <c r="N435" t="b">
        <v>1</v>
      </c>
    </row>
    <row r="436" spans="1:14" x14ac:dyDescent="0.3">
      <c r="A436" t="s">
        <v>1482</v>
      </c>
      <c r="B436" t="s">
        <v>460</v>
      </c>
      <c r="C436" s="1">
        <v>45348</v>
      </c>
      <c r="E436" t="s">
        <v>39</v>
      </c>
      <c r="F436">
        <v>44</v>
      </c>
      <c r="G436" s="12">
        <v>2156</v>
      </c>
      <c r="H436" s="12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1050</v>
      </c>
      <c r="N436" t="b">
        <v>1</v>
      </c>
    </row>
    <row r="437" spans="1:14" x14ac:dyDescent="0.3">
      <c r="A437" t="s">
        <v>1483</v>
      </c>
      <c r="B437" t="s">
        <v>628</v>
      </c>
      <c r="C437" s="1">
        <v>45312</v>
      </c>
      <c r="D437" s="1">
        <v>45372</v>
      </c>
      <c r="E437" t="s">
        <v>39</v>
      </c>
      <c r="F437">
        <v>45</v>
      </c>
      <c r="G437" s="12">
        <v>2205</v>
      </c>
      <c r="H437" s="12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1050</v>
      </c>
      <c r="N437" t="b">
        <v>1</v>
      </c>
    </row>
    <row r="438" spans="1:14" x14ac:dyDescent="0.3">
      <c r="A438" t="s">
        <v>1484</v>
      </c>
      <c r="B438" t="s">
        <v>83</v>
      </c>
      <c r="C438" s="1">
        <v>45641</v>
      </c>
      <c r="E438" t="s">
        <v>32</v>
      </c>
      <c r="F438">
        <v>49</v>
      </c>
      <c r="G438" s="12">
        <v>9751</v>
      </c>
      <c r="H438" s="12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1047</v>
      </c>
      <c r="N438" t="b">
        <v>1</v>
      </c>
    </row>
    <row r="439" spans="1:14" x14ac:dyDescent="0.3">
      <c r="A439" t="s">
        <v>1485</v>
      </c>
      <c r="B439" t="s">
        <v>512</v>
      </c>
      <c r="C439" s="1">
        <v>45400</v>
      </c>
      <c r="E439" t="s">
        <v>32</v>
      </c>
      <c r="F439">
        <v>27</v>
      </c>
      <c r="G439" s="12">
        <v>5373</v>
      </c>
      <c r="H439" s="12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1047</v>
      </c>
      <c r="N439" t="b">
        <v>0</v>
      </c>
    </row>
    <row r="440" spans="1:14" x14ac:dyDescent="0.3">
      <c r="A440" t="s">
        <v>1486</v>
      </c>
      <c r="B440" t="s">
        <v>918</v>
      </c>
      <c r="C440" s="1">
        <v>45648</v>
      </c>
      <c r="E440" t="s">
        <v>32</v>
      </c>
      <c r="F440">
        <v>7</v>
      </c>
      <c r="G440" s="12">
        <v>0</v>
      </c>
      <c r="H440" s="12">
        <v>0</v>
      </c>
      <c r="I440" t="b">
        <v>1</v>
      </c>
      <c r="J440" t="b">
        <v>0</v>
      </c>
      <c r="K440" t="b">
        <v>0</v>
      </c>
      <c r="L440" t="b">
        <v>0</v>
      </c>
      <c r="M440" t="s">
        <v>1050</v>
      </c>
      <c r="N440" t="b">
        <v>1</v>
      </c>
    </row>
    <row r="441" spans="1:14" x14ac:dyDescent="0.3">
      <c r="A441" t="s">
        <v>1487</v>
      </c>
      <c r="B441" t="s">
        <v>452</v>
      </c>
      <c r="C441" s="1">
        <v>45454</v>
      </c>
      <c r="E441" t="s">
        <v>15</v>
      </c>
      <c r="F441">
        <v>18</v>
      </c>
      <c r="G441" s="12">
        <v>0</v>
      </c>
      <c r="H441" s="12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1047</v>
      </c>
      <c r="N441" t="b">
        <v>1</v>
      </c>
    </row>
    <row r="442" spans="1:14" x14ac:dyDescent="0.3">
      <c r="A442" t="s">
        <v>1488</v>
      </c>
      <c r="B442" t="s">
        <v>234</v>
      </c>
      <c r="C442" s="1">
        <v>45363</v>
      </c>
      <c r="D442" s="1">
        <v>45654</v>
      </c>
      <c r="E442" t="s">
        <v>39</v>
      </c>
      <c r="F442">
        <v>14</v>
      </c>
      <c r="G442" s="12">
        <v>0</v>
      </c>
      <c r="H442" s="1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1050</v>
      </c>
      <c r="N442" t="b">
        <v>1</v>
      </c>
    </row>
    <row r="443" spans="1:14" x14ac:dyDescent="0.3">
      <c r="A443" t="s">
        <v>1489</v>
      </c>
      <c r="B443" t="s">
        <v>176</v>
      </c>
      <c r="C443" s="1">
        <v>45640</v>
      </c>
      <c r="E443" t="s">
        <v>32</v>
      </c>
      <c r="F443">
        <v>37</v>
      </c>
      <c r="G443" s="12">
        <v>7363</v>
      </c>
      <c r="H443" s="12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1047</v>
      </c>
      <c r="N443" t="b">
        <v>1</v>
      </c>
    </row>
    <row r="444" spans="1:14" x14ac:dyDescent="0.3">
      <c r="A444" t="s">
        <v>1490</v>
      </c>
      <c r="B444" t="s">
        <v>826</v>
      </c>
      <c r="C444" s="1">
        <v>45411</v>
      </c>
      <c r="E444" t="s">
        <v>39</v>
      </c>
      <c r="F444">
        <v>24</v>
      </c>
      <c r="G444" s="12">
        <v>1176</v>
      </c>
      <c r="H444" s="12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1050</v>
      </c>
      <c r="N444" t="b">
        <v>0</v>
      </c>
    </row>
    <row r="445" spans="1:14" x14ac:dyDescent="0.3">
      <c r="A445" t="s">
        <v>1491</v>
      </c>
      <c r="B445" t="s">
        <v>676</v>
      </c>
      <c r="C445" s="1">
        <v>45435</v>
      </c>
      <c r="E445" t="s">
        <v>39</v>
      </c>
      <c r="F445">
        <v>63</v>
      </c>
      <c r="G445" s="12">
        <v>3087</v>
      </c>
      <c r="H445" s="12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1047</v>
      </c>
      <c r="N445" t="b">
        <v>1</v>
      </c>
    </row>
    <row r="446" spans="1:14" x14ac:dyDescent="0.3">
      <c r="A446" t="s">
        <v>1492</v>
      </c>
      <c r="B446" t="s">
        <v>21</v>
      </c>
      <c r="C446" s="1">
        <v>45588</v>
      </c>
      <c r="E446" t="s">
        <v>39</v>
      </c>
      <c r="F446">
        <v>18</v>
      </c>
      <c r="G446" s="12">
        <v>882</v>
      </c>
      <c r="H446" s="12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1047</v>
      </c>
      <c r="N446" t="b">
        <v>1</v>
      </c>
    </row>
    <row r="447" spans="1:14" x14ac:dyDescent="0.3">
      <c r="A447" t="s">
        <v>1493</v>
      </c>
      <c r="B447" t="s">
        <v>808</v>
      </c>
      <c r="C447" s="1">
        <v>45368</v>
      </c>
      <c r="E447" t="s">
        <v>32</v>
      </c>
      <c r="F447">
        <v>14</v>
      </c>
      <c r="G447" s="12">
        <v>2786</v>
      </c>
      <c r="H447" s="12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1047</v>
      </c>
      <c r="N447" t="b">
        <v>0</v>
      </c>
    </row>
    <row r="448" spans="1:14" x14ac:dyDescent="0.3">
      <c r="A448" t="s">
        <v>1494</v>
      </c>
      <c r="B448" t="s">
        <v>530</v>
      </c>
      <c r="C448" s="1">
        <v>45657</v>
      </c>
      <c r="E448" t="s">
        <v>15</v>
      </c>
      <c r="F448">
        <v>17</v>
      </c>
      <c r="G448" s="12">
        <v>323</v>
      </c>
      <c r="H448" s="12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1047</v>
      </c>
      <c r="N448" t="b">
        <v>1</v>
      </c>
    </row>
    <row r="449" spans="1:14" x14ac:dyDescent="0.3">
      <c r="A449" t="s">
        <v>1495</v>
      </c>
      <c r="B449" t="s">
        <v>658</v>
      </c>
      <c r="C449" s="1">
        <v>45509</v>
      </c>
      <c r="E449" t="s">
        <v>32</v>
      </c>
      <c r="F449">
        <v>22</v>
      </c>
      <c r="G449" s="12">
        <v>4378</v>
      </c>
      <c r="H449" s="12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1050</v>
      </c>
      <c r="N449" t="b">
        <v>1</v>
      </c>
    </row>
    <row r="450" spans="1:14" x14ac:dyDescent="0.3">
      <c r="A450" t="s">
        <v>1496</v>
      </c>
      <c r="B450" t="s">
        <v>442</v>
      </c>
      <c r="C450" s="1">
        <v>45531</v>
      </c>
      <c r="E450" t="s">
        <v>39</v>
      </c>
      <c r="F450">
        <v>32</v>
      </c>
      <c r="G450" s="12">
        <v>1568</v>
      </c>
      <c r="H450" s="12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1050</v>
      </c>
      <c r="N450" t="b">
        <v>1</v>
      </c>
    </row>
    <row r="451" spans="1:14" x14ac:dyDescent="0.3">
      <c r="A451" t="s">
        <v>1497</v>
      </c>
      <c r="B451" t="s">
        <v>21</v>
      </c>
      <c r="C451" s="1">
        <v>45535</v>
      </c>
      <c r="D451" s="1">
        <v>45560</v>
      </c>
      <c r="E451" t="s">
        <v>32</v>
      </c>
      <c r="F451">
        <v>19</v>
      </c>
      <c r="G451" s="12">
        <v>3781</v>
      </c>
      <c r="H451" s="12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1050</v>
      </c>
      <c r="N451" t="b">
        <v>1</v>
      </c>
    </row>
    <row r="452" spans="1:14" x14ac:dyDescent="0.3">
      <c r="A452" t="s">
        <v>1498</v>
      </c>
      <c r="B452" t="s">
        <v>1002</v>
      </c>
      <c r="C452" s="1">
        <v>44963</v>
      </c>
      <c r="E452" t="s">
        <v>39</v>
      </c>
      <c r="F452">
        <v>37</v>
      </c>
      <c r="G452" s="12">
        <v>1813</v>
      </c>
      <c r="H452" s="1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1047</v>
      </c>
      <c r="N452" t="b">
        <v>1</v>
      </c>
    </row>
    <row r="453" spans="1:14" x14ac:dyDescent="0.3">
      <c r="A453" t="s">
        <v>1499</v>
      </c>
      <c r="B453" t="s">
        <v>45</v>
      </c>
      <c r="C453" s="1">
        <v>45058</v>
      </c>
      <c r="D453" s="1">
        <v>45312</v>
      </c>
      <c r="E453" t="s">
        <v>32</v>
      </c>
      <c r="F453">
        <v>17</v>
      </c>
      <c r="G453" s="12">
        <v>3383</v>
      </c>
      <c r="H453" s="12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1047</v>
      </c>
      <c r="N453" t="b">
        <v>1</v>
      </c>
    </row>
    <row r="454" spans="1:14" x14ac:dyDescent="0.3">
      <c r="A454" t="s">
        <v>1500</v>
      </c>
      <c r="B454" t="s">
        <v>740</v>
      </c>
      <c r="C454" s="1">
        <v>45563</v>
      </c>
      <c r="E454" t="s">
        <v>39</v>
      </c>
      <c r="F454">
        <v>26</v>
      </c>
      <c r="G454" s="12">
        <v>1274</v>
      </c>
      <c r="H454" s="12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1047</v>
      </c>
      <c r="N454" t="b">
        <v>1</v>
      </c>
    </row>
    <row r="455" spans="1:14" x14ac:dyDescent="0.3">
      <c r="A455" t="s">
        <v>1501</v>
      </c>
      <c r="B455" t="s">
        <v>134</v>
      </c>
      <c r="C455" s="1">
        <v>45414</v>
      </c>
      <c r="E455" t="s">
        <v>32</v>
      </c>
      <c r="F455">
        <v>23</v>
      </c>
      <c r="G455" s="12">
        <v>4577</v>
      </c>
      <c r="H455" s="12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1050</v>
      </c>
      <c r="N455" t="b">
        <v>0</v>
      </c>
    </row>
    <row r="456" spans="1:14" x14ac:dyDescent="0.3">
      <c r="A456" t="s">
        <v>1502</v>
      </c>
      <c r="B456" t="s">
        <v>200</v>
      </c>
      <c r="C456" s="1">
        <v>45272</v>
      </c>
      <c r="E456" t="s">
        <v>15</v>
      </c>
      <c r="F456">
        <v>17</v>
      </c>
      <c r="G456" s="12">
        <v>323</v>
      </c>
      <c r="H456" s="12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1050</v>
      </c>
      <c r="N456" t="b">
        <v>1</v>
      </c>
    </row>
    <row r="457" spans="1:14" x14ac:dyDescent="0.3">
      <c r="A457" t="s">
        <v>1503</v>
      </c>
      <c r="B457" t="s">
        <v>1000</v>
      </c>
      <c r="C457" s="1">
        <v>45578</v>
      </c>
      <c r="E457" t="s">
        <v>39</v>
      </c>
      <c r="F457">
        <v>53</v>
      </c>
      <c r="G457" s="12">
        <v>2597</v>
      </c>
      <c r="H457" s="12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1050</v>
      </c>
      <c r="N457" t="b">
        <v>1</v>
      </c>
    </row>
    <row r="458" spans="1:14" x14ac:dyDescent="0.3">
      <c r="A458" t="s">
        <v>1504</v>
      </c>
      <c r="B458" t="s">
        <v>474</v>
      </c>
      <c r="C458" s="1">
        <v>45243</v>
      </c>
      <c r="E458" t="s">
        <v>39</v>
      </c>
      <c r="F458">
        <v>5</v>
      </c>
      <c r="G458" s="12">
        <v>245</v>
      </c>
      <c r="H458" s="12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1050</v>
      </c>
      <c r="N458" t="b">
        <v>1</v>
      </c>
    </row>
    <row r="459" spans="1:14" x14ac:dyDescent="0.3">
      <c r="A459" t="s">
        <v>1505</v>
      </c>
      <c r="B459" t="s">
        <v>396</v>
      </c>
      <c r="C459" s="1">
        <v>45624</v>
      </c>
      <c r="E459" t="s">
        <v>15</v>
      </c>
      <c r="F459">
        <v>29</v>
      </c>
      <c r="G459" s="12">
        <v>551</v>
      </c>
      <c r="H459" s="12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1047</v>
      </c>
      <c r="N459" t="b">
        <v>1</v>
      </c>
    </row>
    <row r="460" spans="1:14" x14ac:dyDescent="0.3">
      <c r="A460" t="s">
        <v>1506</v>
      </c>
      <c r="B460" t="s">
        <v>1000</v>
      </c>
      <c r="C460" s="1">
        <v>45607</v>
      </c>
      <c r="E460" t="s">
        <v>15</v>
      </c>
      <c r="F460">
        <v>53</v>
      </c>
      <c r="G460" s="12">
        <v>1007</v>
      </c>
      <c r="H460" s="12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1047</v>
      </c>
      <c r="N460" t="b">
        <v>1</v>
      </c>
    </row>
    <row r="461" spans="1:14" x14ac:dyDescent="0.3">
      <c r="A461" t="s">
        <v>1507</v>
      </c>
      <c r="B461" t="s">
        <v>258</v>
      </c>
      <c r="C461" s="1">
        <v>45609</v>
      </c>
      <c r="E461" t="s">
        <v>15</v>
      </c>
      <c r="F461">
        <v>3</v>
      </c>
      <c r="G461" s="12">
        <v>57</v>
      </c>
      <c r="H461" s="12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1047</v>
      </c>
      <c r="N461" t="b">
        <v>1</v>
      </c>
    </row>
    <row r="462" spans="1:14" x14ac:dyDescent="0.3">
      <c r="A462" t="s">
        <v>1508</v>
      </c>
      <c r="B462" t="s">
        <v>780</v>
      </c>
      <c r="C462" s="1">
        <v>45374</v>
      </c>
      <c r="E462" t="s">
        <v>32</v>
      </c>
      <c r="F462">
        <v>16</v>
      </c>
      <c r="G462" s="12">
        <v>3184</v>
      </c>
      <c r="H462" s="1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1047</v>
      </c>
      <c r="N462" t="b">
        <v>1</v>
      </c>
    </row>
    <row r="463" spans="1:14" x14ac:dyDescent="0.3">
      <c r="A463" t="s">
        <v>1509</v>
      </c>
      <c r="B463" t="s">
        <v>156</v>
      </c>
      <c r="C463" s="1">
        <v>45555</v>
      </c>
      <c r="E463" t="s">
        <v>32</v>
      </c>
      <c r="F463">
        <v>20</v>
      </c>
      <c r="G463" s="12">
        <v>0</v>
      </c>
      <c r="H463" s="12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1047</v>
      </c>
      <c r="N463" t="b">
        <v>0</v>
      </c>
    </row>
    <row r="464" spans="1:14" x14ac:dyDescent="0.3">
      <c r="A464" t="s">
        <v>1510</v>
      </c>
      <c r="B464" t="s">
        <v>414</v>
      </c>
      <c r="C464" s="1">
        <v>45633</v>
      </c>
      <c r="E464" t="s">
        <v>32</v>
      </c>
      <c r="F464">
        <v>3</v>
      </c>
      <c r="G464" s="12">
        <v>597</v>
      </c>
      <c r="H464" s="12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1050</v>
      </c>
      <c r="N464" t="b">
        <v>1</v>
      </c>
    </row>
    <row r="465" spans="1:14" x14ac:dyDescent="0.3">
      <c r="A465" t="s">
        <v>1511</v>
      </c>
      <c r="B465" t="s">
        <v>818</v>
      </c>
      <c r="C465" s="1">
        <v>45516</v>
      </c>
      <c r="E465" t="s">
        <v>32</v>
      </c>
      <c r="F465">
        <v>20</v>
      </c>
      <c r="G465" s="12">
        <v>3980</v>
      </c>
      <c r="H465" s="12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1047</v>
      </c>
      <c r="N465" t="b">
        <v>1</v>
      </c>
    </row>
    <row r="466" spans="1:14" x14ac:dyDescent="0.3">
      <c r="A466" t="s">
        <v>1512</v>
      </c>
      <c r="B466" t="s">
        <v>638</v>
      </c>
      <c r="C466" s="1">
        <v>45634</v>
      </c>
      <c r="E466" t="s">
        <v>32</v>
      </c>
      <c r="F466">
        <v>19</v>
      </c>
      <c r="G466" s="12">
        <v>3781</v>
      </c>
      <c r="H466" s="12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1047</v>
      </c>
      <c r="N466" t="b">
        <v>0</v>
      </c>
    </row>
    <row r="467" spans="1:14" x14ac:dyDescent="0.3">
      <c r="A467" t="s">
        <v>1513</v>
      </c>
      <c r="B467" t="s">
        <v>698</v>
      </c>
      <c r="C467" s="1">
        <v>45081</v>
      </c>
      <c r="E467" t="s">
        <v>15</v>
      </c>
      <c r="F467">
        <v>41</v>
      </c>
      <c r="G467" s="12">
        <v>0</v>
      </c>
      <c r="H467" s="12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1047</v>
      </c>
      <c r="N467" t="b">
        <v>1</v>
      </c>
    </row>
    <row r="468" spans="1:14" x14ac:dyDescent="0.3">
      <c r="A468" t="s">
        <v>1514</v>
      </c>
      <c r="B468" t="s">
        <v>456</v>
      </c>
      <c r="C468" s="1">
        <v>45528</v>
      </c>
      <c r="E468" t="s">
        <v>39</v>
      </c>
      <c r="F468">
        <v>9</v>
      </c>
      <c r="G468" s="12">
        <v>441</v>
      </c>
      <c r="H468" s="12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1047</v>
      </c>
      <c r="N468" t="b">
        <v>0</v>
      </c>
    </row>
    <row r="469" spans="1:14" x14ac:dyDescent="0.3">
      <c r="A469" t="s">
        <v>1515</v>
      </c>
      <c r="B469" t="s">
        <v>590</v>
      </c>
      <c r="C469" s="1">
        <v>45573</v>
      </c>
      <c r="E469" t="s">
        <v>39</v>
      </c>
      <c r="F469">
        <v>28</v>
      </c>
      <c r="G469" s="12">
        <v>1372</v>
      </c>
      <c r="H469" s="12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1047</v>
      </c>
      <c r="N469" t="b">
        <v>1</v>
      </c>
    </row>
    <row r="470" spans="1:14" x14ac:dyDescent="0.3">
      <c r="A470" t="s">
        <v>1516</v>
      </c>
      <c r="B470" t="s">
        <v>240</v>
      </c>
      <c r="C470" s="1">
        <v>45646</v>
      </c>
      <c r="E470" t="s">
        <v>15</v>
      </c>
      <c r="F470">
        <v>35</v>
      </c>
      <c r="G470" s="12">
        <v>665</v>
      </c>
      <c r="H470" s="12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1050</v>
      </c>
      <c r="N470" t="b">
        <v>0</v>
      </c>
    </row>
    <row r="471" spans="1:14" x14ac:dyDescent="0.3">
      <c r="A471" t="s">
        <v>1517</v>
      </c>
      <c r="B471" t="s">
        <v>460</v>
      </c>
      <c r="C471" s="1">
        <v>45112</v>
      </c>
      <c r="E471" t="s">
        <v>32</v>
      </c>
      <c r="F471">
        <v>70</v>
      </c>
      <c r="G471" s="12">
        <v>13930</v>
      </c>
      <c r="H471" s="12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1050</v>
      </c>
      <c r="N471" t="b">
        <v>1</v>
      </c>
    </row>
    <row r="472" spans="1:14" x14ac:dyDescent="0.3">
      <c r="A472" t="s">
        <v>1518</v>
      </c>
      <c r="B472" t="s">
        <v>666</v>
      </c>
      <c r="C472" s="1">
        <v>45547</v>
      </c>
      <c r="E472" t="s">
        <v>39</v>
      </c>
      <c r="F472">
        <v>17</v>
      </c>
      <c r="G472" s="12">
        <v>833</v>
      </c>
      <c r="H472" s="1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1047</v>
      </c>
      <c r="N472" t="b">
        <v>0</v>
      </c>
    </row>
    <row r="473" spans="1:14" x14ac:dyDescent="0.3">
      <c r="A473" t="s">
        <v>1519</v>
      </c>
      <c r="B473" t="s">
        <v>552</v>
      </c>
      <c r="C473" s="1">
        <v>45626</v>
      </c>
      <c r="D473" s="1">
        <v>45633</v>
      </c>
      <c r="E473" t="s">
        <v>32</v>
      </c>
      <c r="F473">
        <v>8</v>
      </c>
      <c r="G473" s="12">
        <v>1592</v>
      </c>
      <c r="H473" s="12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1050</v>
      </c>
      <c r="N473" t="b">
        <v>1</v>
      </c>
    </row>
    <row r="474" spans="1:14" x14ac:dyDescent="0.3">
      <c r="A474" t="s">
        <v>1520</v>
      </c>
      <c r="B474" t="s">
        <v>146</v>
      </c>
      <c r="C474" s="1">
        <v>45552</v>
      </c>
      <c r="E474" t="s">
        <v>39</v>
      </c>
      <c r="F474">
        <v>20</v>
      </c>
      <c r="G474" s="12">
        <v>980</v>
      </c>
      <c r="H474" s="12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1047</v>
      </c>
      <c r="N474" t="b">
        <v>0</v>
      </c>
    </row>
    <row r="475" spans="1:14" x14ac:dyDescent="0.3">
      <c r="A475" t="s">
        <v>1521</v>
      </c>
      <c r="B475" t="s">
        <v>652</v>
      </c>
      <c r="C475" s="1">
        <v>45488</v>
      </c>
      <c r="E475" t="s">
        <v>39</v>
      </c>
      <c r="F475">
        <v>14</v>
      </c>
      <c r="G475" s="12">
        <v>686</v>
      </c>
      <c r="H475" s="12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1047</v>
      </c>
      <c r="N475" t="b">
        <v>0</v>
      </c>
    </row>
    <row r="476" spans="1:14" x14ac:dyDescent="0.3">
      <c r="A476" t="s">
        <v>1522</v>
      </c>
      <c r="B476" t="s">
        <v>396</v>
      </c>
      <c r="C476" s="1">
        <v>45612</v>
      </c>
      <c r="E476" t="s">
        <v>39</v>
      </c>
      <c r="F476">
        <v>29</v>
      </c>
      <c r="G476" s="12">
        <v>1421</v>
      </c>
      <c r="H476" s="12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1050</v>
      </c>
      <c r="N476" t="b">
        <v>1</v>
      </c>
    </row>
    <row r="477" spans="1:14" x14ac:dyDescent="0.3">
      <c r="A477" t="s">
        <v>1523</v>
      </c>
      <c r="B477" t="s">
        <v>194</v>
      </c>
      <c r="C477" s="1">
        <v>45148</v>
      </c>
      <c r="E477" t="s">
        <v>32</v>
      </c>
      <c r="F477">
        <v>30</v>
      </c>
      <c r="G477" s="12">
        <v>5970</v>
      </c>
      <c r="H477" s="12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1050</v>
      </c>
      <c r="N477" t="b">
        <v>1</v>
      </c>
    </row>
    <row r="478" spans="1:14" x14ac:dyDescent="0.3">
      <c r="A478" t="s">
        <v>1524</v>
      </c>
      <c r="B478" t="s">
        <v>962</v>
      </c>
      <c r="C478" s="1">
        <v>45296</v>
      </c>
      <c r="E478" t="s">
        <v>32</v>
      </c>
      <c r="F478">
        <v>19</v>
      </c>
      <c r="G478" s="12">
        <v>3781</v>
      </c>
      <c r="H478" s="12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1050</v>
      </c>
      <c r="N478" t="b">
        <v>1</v>
      </c>
    </row>
    <row r="479" spans="1:14" x14ac:dyDescent="0.3">
      <c r="A479" t="s">
        <v>1525</v>
      </c>
      <c r="B479" t="s">
        <v>368</v>
      </c>
      <c r="C479" s="1">
        <v>45288</v>
      </c>
      <c r="E479" t="s">
        <v>15</v>
      </c>
      <c r="F479">
        <v>34</v>
      </c>
      <c r="G479" s="12">
        <v>646</v>
      </c>
      <c r="H479" s="12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1047</v>
      </c>
      <c r="N479" t="b">
        <v>1</v>
      </c>
    </row>
    <row r="480" spans="1:14" x14ac:dyDescent="0.3">
      <c r="A480" t="s">
        <v>1526</v>
      </c>
      <c r="B480" t="s">
        <v>716</v>
      </c>
      <c r="C480" s="1">
        <v>45477</v>
      </c>
      <c r="E480" t="s">
        <v>15</v>
      </c>
      <c r="F480">
        <v>35</v>
      </c>
      <c r="G480" s="12">
        <v>665</v>
      </c>
      <c r="H480" s="12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1050</v>
      </c>
      <c r="N480" t="b">
        <v>1</v>
      </c>
    </row>
    <row r="481" spans="1:14" x14ac:dyDescent="0.3">
      <c r="A481" t="s">
        <v>1527</v>
      </c>
      <c r="B481" t="s">
        <v>182</v>
      </c>
      <c r="C481" s="1">
        <v>45425</v>
      </c>
      <c r="E481" t="s">
        <v>32</v>
      </c>
      <c r="F481">
        <v>44</v>
      </c>
      <c r="G481" s="12">
        <v>8756</v>
      </c>
      <c r="H481" s="12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1047</v>
      </c>
      <c r="N481" t="b">
        <v>1</v>
      </c>
    </row>
    <row r="482" spans="1:14" x14ac:dyDescent="0.3">
      <c r="A482" t="s">
        <v>1528</v>
      </c>
      <c r="B482" t="s">
        <v>770</v>
      </c>
      <c r="C482" s="1">
        <v>45428</v>
      </c>
      <c r="E482" t="s">
        <v>39</v>
      </c>
      <c r="F482">
        <v>33</v>
      </c>
      <c r="G482" s="12">
        <v>0</v>
      </c>
      <c r="H482" s="1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1047</v>
      </c>
      <c r="N482" t="b">
        <v>1</v>
      </c>
    </row>
    <row r="483" spans="1:14" x14ac:dyDescent="0.3">
      <c r="A483" t="s">
        <v>1529</v>
      </c>
      <c r="B483" t="s">
        <v>496</v>
      </c>
      <c r="C483" s="1">
        <v>45585</v>
      </c>
      <c r="D483" s="1">
        <v>45644</v>
      </c>
      <c r="E483" t="s">
        <v>39</v>
      </c>
      <c r="F483">
        <v>64</v>
      </c>
      <c r="G483" s="12">
        <v>0</v>
      </c>
      <c r="H483" s="12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1047</v>
      </c>
      <c r="N483" t="b">
        <v>1</v>
      </c>
    </row>
    <row r="484" spans="1:14" x14ac:dyDescent="0.3">
      <c r="A484" t="s">
        <v>1530</v>
      </c>
      <c r="B484" t="s">
        <v>132</v>
      </c>
      <c r="C484" s="1">
        <v>45469</v>
      </c>
      <c r="E484" t="s">
        <v>15</v>
      </c>
      <c r="F484">
        <v>20</v>
      </c>
      <c r="G484" s="12">
        <v>0</v>
      </c>
      <c r="H484" s="12">
        <v>0</v>
      </c>
      <c r="I484" t="b">
        <v>1</v>
      </c>
      <c r="J484" t="b">
        <v>0</v>
      </c>
      <c r="K484" t="b">
        <v>0</v>
      </c>
      <c r="L484" t="b">
        <v>0</v>
      </c>
      <c r="M484" t="s">
        <v>1050</v>
      </c>
      <c r="N484" t="b">
        <v>1</v>
      </c>
    </row>
    <row r="485" spans="1:14" x14ac:dyDescent="0.3">
      <c r="A485" t="s">
        <v>1531</v>
      </c>
      <c r="B485" t="s">
        <v>398</v>
      </c>
      <c r="C485" s="1">
        <v>45603</v>
      </c>
      <c r="E485" t="s">
        <v>39</v>
      </c>
      <c r="F485">
        <v>16</v>
      </c>
      <c r="G485" s="12">
        <v>0</v>
      </c>
      <c r="H485" s="12">
        <v>0</v>
      </c>
      <c r="I485" t="b">
        <v>1</v>
      </c>
      <c r="J485" t="b">
        <v>0</v>
      </c>
      <c r="K485" t="b">
        <v>0</v>
      </c>
      <c r="L485" t="b">
        <v>0</v>
      </c>
      <c r="M485" t="s">
        <v>1050</v>
      </c>
      <c r="N485" t="b">
        <v>1</v>
      </c>
    </row>
    <row r="486" spans="1:14" x14ac:dyDescent="0.3">
      <c r="A486" t="s">
        <v>1532</v>
      </c>
      <c r="B486" t="s">
        <v>786</v>
      </c>
      <c r="C486" s="1">
        <v>45481</v>
      </c>
      <c r="E486" t="s">
        <v>15</v>
      </c>
      <c r="F486">
        <v>91</v>
      </c>
      <c r="G486" s="12">
        <v>1729</v>
      </c>
      <c r="H486" s="12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1047</v>
      </c>
      <c r="N486" t="b">
        <v>1</v>
      </c>
    </row>
    <row r="487" spans="1:14" x14ac:dyDescent="0.3">
      <c r="A487" t="s">
        <v>1533</v>
      </c>
      <c r="B487" t="s">
        <v>29</v>
      </c>
      <c r="C487" s="1">
        <v>45609</v>
      </c>
      <c r="E487" t="s">
        <v>32</v>
      </c>
      <c r="F487">
        <v>35</v>
      </c>
      <c r="G487" s="12">
        <v>0</v>
      </c>
      <c r="H487" s="12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1047</v>
      </c>
      <c r="N487" t="b">
        <v>1</v>
      </c>
    </row>
    <row r="488" spans="1:14" x14ac:dyDescent="0.3">
      <c r="A488" t="s">
        <v>1534</v>
      </c>
      <c r="B488" t="s">
        <v>366</v>
      </c>
      <c r="C488" s="1">
        <v>45445</v>
      </c>
      <c r="E488" t="s">
        <v>39</v>
      </c>
      <c r="F488">
        <v>23</v>
      </c>
      <c r="G488" s="12">
        <v>0</v>
      </c>
      <c r="H488" s="12">
        <v>0</v>
      </c>
      <c r="I488" t="b">
        <v>1</v>
      </c>
      <c r="J488" t="b">
        <v>0</v>
      </c>
      <c r="K488" t="b">
        <v>0</v>
      </c>
      <c r="L488" t="b">
        <v>0</v>
      </c>
      <c r="M488" t="s">
        <v>1050</v>
      </c>
      <c r="N488" t="b">
        <v>0</v>
      </c>
    </row>
    <row r="489" spans="1:14" x14ac:dyDescent="0.3">
      <c r="A489" t="s">
        <v>1535</v>
      </c>
      <c r="B489" t="s">
        <v>928</v>
      </c>
      <c r="C489" s="1">
        <v>45655</v>
      </c>
      <c r="E489" t="s">
        <v>15</v>
      </c>
      <c r="F489">
        <v>18</v>
      </c>
      <c r="G489" s="12">
        <v>342</v>
      </c>
      <c r="H489" s="12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1050</v>
      </c>
      <c r="N489" t="b">
        <v>1</v>
      </c>
    </row>
    <row r="490" spans="1:14" x14ac:dyDescent="0.3">
      <c r="A490" t="s">
        <v>1536</v>
      </c>
      <c r="B490" t="s">
        <v>864</v>
      </c>
      <c r="C490" s="1">
        <v>45422</v>
      </c>
      <c r="E490" t="s">
        <v>15</v>
      </c>
      <c r="F490">
        <v>13</v>
      </c>
      <c r="G490" s="12">
        <v>247</v>
      </c>
      <c r="H490" s="12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1047</v>
      </c>
      <c r="N490" t="b">
        <v>0</v>
      </c>
    </row>
    <row r="491" spans="1:14" x14ac:dyDescent="0.3">
      <c r="A491" t="s">
        <v>1537</v>
      </c>
      <c r="B491" t="s">
        <v>440</v>
      </c>
      <c r="C491" s="1">
        <v>45627</v>
      </c>
      <c r="E491" t="s">
        <v>39</v>
      </c>
      <c r="F491">
        <v>50</v>
      </c>
      <c r="G491" s="12">
        <v>2450</v>
      </c>
      <c r="H491" s="12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1050</v>
      </c>
      <c r="N491" t="b">
        <v>1</v>
      </c>
    </row>
    <row r="492" spans="1:14" x14ac:dyDescent="0.3">
      <c r="A492" t="s">
        <v>1538</v>
      </c>
      <c r="B492" t="s">
        <v>884</v>
      </c>
      <c r="C492" s="1">
        <v>45506</v>
      </c>
      <c r="E492" t="s">
        <v>32</v>
      </c>
      <c r="F492">
        <v>41</v>
      </c>
      <c r="G492" s="12">
        <v>8159</v>
      </c>
      <c r="H492" s="1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1050</v>
      </c>
      <c r="N492" t="b">
        <v>0</v>
      </c>
    </row>
    <row r="493" spans="1:14" x14ac:dyDescent="0.3">
      <c r="A493" t="s">
        <v>1539</v>
      </c>
      <c r="B493" t="s">
        <v>848</v>
      </c>
      <c r="C493" s="1">
        <v>45392</v>
      </c>
      <c r="E493" t="s">
        <v>32</v>
      </c>
      <c r="F493">
        <v>6</v>
      </c>
      <c r="G493" s="12">
        <v>1194</v>
      </c>
      <c r="H493" s="12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1047</v>
      </c>
      <c r="N493" t="b">
        <v>1</v>
      </c>
    </row>
    <row r="494" spans="1:14" x14ac:dyDescent="0.3">
      <c r="A494" t="s">
        <v>1540</v>
      </c>
      <c r="B494" t="s">
        <v>144</v>
      </c>
      <c r="C494" s="1">
        <v>45515</v>
      </c>
      <c r="E494" t="s">
        <v>32</v>
      </c>
      <c r="F494">
        <v>35</v>
      </c>
      <c r="G494" s="12">
        <v>6965</v>
      </c>
      <c r="H494" s="12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1047</v>
      </c>
      <c r="N494" t="b">
        <v>1</v>
      </c>
    </row>
    <row r="495" spans="1:14" x14ac:dyDescent="0.3">
      <c r="A495" t="s">
        <v>1541</v>
      </c>
      <c r="B495" t="s">
        <v>994</v>
      </c>
      <c r="C495" s="1">
        <v>45499</v>
      </c>
      <c r="E495" t="s">
        <v>15</v>
      </c>
      <c r="F495">
        <v>23</v>
      </c>
      <c r="G495" s="12">
        <v>437</v>
      </c>
      <c r="H495" s="12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1050</v>
      </c>
      <c r="N495" t="b">
        <v>1</v>
      </c>
    </row>
    <row r="496" spans="1:14" x14ac:dyDescent="0.3">
      <c r="A496" t="s">
        <v>1542</v>
      </c>
      <c r="B496" t="s">
        <v>962</v>
      </c>
      <c r="C496" s="1">
        <v>45492</v>
      </c>
      <c r="E496" t="s">
        <v>39</v>
      </c>
      <c r="F496">
        <v>22</v>
      </c>
      <c r="G496" s="12">
        <v>1078</v>
      </c>
      <c r="H496" s="12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1050</v>
      </c>
      <c r="N496" t="b">
        <v>0</v>
      </c>
    </row>
    <row r="497" spans="1:14" x14ac:dyDescent="0.3">
      <c r="A497" t="s">
        <v>1543</v>
      </c>
      <c r="B497" t="s">
        <v>214</v>
      </c>
      <c r="C497" s="1">
        <v>45567</v>
      </c>
      <c r="E497" t="s">
        <v>39</v>
      </c>
      <c r="F497">
        <v>47</v>
      </c>
      <c r="G497" s="12">
        <v>2303</v>
      </c>
      <c r="H497" s="12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1047</v>
      </c>
      <c r="N497" t="b">
        <v>1</v>
      </c>
    </row>
    <row r="498" spans="1:14" x14ac:dyDescent="0.3">
      <c r="A498" t="s">
        <v>1544</v>
      </c>
      <c r="B498" t="s">
        <v>912</v>
      </c>
      <c r="C498" s="1">
        <v>45123</v>
      </c>
      <c r="E498" t="s">
        <v>39</v>
      </c>
      <c r="F498">
        <v>10</v>
      </c>
      <c r="G498" s="12">
        <v>490</v>
      </c>
      <c r="H498" s="12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1050</v>
      </c>
      <c r="N498" t="b">
        <v>1</v>
      </c>
    </row>
    <row r="499" spans="1:14" x14ac:dyDescent="0.3">
      <c r="A499" t="s">
        <v>1545</v>
      </c>
      <c r="B499" t="s">
        <v>144</v>
      </c>
      <c r="C499" s="1">
        <v>45587</v>
      </c>
      <c r="E499" t="s">
        <v>39</v>
      </c>
      <c r="F499">
        <v>16</v>
      </c>
      <c r="G499" s="12">
        <v>784</v>
      </c>
      <c r="H499" s="12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1047</v>
      </c>
      <c r="N499" t="b">
        <v>1</v>
      </c>
    </row>
    <row r="500" spans="1:14" x14ac:dyDescent="0.3">
      <c r="A500" t="s">
        <v>1546</v>
      </c>
      <c r="B500" t="s">
        <v>93</v>
      </c>
      <c r="C500" s="1">
        <v>45536</v>
      </c>
      <c r="E500" t="s">
        <v>32</v>
      </c>
      <c r="F500">
        <v>30</v>
      </c>
      <c r="G500" s="12">
        <v>5970</v>
      </c>
      <c r="H500" s="12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1050</v>
      </c>
      <c r="N500" t="b">
        <v>1</v>
      </c>
    </row>
    <row r="501" spans="1:14" x14ac:dyDescent="0.3">
      <c r="A501" t="s">
        <v>1547</v>
      </c>
      <c r="B501" t="s">
        <v>36</v>
      </c>
      <c r="C501" s="1">
        <v>45627</v>
      </c>
      <c r="E501" t="s">
        <v>32</v>
      </c>
      <c r="F501">
        <v>26</v>
      </c>
      <c r="G501" s="12">
        <v>5174</v>
      </c>
      <c r="H501" s="12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1047</v>
      </c>
      <c r="N501" t="b">
        <v>1</v>
      </c>
    </row>
    <row r="502" spans="1:14" x14ac:dyDescent="0.3">
      <c r="A502" t="s">
        <v>1548</v>
      </c>
      <c r="B502" t="s">
        <v>1008</v>
      </c>
      <c r="C502" s="1">
        <v>45581</v>
      </c>
      <c r="E502" t="s">
        <v>39</v>
      </c>
      <c r="F502">
        <v>18</v>
      </c>
      <c r="G502" s="12">
        <v>882</v>
      </c>
      <c r="H502" s="1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1047</v>
      </c>
      <c r="N502" t="b">
        <v>1</v>
      </c>
    </row>
    <row r="503" spans="1:14" x14ac:dyDescent="0.3">
      <c r="A503" t="s">
        <v>1549</v>
      </c>
      <c r="B503" t="s">
        <v>472</v>
      </c>
      <c r="C503" s="1">
        <v>45515</v>
      </c>
      <c r="E503" t="s">
        <v>32</v>
      </c>
      <c r="F503">
        <v>26</v>
      </c>
      <c r="G503" s="12">
        <v>0</v>
      </c>
      <c r="H503" s="12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1047</v>
      </c>
      <c r="N503" t="b">
        <v>1</v>
      </c>
    </row>
    <row r="504" spans="1:14" x14ac:dyDescent="0.3">
      <c r="A504" t="s">
        <v>1550</v>
      </c>
      <c r="B504" t="s">
        <v>522</v>
      </c>
      <c r="C504" s="1">
        <v>45413</v>
      </c>
      <c r="E504" t="s">
        <v>32</v>
      </c>
      <c r="F504">
        <v>11</v>
      </c>
      <c r="G504" s="12">
        <v>2189</v>
      </c>
      <c r="H504" s="12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1050</v>
      </c>
      <c r="N504" t="b">
        <v>0</v>
      </c>
    </row>
    <row r="505" spans="1:14" x14ac:dyDescent="0.3">
      <c r="A505" t="s">
        <v>1551</v>
      </c>
      <c r="B505" t="s">
        <v>182</v>
      </c>
      <c r="C505" s="1">
        <v>45406</v>
      </c>
      <c r="E505" t="s">
        <v>15</v>
      </c>
      <c r="F505">
        <v>44</v>
      </c>
      <c r="G505" s="12">
        <v>0</v>
      </c>
      <c r="H505" s="12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1047</v>
      </c>
      <c r="N505" t="b">
        <v>1</v>
      </c>
    </row>
    <row r="506" spans="1:14" x14ac:dyDescent="0.3">
      <c r="A506" t="s">
        <v>1552</v>
      </c>
      <c r="B506" t="s">
        <v>546</v>
      </c>
      <c r="C506" s="1">
        <v>45558</v>
      </c>
      <c r="E506" t="s">
        <v>39</v>
      </c>
      <c r="F506">
        <v>33</v>
      </c>
      <c r="G506" s="12">
        <v>1617</v>
      </c>
      <c r="H506" s="12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1047</v>
      </c>
      <c r="N506" t="b">
        <v>1</v>
      </c>
    </row>
    <row r="507" spans="1:14" x14ac:dyDescent="0.3">
      <c r="A507" t="s">
        <v>1553</v>
      </c>
      <c r="B507" t="s">
        <v>106</v>
      </c>
      <c r="C507" s="1">
        <v>45657</v>
      </c>
      <c r="E507" t="s">
        <v>39</v>
      </c>
      <c r="F507">
        <v>20</v>
      </c>
      <c r="G507" s="12">
        <v>980</v>
      </c>
      <c r="H507" s="12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1050</v>
      </c>
      <c r="N507" t="b">
        <v>1</v>
      </c>
    </row>
    <row r="508" spans="1:14" x14ac:dyDescent="0.3">
      <c r="A508" t="s">
        <v>1554</v>
      </c>
      <c r="B508" t="s">
        <v>276</v>
      </c>
      <c r="C508" s="1">
        <v>45294</v>
      </c>
      <c r="D508" s="1">
        <v>45319</v>
      </c>
      <c r="E508" t="s">
        <v>39</v>
      </c>
      <c r="F508">
        <v>11</v>
      </c>
      <c r="G508" s="12">
        <v>539</v>
      </c>
      <c r="H508" s="12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1047</v>
      </c>
      <c r="N508" t="b">
        <v>1</v>
      </c>
    </row>
    <row r="509" spans="1:14" x14ac:dyDescent="0.3">
      <c r="A509" t="s">
        <v>1555</v>
      </c>
      <c r="B509" t="s">
        <v>592</v>
      </c>
      <c r="C509" s="1">
        <v>45531</v>
      </c>
      <c r="E509" t="s">
        <v>39</v>
      </c>
      <c r="F509">
        <v>64</v>
      </c>
      <c r="G509" s="12">
        <v>3136</v>
      </c>
      <c r="H509" s="12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1047</v>
      </c>
      <c r="N509" t="b">
        <v>1</v>
      </c>
    </row>
    <row r="510" spans="1:14" x14ac:dyDescent="0.3">
      <c r="A510" t="s">
        <v>1556</v>
      </c>
      <c r="B510" t="s">
        <v>110</v>
      </c>
      <c r="C510" s="1">
        <v>45520</v>
      </c>
      <c r="E510" t="s">
        <v>39</v>
      </c>
      <c r="F510">
        <v>32</v>
      </c>
      <c r="G510" s="12">
        <v>1568</v>
      </c>
      <c r="H510" s="12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1050</v>
      </c>
      <c r="N510" t="b">
        <v>0</v>
      </c>
    </row>
    <row r="511" spans="1:14" x14ac:dyDescent="0.3">
      <c r="A511" t="s">
        <v>1557</v>
      </c>
      <c r="B511" t="s">
        <v>120</v>
      </c>
      <c r="C511" s="1">
        <v>45630</v>
      </c>
      <c r="E511" t="s">
        <v>39</v>
      </c>
      <c r="F511">
        <v>12</v>
      </c>
      <c r="G511" s="12">
        <v>588</v>
      </c>
      <c r="H511" s="12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1050</v>
      </c>
      <c r="N511" t="b">
        <v>0</v>
      </c>
    </row>
    <row r="512" spans="1:14" x14ac:dyDescent="0.3">
      <c r="A512" t="s">
        <v>1558</v>
      </c>
      <c r="B512" t="s">
        <v>352</v>
      </c>
      <c r="C512" s="1">
        <v>45290</v>
      </c>
      <c r="E512" t="s">
        <v>39</v>
      </c>
      <c r="F512">
        <v>25</v>
      </c>
      <c r="G512" s="12">
        <v>1225</v>
      </c>
      <c r="H512" s="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1047</v>
      </c>
      <c r="N512" t="b">
        <v>0</v>
      </c>
    </row>
    <row r="513" spans="1:14" x14ac:dyDescent="0.3">
      <c r="A513" t="s">
        <v>1559</v>
      </c>
      <c r="B513" t="s">
        <v>134</v>
      </c>
      <c r="C513" s="1">
        <v>45435</v>
      </c>
      <c r="E513" t="s">
        <v>39</v>
      </c>
      <c r="F513">
        <v>22</v>
      </c>
      <c r="G513" s="12">
        <v>1078</v>
      </c>
      <c r="H513" s="12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1047</v>
      </c>
      <c r="N513" t="b">
        <v>1</v>
      </c>
    </row>
    <row r="514" spans="1:14" x14ac:dyDescent="0.3">
      <c r="A514" t="s">
        <v>1560</v>
      </c>
      <c r="B514" t="s">
        <v>600</v>
      </c>
      <c r="C514" s="1">
        <v>45111</v>
      </c>
      <c r="E514" t="s">
        <v>15</v>
      </c>
      <c r="F514">
        <v>5</v>
      </c>
      <c r="G514" s="12">
        <v>95</v>
      </c>
      <c r="H514" s="12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1050</v>
      </c>
      <c r="N514" t="b">
        <v>1</v>
      </c>
    </row>
    <row r="515" spans="1:14" x14ac:dyDescent="0.3">
      <c r="A515" t="s">
        <v>1561</v>
      </c>
      <c r="B515" t="s">
        <v>940</v>
      </c>
      <c r="C515" s="1">
        <v>45540</v>
      </c>
      <c r="E515" t="s">
        <v>32</v>
      </c>
      <c r="F515">
        <v>75</v>
      </c>
      <c r="G515" s="12">
        <v>14925</v>
      </c>
      <c r="H515" s="12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1047</v>
      </c>
      <c r="N515" t="b">
        <v>1</v>
      </c>
    </row>
    <row r="516" spans="1:14" x14ac:dyDescent="0.3">
      <c r="A516" t="s">
        <v>1562</v>
      </c>
      <c r="B516" t="s">
        <v>700</v>
      </c>
      <c r="C516" s="1">
        <v>45657</v>
      </c>
      <c r="E516" t="s">
        <v>39</v>
      </c>
      <c r="F516">
        <v>23</v>
      </c>
      <c r="G516" s="12">
        <v>1127</v>
      </c>
      <c r="H516" s="12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1050</v>
      </c>
      <c r="N516" t="b">
        <v>1</v>
      </c>
    </row>
    <row r="517" spans="1:14" x14ac:dyDescent="0.3">
      <c r="A517" t="s">
        <v>1563</v>
      </c>
      <c r="B517" t="s">
        <v>402</v>
      </c>
      <c r="C517" s="1">
        <v>45624</v>
      </c>
      <c r="E517" t="s">
        <v>15</v>
      </c>
      <c r="F517">
        <v>28</v>
      </c>
      <c r="G517" s="12">
        <v>532</v>
      </c>
      <c r="H517" s="12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1047</v>
      </c>
      <c r="N517" t="b">
        <v>1</v>
      </c>
    </row>
    <row r="518" spans="1:14" x14ac:dyDescent="0.3">
      <c r="A518" t="s">
        <v>1564</v>
      </c>
      <c r="B518" t="s">
        <v>894</v>
      </c>
      <c r="C518" s="1">
        <v>45465</v>
      </c>
      <c r="E518" t="s">
        <v>39</v>
      </c>
      <c r="F518">
        <v>27</v>
      </c>
      <c r="G518" s="12">
        <v>1323</v>
      </c>
      <c r="H518" s="12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1050</v>
      </c>
      <c r="N518" t="b">
        <v>1</v>
      </c>
    </row>
    <row r="519" spans="1:14" x14ac:dyDescent="0.3">
      <c r="A519" t="s">
        <v>1565</v>
      </c>
      <c r="B519" t="s">
        <v>762</v>
      </c>
      <c r="C519" s="1">
        <v>45641</v>
      </c>
      <c r="E519" t="s">
        <v>39</v>
      </c>
      <c r="F519">
        <v>47</v>
      </c>
      <c r="G519" s="12">
        <v>2303</v>
      </c>
      <c r="H519" s="12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1050</v>
      </c>
      <c r="N519" t="b">
        <v>1</v>
      </c>
    </row>
    <row r="520" spans="1:14" x14ac:dyDescent="0.3">
      <c r="A520" t="s">
        <v>1566</v>
      </c>
      <c r="B520" t="s">
        <v>146</v>
      </c>
      <c r="C520" s="1">
        <v>45549</v>
      </c>
      <c r="E520" t="s">
        <v>32</v>
      </c>
      <c r="F520">
        <v>62</v>
      </c>
      <c r="G520" s="12">
        <v>12338</v>
      </c>
      <c r="H520" s="12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1047</v>
      </c>
      <c r="N520" t="b">
        <v>1</v>
      </c>
    </row>
    <row r="521" spans="1:14" x14ac:dyDescent="0.3">
      <c r="A521" t="s">
        <v>1567</v>
      </c>
      <c r="B521" t="s">
        <v>16</v>
      </c>
      <c r="C521" s="1">
        <v>45329</v>
      </c>
      <c r="E521" t="s">
        <v>39</v>
      </c>
      <c r="F521">
        <v>18</v>
      </c>
      <c r="G521" s="12">
        <v>882</v>
      </c>
      <c r="H521" s="12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1050</v>
      </c>
      <c r="N521" t="b">
        <v>0</v>
      </c>
    </row>
    <row r="522" spans="1:14" x14ac:dyDescent="0.3">
      <c r="A522" t="s">
        <v>1568</v>
      </c>
      <c r="B522" t="s">
        <v>590</v>
      </c>
      <c r="C522" s="1">
        <v>45607</v>
      </c>
      <c r="E522" t="s">
        <v>39</v>
      </c>
      <c r="F522">
        <v>38</v>
      </c>
      <c r="G522" s="12">
        <v>1862</v>
      </c>
      <c r="H522" s="1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1047</v>
      </c>
      <c r="N522" t="b">
        <v>1</v>
      </c>
    </row>
    <row r="523" spans="1:14" x14ac:dyDescent="0.3">
      <c r="A523" t="s">
        <v>1569</v>
      </c>
      <c r="B523" t="s">
        <v>74</v>
      </c>
      <c r="C523" s="1">
        <v>45474</v>
      </c>
      <c r="E523" t="s">
        <v>39</v>
      </c>
      <c r="F523">
        <v>86</v>
      </c>
      <c r="G523" s="12">
        <v>4214</v>
      </c>
      <c r="H523" s="12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1047</v>
      </c>
      <c r="N523" t="b">
        <v>1</v>
      </c>
    </row>
    <row r="524" spans="1:14" x14ac:dyDescent="0.3">
      <c r="A524" t="s">
        <v>1570</v>
      </c>
      <c r="B524" t="s">
        <v>870</v>
      </c>
      <c r="C524" s="1">
        <v>45628</v>
      </c>
      <c r="E524" t="s">
        <v>15</v>
      </c>
      <c r="F524">
        <v>32</v>
      </c>
      <c r="G524" s="12">
        <v>608</v>
      </c>
      <c r="H524" s="12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1050</v>
      </c>
      <c r="N524" t="b">
        <v>1</v>
      </c>
    </row>
    <row r="525" spans="1:14" x14ac:dyDescent="0.3">
      <c r="A525" t="s">
        <v>1571</v>
      </c>
      <c r="B525" t="s">
        <v>654</v>
      </c>
      <c r="C525" s="1">
        <v>45594</v>
      </c>
      <c r="E525" t="s">
        <v>15</v>
      </c>
      <c r="F525">
        <v>27</v>
      </c>
      <c r="G525" s="12">
        <v>513</v>
      </c>
      <c r="H525" s="12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1047</v>
      </c>
      <c r="N525" t="b">
        <v>1</v>
      </c>
    </row>
    <row r="526" spans="1:14" x14ac:dyDescent="0.3">
      <c r="A526" t="s">
        <v>1572</v>
      </c>
      <c r="B526" t="s">
        <v>982</v>
      </c>
      <c r="C526" s="1">
        <v>45485</v>
      </c>
      <c r="E526" t="s">
        <v>15</v>
      </c>
      <c r="F526">
        <v>24</v>
      </c>
      <c r="G526" s="12">
        <v>456</v>
      </c>
      <c r="H526" s="12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1050</v>
      </c>
      <c r="N526" t="b">
        <v>1</v>
      </c>
    </row>
    <row r="527" spans="1:14" x14ac:dyDescent="0.3">
      <c r="A527" t="s">
        <v>1573</v>
      </c>
      <c r="B527" t="s">
        <v>874</v>
      </c>
      <c r="C527" s="1">
        <v>45465</v>
      </c>
      <c r="E527" t="s">
        <v>32</v>
      </c>
      <c r="F527">
        <v>9</v>
      </c>
      <c r="G527" s="12">
        <v>1791</v>
      </c>
      <c r="H527" s="12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1050</v>
      </c>
      <c r="N527" t="b">
        <v>1</v>
      </c>
    </row>
    <row r="528" spans="1:14" x14ac:dyDescent="0.3">
      <c r="A528" t="s">
        <v>1574</v>
      </c>
      <c r="B528" t="s">
        <v>140</v>
      </c>
      <c r="C528" s="1">
        <v>45572</v>
      </c>
      <c r="E528" t="s">
        <v>15</v>
      </c>
      <c r="F528">
        <v>36</v>
      </c>
      <c r="G528" s="12">
        <v>684</v>
      </c>
      <c r="H528" s="12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1047</v>
      </c>
      <c r="N528" t="b">
        <v>1</v>
      </c>
    </row>
    <row r="529" spans="1:14" x14ac:dyDescent="0.3">
      <c r="A529" t="s">
        <v>1575</v>
      </c>
      <c r="B529" t="s">
        <v>820</v>
      </c>
      <c r="C529" s="1">
        <v>45577</v>
      </c>
      <c r="E529" t="s">
        <v>39</v>
      </c>
      <c r="F529">
        <v>55</v>
      </c>
      <c r="G529" s="12">
        <v>2695</v>
      </c>
      <c r="H529" s="12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1047</v>
      </c>
      <c r="N529" t="b">
        <v>0</v>
      </c>
    </row>
    <row r="530" spans="1:14" x14ac:dyDescent="0.3">
      <c r="A530" t="s">
        <v>1576</v>
      </c>
      <c r="B530" t="s">
        <v>1016</v>
      </c>
      <c r="C530" s="1">
        <v>45595</v>
      </c>
      <c r="E530" t="s">
        <v>15</v>
      </c>
      <c r="F530">
        <v>22</v>
      </c>
      <c r="G530" s="12">
        <v>418</v>
      </c>
      <c r="H530" s="12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1047</v>
      </c>
      <c r="N530" t="b">
        <v>1</v>
      </c>
    </row>
    <row r="531" spans="1:14" x14ac:dyDescent="0.3">
      <c r="A531" t="s">
        <v>1577</v>
      </c>
      <c r="B531" t="s">
        <v>596</v>
      </c>
      <c r="C531" s="1">
        <v>45636</v>
      </c>
      <c r="D531" s="1">
        <v>45654</v>
      </c>
      <c r="E531" t="s">
        <v>39</v>
      </c>
      <c r="F531">
        <v>18</v>
      </c>
      <c r="G531" s="12">
        <v>882</v>
      </c>
      <c r="H531" s="12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1050</v>
      </c>
      <c r="N531" t="b">
        <v>1</v>
      </c>
    </row>
    <row r="532" spans="1:14" x14ac:dyDescent="0.3">
      <c r="A532" t="s">
        <v>1578</v>
      </c>
      <c r="B532" t="s">
        <v>976</v>
      </c>
      <c r="C532" s="1">
        <v>45568</v>
      </c>
      <c r="E532" t="s">
        <v>15</v>
      </c>
      <c r="F532">
        <v>54</v>
      </c>
      <c r="G532" s="12">
        <v>1026</v>
      </c>
      <c r="H532" s="1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1047</v>
      </c>
      <c r="N532" t="b">
        <v>1</v>
      </c>
    </row>
    <row r="533" spans="1:14" x14ac:dyDescent="0.3">
      <c r="A533" t="s">
        <v>1579</v>
      </c>
      <c r="B533" t="s">
        <v>778</v>
      </c>
      <c r="C533" s="1">
        <v>45655</v>
      </c>
      <c r="E533" t="s">
        <v>15</v>
      </c>
      <c r="F533">
        <v>39</v>
      </c>
      <c r="G533" s="12">
        <v>0</v>
      </c>
      <c r="H533" s="12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1047</v>
      </c>
      <c r="N533" t="b">
        <v>1</v>
      </c>
    </row>
    <row r="534" spans="1:14" x14ac:dyDescent="0.3">
      <c r="A534" t="s">
        <v>1580</v>
      </c>
      <c r="B534" t="s">
        <v>426</v>
      </c>
      <c r="C534" s="1">
        <v>45644</v>
      </c>
      <c r="E534" t="s">
        <v>32</v>
      </c>
      <c r="F534">
        <v>45</v>
      </c>
      <c r="G534" s="12">
        <v>8955</v>
      </c>
      <c r="H534" s="12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1050</v>
      </c>
      <c r="N534" t="b">
        <v>1</v>
      </c>
    </row>
    <row r="535" spans="1:14" x14ac:dyDescent="0.3">
      <c r="A535" t="s">
        <v>1581</v>
      </c>
      <c r="B535" t="s">
        <v>546</v>
      </c>
      <c r="C535" s="1">
        <v>45471</v>
      </c>
      <c r="E535" t="s">
        <v>39</v>
      </c>
      <c r="F535">
        <v>31</v>
      </c>
      <c r="G535" s="12">
        <v>1519</v>
      </c>
      <c r="H535" s="12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1047</v>
      </c>
      <c r="N535" t="b">
        <v>1</v>
      </c>
    </row>
    <row r="536" spans="1:14" x14ac:dyDescent="0.3">
      <c r="A536" t="s">
        <v>1582</v>
      </c>
      <c r="B536" t="s">
        <v>310</v>
      </c>
      <c r="C536" s="1">
        <v>45485</v>
      </c>
      <c r="E536" t="s">
        <v>39</v>
      </c>
      <c r="F536">
        <v>31</v>
      </c>
      <c r="G536" s="12">
        <v>1519</v>
      </c>
      <c r="H536" s="12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1050</v>
      </c>
      <c r="N536" t="b">
        <v>1</v>
      </c>
    </row>
    <row r="537" spans="1:14" x14ac:dyDescent="0.3">
      <c r="A537" t="s">
        <v>1583</v>
      </c>
      <c r="B537" t="s">
        <v>492</v>
      </c>
      <c r="C537" s="1">
        <v>45652</v>
      </c>
      <c r="E537" t="s">
        <v>15</v>
      </c>
      <c r="F537">
        <v>10</v>
      </c>
      <c r="G537" s="12">
        <v>190</v>
      </c>
      <c r="H537" s="12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1047</v>
      </c>
      <c r="N537" t="b">
        <v>1</v>
      </c>
    </row>
    <row r="538" spans="1:14" x14ac:dyDescent="0.3">
      <c r="A538" t="s">
        <v>1584</v>
      </c>
      <c r="B538" t="s">
        <v>452</v>
      </c>
      <c r="C538" s="1">
        <v>45595</v>
      </c>
      <c r="E538" t="s">
        <v>32</v>
      </c>
      <c r="F538">
        <v>18</v>
      </c>
      <c r="G538" s="12">
        <v>3582</v>
      </c>
      <c r="H538" s="12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1050</v>
      </c>
      <c r="N538" t="b">
        <v>1</v>
      </c>
    </row>
    <row r="539" spans="1:14" x14ac:dyDescent="0.3">
      <c r="A539" t="s">
        <v>1585</v>
      </c>
      <c r="B539" t="s">
        <v>892</v>
      </c>
      <c r="C539" s="1">
        <v>45621</v>
      </c>
      <c r="E539" t="s">
        <v>32</v>
      </c>
      <c r="F539">
        <v>23</v>
      </c>
      <c r="G539" s="12">
        <v>4577</v>
      </c>
      <c r="H539" s="12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1050</v>
      </c>
      <c r="N539" t="b">
        <v>0</v>
      </c>
    </row>
    <row r="540" spans="1:14" x14ac:dyDescent="0.3">
      <c r="A540" t="s">
        <v>1586</v>
      </c>
      <c r="B540" t="s">
        <v>758</v>
      </c>
      <c r="C540" s="1">
        <v>45513</v>
      </c>
      <c r="E540" t="s">
        <v>15</v>
      </c>
      <c r="F540">
        <v>27</v>
      </c>
      <c r="G540" s="12">
        <v>513</v>
      </c>
      <c r="H540" s="12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1047</v>
      </c>
      <c r="N540" t="b">
        <v>0</v>
      </c>
    </row>
    <row r="541" spans="1:14" x14ac:dyDescent="0.3">
      <c r="A541" t="s">
        <v>1587</v>
      </c>
      <c r="B541" t="s">
        <v>668</v>
      </c>
      <c r="C541" s="1">
        <v>45378</v>
      </c>
      <c r="E541" t="s">
        <v>32</v>
      </c>
      <c r="F541">
        <v>11</v>
      </c>
      <c r="G541" s="12">
        <v>0</v>
      </c>
      <c r="H541" s="12">
        <v>0</v>
      </c>
      <c r="I541" t="b">
        <v>1</v>
      </c>
      <c r="J541" t="b">
        <v>0</v>
      </c>
      <c r="K541" t="b">
        <v>0</v>
      </c>
      <c r="L541" t="b">
        <v>0</v>
      </c>
      <c r="M541" t="s">
        <v>1050</v>
      </c>
      <c r="N541" t="b">
        <v>1</v>
      </c>
    </row>
    <row r="542" spans="1:14" x14ac:dyDescent="0.3">
      <c r="A542" t="s">
        <v>1588</v>
      </c>
      <c r="B542" t="s">
        <v>972</v>
      </c>
      <c r="C542" s="1">
        <v>45580</v>
      </c>
      <c r="D542" s="1">
        <v>45602</v>
      </c>
      <c r="E542" t="s">
        <v>15</v>
      </c>
      <c r="F542">
        <v>25</v>
      </c>
      <c r="G542" s="12">
        <v>0</v>
      </c>
      <c r="H542" s="1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1050</v>
      </c>
      <c r="N542" t="b">
        <v>1</v>
      </c>
    </row>
    <row r="543" spans="1:14" x14ac:dyDescent="0.3">
      <c r="A543" t="s">
        <v>1589</v>
      </c>
      <c r="B543" t="s">
        <v>756</v>
      </c>
      <c r="C543" s="1">
        <v>45090</v>
      </c>
      <c r="E543" t="s">
        <v>39</v>
      </c>
      <c r="F543">
        <v>5</v>
      </c>
      <c r="G543" s="12">
        <v>0</v>
      </c>
      <c r="H543" s="12">
        <v>0</v>
      </c>
      <c r="I543" t="b">
        <v>1</v>
      </c>
      <c r="J543" t="b">
        <v>0</v>
      </c>
      <c r="K543" t="b">
        <v>0</v>
      </c>
      <c r="L543" t="b">
        <v>0</v>
      </c>
      <c r="M543" t="s">
        <v>1050</v>
      </c>
      <c r="N543" t="b">
        <v>1</v>
      </c>
    </row>
    <row r="544" spans="1:14" x14ac:dyDescent="0.3">
      <c r="A544" t="s">
        <v>1590</v>
      </c>
      <c r="B544" t="s">
        <v>626</v>
      </c>
      <c r="C544" s="1">
        <v>45580</v>
      </c>
      <c r="E544" t="s">
        <v>32</v>
      </c>
      <c r="F544">
        <v>22</v>
      </c>
      <c r="G544" s="12">
        <v>4378</v>
      </c>
      <c r="H544" s="12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1050</v>
      </c>
      <c r="N544" t="b">
        <v>1</v>
      </c>
    </row>
    <row r="545" spans="1:14" x14ac:dyDescent="0.3">
      <c r="A545" t="s">
        <v>1591</v>
      </c>
      <c r="B545" t="s">
        <v>928</v>
      </c>
      <c r="C545" s="1">
        <v>45496</v>
      </c>
      <c r="E545" t="s">
        <v>15</v>
      </c>
      <c r="F545">
        <v>12</v>
      </c>
      <c r="G545" s="12">
        <v>228</v>
      </c>
      <c r="H545" s="12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1047</v>
      </c>
      <c r="N545" t="b">
        <v>1</v>
      </c>
    </row>
    <row r="546" spans="1:14" x14ac:dyDescent="0.3">
      <c r="A546" t="s">
        <v>1592</v>
      </c>
      <c r="B546" t="s">
        <v>51</v>
      </c>
      <c r="C546" s="1">
        <v>45420</v>
      </c>
      <c r="E546" t="s">
        <v>15</v>
      </c>
      <c r="F546">
        <v>15</v>
      </c>
      <c r="G546" s="12">
        <v>285</v>
      </c>
      <c r="H546" s="12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1047</v>
      </c>
      <c r="N546" t="b">
        <v>1</v>
      </c>
    </row>
    <row r="547" spans="1:14" x14ac:dyDescent="0.3">
      <c r="A547" t="s">
        <v>1593</v>
      </c>
      <c r="B547" t="s">
        <v>716</v>
      </c>
      <c r="C547" s="1">
        <v>45469</v>
      </c>
      <c r="E547" t="s">
        <v>15</v>
      </c>
      <c r="F547">
        <v>35</v>
      </c>
      <c r="G547" s="12">
        <v>665</v>
      </c>
      <c r="H547" s="12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1050</v>
      </c>
      <c r="N547" t="b">
        <v>0</v>
      </c>
    </row>
    <row r="548" spans="1:14" x14ac:dyDescent="0.3">
      <c r="A548" t="s">
        <v>1594</v>
      </c>
      <c r="B548" t="s">
        <v>798</v>
      </c>
      <c r="C548" s="1">
        <v>45117</v>
      </c>
      <c r="E548" t="s">
        <v>39</v>
      </c>
      <c r="F548">
        <v>23</v>
      </c>
      <c r="G548" s="12">
        <v>1127</v>
      </c>
      <c r="H548" s="12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1050</v>
      </c>
      <c r="N548" t="b">
        <v>1</v>
      </c>
    </row>
    <row r="549" spans="1:14" x14ac:dyDescent="0.3">
      <c r="A549" t="s">
        <v>1595</v>
      </c>
      <c r="B549" t="s">
        <v>178</v>
      </c>
      <c r="C549" s="1">
        <v>45084</v>
      </c>
      <c r="E549" t="s">
        <v>32</v>
      </c>
      <c r="F549">
        <v>16</v>
      </c>
      <c r="G549" s="12">
        <v>3184</v>
      </c>
      <c r="H549" s="12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1050</v>
      </c>
      <c r="N549" t="b">
        <v>0</v>
      </c>
    </row>
    <row r="550" spans="1:14" x14ac:dyDescent="0.3">
      <c r="A550" t="s">
        <v>1596</v>
      </c>
      <c r="B550" t="s">
        <v>238</v>
      </c>
      <c r="C550" s="1">
        <v>45631</v>
      </c>
      <c r="E550" t="s">
        <v>15</v>
      </c>
      <c r="F550">
        <v>13</v>
      </c>
      <c r="G550" s="12">
        <v>247</v>
      </c>
      <c r="H550" s="12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1050</v>
      </c>
      <c r="N550" t="b">
        <v>1</v>
      </c>
    </row>
    <row r="551" spans="1:14" x14ac:dyDescent="0.3">
      <c r="A551" t="s">
        <v>1597</v>
      </c>
      <c r="B551" t="s">
        <v>862</v>
      </c>
      <c r="C551" s="1">
        <v>45412</v>
      </c>
      <c r="E551" t="s">
        <v>15</v>
      </c>
      <c r="F551">
        <v>50</v>
      </c>
      <c r="G551" s="12">
        <v>950</v>
      </c>
      <c r="H551" s="12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1047</v>
      </c>
      <c r="N551" t="b">
        <v>1</v>
      </c>
    </row>
    <row r="552" spans="1:14" x14ac:dyDescent="0.3">
      <c r="A552" t="s">
        <v>1598</v>
      </c>
      <c r="B552" t="s">
        <v>790</v>
      </c>
      <c r="C552" s="1">
        <v>45636</v>
      </c>
      <c r="E552" t="s">
        <v>15</v>
      </c>
      <c r="F552">
        <v>34</v>
      </c>
      <c r="G552" s="12">
        <v>0</v>
      </c>
      <c r="H552" s="1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1050</v>
      </c>
      <c r="N552" t="b">
        <v>1</v>
      </c>
    </row>
    <row r="553" spans="1:14" x14ac:dyDescent="0.3">
      <c r="A553" t="s">
        <v>1599</v>
      </c>
      <c r="B553" t="s">
        <v>738</v>
      </c>
      <c r="C553" s="1">
        <v>45649</v>
      </c>
      <c r="E553" t="s">
        <v>15</v>
      </c>
      <c r="F553">
        <v>29</v>
      </c>
      <c r="G553" s="12">
        <v>551</v>
      </c>
      <c r="H553" s="12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1050</v>
      </c>
      <c r="N553" t="b">
        <v>0</v>
      </c>
    </row>
    <row r="554" spans="1:14" x14ac:dyDescent="0.3">
      <c r="A554" t="s">
        <v>1600</v>
      </c>
      <c r="B554" t="s">
        <v>426</v>
      </c>
      <c r="C554" s="1">
        <v>45597</v>
      </c>
      <c r="E554" t="s">
        <v>32</v>
      </c>
      <c r="F554">
        <v>45</v>
      </c>
      <c r="G554" s="12">
        <v>8955</v>
      </c>
      <c r="H554" s="12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1050</v>
      </c>
      <c r="N554" t="b">
        <v>0</v>
      </c>
    </row>
    <row r="555" spans="1:14" x14ac:dyDescent="0.3">
      <c r="A555" t="s">
        <v>1601</v>
      </c>
      <c r="B555" t="s">
        <v>1018</v>
      </c>
      <c r="C555" s="1">
        <v>45515</v>
      </c>
      <c r="E555" t="s">
        <v>15</v>
      </c>
      <c r="F555">
        <v>43</v>
      </c>
      <c r="G555" s="12">
        <v>817</v>
      </c>
      <c r="H555" s="12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1047</v>
      </c>
      <c r="N555" t="b">
        <v>1</v>
      </c>
    </row>
    <row r="556" spans="1:14" x14ac:dyDescent="0.3">
      <c r="A556" t="s">
        <v>1602</v>
      </c>
      <c r="B556" t="s">
        <v>790</v>
      </c>
      <c r="C556" s="1">
        <v>45619</v>
      </c>
      <c r="E556" t="s">
        <v>15</v>
      </c>
      <c r="F556">
        <v>34</v>
      </c>
      <c r="G556" s="12">
        <v>646</v>
      </c>
      <c r="H556" s="12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1050</v>
      </c>
      <c r="N556" t="b">
        <v>1</v>
      </c>
    </row>
    <row r="557" spans="1:14" x14ac:dyDescent="0.3">
      <c r="A557" t="s">
        <v>1603</v>
      </c>
      <c r="B557" t="s">
        <v>878</v>
      </c>
      <c r="C557" s="1">
        <v>45356</v>
      </c>
      <c r="E557" t="s">
        <v>32</v>
      </c>
      <c r="F557">
        <v>31</v>
      </c>
      <c r="G557" s="12">
        <v>6169</v>
      </c>
      <c r="H557" s="12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1050</v>
      </c>
      <c r="N557" t="b">
        <v>1</v>
      </c>
    </row>
    <row r="558" spans="1:14" x14ac:dyDescent="0.3">
      <c r="A558" t="s">
        <v>1604</v>
      </c>
      <c r="B558" t="s">
        <v>802</v>
      </c>
      <c r="C558" s="1">
        <v>45628</v>
      </c>
      <c r="D558" s="1">
        <v>45651</v>
      </c>
      <c r="E558" t="s">
        <v>32</v>
      </c>
      <c r="F558">
        <v>41</v>
      </c>
      <c r="G558" s="12">
        <v>8159</v>
      </c>
      <c r="H558" s="12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1047</v>
      </c>
      <c r="N558" t="b">
        <v>0</v>
      </c>
    </row>
    <row r="559" spans="1:14" x14ac:dyDescent="0.3">
      <c r="A559" t="s">
        <v>1605</v>
      </c>
      <c r="B559" t="s">
        <v>824</v>
      </c>
      <c r="C559" s="1">
        <v>45256</v>
      </c>
      <c r="E559" t="s">
        <v>39</v>
      </c>
      <c r="F559">
        <v>17</v>
      </c>
      <c r="G559" s="12">
        <v>0</v>
      </c>
      <c r="H559" s="12">
        <v>0</v>
      </c>
      <c r="I559" t="b">
        <v>1</v>
      </c>
      <c r="J559" t="b">
        <v>0</v>
      </c>
      <c r="K559" t="b">
        <v>0</v>
      </c>
      <c r="L559" t="b">
        <v>0</v>
      </c>
      <c r="M559" t="s">
        <v>1050</v>
      </c>
      <c r="N559" t="b">
        <v>1</v>
      </c>
    </row>
    <row r="560" spans="1:14" x14ac:dyDescent="0.3">
      <c r="A560" t="s">
        <v>1606</v>
      </c>
      <c r="B560" t="s">
        <v>210</v>
      </c>
      <c r="C560" s="1">
        <v>45629</v>
      </c>
      <c r="E560" t="s">
        <v>15</v>
      </c>
      <c r="F560">
        <v>33</v>
      </c>
      <c r="G560" s="12">
        <v>0</v>
      </c>
      <c r="H560" s="12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1047</v>
      </c>
      <c r="N560" t="b">
        <v>1</v>
      </c>
    </row>
    <row r="561" spans="1:14" x14ac:dyDescent="0.3">
      <c r="A561" t="s">
        <v>1607</v>
      </c>
      <c r="B561" t="s">
        <v>1014</v>
      </c>
      <c r="C561" s="1">
        <v>45607</v>
      </c>
      <c r="E561" t="s">
        <v>32</v>
      </c>
      <c r="F561">
        <v>32</v>
      </c>
      <c r="G561" s="12">
        <v>6368</v>
      </c>
      <c r="H561" s="12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1047</v>
      </c>
      <c r="N561" t="b">
        <v>0</v>
      </c>
    </row>
    <row r="562" spans="1:14" x14ac:dyDescent="0.3">
      <c r="A562" t="s">
        <v>1608</v>
      </c>
      <c r="B562" t="s">
        <v>416</v>
      </c>
      <c r="C562" s="1">
        <v>44969</v>
      </c>
      <c r="D562" s="1">
        <v>45254</v>
      </c>
      <c r="E562" t="s">
        <v>39</v>
      </c>
      <c r="F562">
        <v>19</v>
      </c>
      <c r="G562" s="12">
        <v>931</v>
      </c>
      <c r="H562" s="1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1050</v>
      </c>
      <c r="N562" t="b">
        <v>1</v>
      </c>
    </row>
    <row r="563" spans="1:14" x14ac:dyDescent="0.3">
      <c r="A563" t="s">
        <v>1609</v>
      </c>
      <c r="B563" t="s">
        <v>162</v>
      </c>
      <c r="C563" s="1">
        <v>45478</v>
      </c>
      <c r="E563" t="s">
        <v>32</v>
      </c>
      <c r="F563">
        <v>43</v>
      </c>
      <c r="G563" s="12">
        <v>0</v>
      </c>
      <c r="H563" s="12">
        <v>0</v>
      </c>
      <c r="I563" t="b">
        <v>1</v>
      </c>
      <c r="J563" t="b">
        <v>0</v>
      </c>
      <c r="K563" t="b">
        <v>0</v>
      </c>
      <c r="L563" t="b">
        <v>0</v>
      </c>
      <c r="M563" t="s">
        <v>1050</v>
      </c>
      <c r="N563" t="b">
        <v>1</v>
      </c>
    </row>
    <row r="564" spans="1:14" x14ac:dyDescent="0.3">
      <c r="A564" t="s">
        <v>1610</v>
      </c>
      <c r="B564" t="s">
        <v>21</v>
      </c>
      <c r="C564" s="1">
        <v>45573</v>
      </c>
      <c r="E564" t="s">
        <v>39</v>
      </c>
      <c r="F564">
        <v>4</v>
      </c>
      <c r="G564" s="12">
        <v>196</v>
      </c>
      <c r="H564" s="12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1047</v>
      </c>
      <c r="N564" t="b">
        <v>1</v>
      </c>
    </row>
    <row r="565" spans="1:14" x14ac:dyDescent="0.3">
      <c r="A565" t="s">
        <v>1611</v>
      </c>
      <c r="B565" t="s">
        <v>68</v>
      </c>
      <c r="C565" s="1">
        <v>45474</v>
      </c>
      <c r="E565" t="s">
        <v>39</v>
      </c>
      <c r="F565">
        <v>9</v>
      </c>
      <c r="G565" s="12">
        <v>441</v>
      </c>
      <c r="H565" s="12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1047</v>
      </c>
      <c r="N565" t="b">
        <v>1</v>
      </c>
    </row>
    <row r="566" spans="1:14" x14ac:dyDescent="0.3">
      <c r="A566" t="s">
        <v>1612</v>
      </c>
      <c r="B566" t="s">
        <v>822</v>
      </c>
      <c r="C566" s="1">
        <v>45571</v>
      </c>
      <c r="E566" t="s">
        <v>32</v>
      </c>
      <c r="F566">
        <v>7</v>
      </c>
      <c r="G566" s="12">
        <v>1393</v>
      </c>
      <c r="H566" s="12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1050</v>
      </c>
      <c r="N566" t="b">
        <v>1</v>
      </c>
    </row>
    <row r="567" spans="1:14" x14ac:dyDescent="0.3">
      <c r="A567" t="s">
        <v>1613</v>
      </c>
      <c r="B567" t="s">
        <v>532</v>
      </c>
      <c r="C567" s="1">
        <v>45651</v>
      </c>
      <c r="E567" t="s">
        <v>32</v>
      </c>
      <c r="F567">
        <v>8</v>
      </c>
      <c r="G567" s="12">
        <v>0</v>
      </c>
      <c r="H567" s="12">
        <v>0</v>
      </c>
      <c r="I567" t="b">
        <v>1</v>
      </c>
      <c r="J567" t="b">
        <v>0</v>
      </c>
      <c r="K567" t="b">
        <v>0</v>
      </c>
      <c r="L567" t="b">
        <v>0</v>
      </c>
      <c r="M567" t="s">
        <v>1050</v>
      </c>
      <c r="N567" t="b">
        <v>1</v>
      </c>
    </row>
    <row r="568" spans="1:14" x14ac:dyDescent="0.3">
      <c r="A568" t="s">
        <v>1614</v>
      </c>
      <c r="B568" t="s">
        <v>104</v>
      </c>
      <c r="C568" s="1">
        <v>45648</v>
      </c>
      <c r="D568" s="1">
        <v>45656</v>
      </c>
      <c r="E568" t="s">
        <v>39</v>
      </c>
      <c r="F568">
        <v>3</v>
      </c>
      <c r="G568" s="12">
        <v>147</v>
      </c>
      <c r="H568" s="12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1047</v>
      </c>
      <c r="N568" t="b">
        <v>1</v>
      </c>
    </row>
    <row r="569" spans="1:14" x14ac:dyDescent="0.3">
      <c r="A569" t="s">
        <v>1615</v>
      </c>
      <c r="B569" t="s">
        <v>1008</v>
      </c>
      <c r="C569" s="1">
        <v>45457</v>
      </c>
      <c r="E569" t="s">
        <v>32</v>
      </c>
      <c r="F569">
        <v>10</v>
      </c>
      <c r="G569" s="12">
        <v>1990</v>
      </c>
      <c r="H569" s="12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1047</v>
      </c>
      <c r="N569" t="b">
        <v>1</v>
      </c>
    </row>
    <row r="570" spans="1:14" x14ac:dyDescent="0.3">
      <c r="A570" t="s">
        <v>1616</v>
      </c>
      <c r="B570" t="s">
        <v>834</v>
      </c>
      <c r="C570" s="1">
        <v>45572</v>
      </c>
      <c r="E570" t="s">
        <v>15</v>
      </c>
      <c r="F570">
        <v>27</v>
      </c>
      <c r="G570" s="12">
        <v>513</v>
      </c>
      <c r="H570" s="12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1050</v>
      </c>
      <c r="N570" t="b">
        <v>1</v>
      </c>
    </row>
    <row r="571" spans="1:14" x14ac:dyDescent="0.3">
      <c r="A571" t="s">
        <v>1617</v>
      </c>
      <c r="B571" t="s">
        <v>586</v>
      </c>
      <c r="C571" s="1">
        <v>45639</v>
      </c>
      <c r="E571" t="s">
        <v>39</v>
      </c>
      <c r="F571">
        <v>13</v>
      </c>
      <c r="G571" s="12">
        <v>637</v>
      </c>
      <c r="H571" s="12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1047</v>
      </c>
      <c r="N571" t="b">
        <v>1</v>
      </c>
    </row>
    <row r="572" spans="1:14" x14ac:dyDescent="0.3">
      <c r="A572" t="s">
        <v>1618</v>
      </c>
      <c r="B572" t="s">
        <v>386</v>
      </c>
      <c r="C572" s="1">
        <v>45586</v>
      </c>
      <c r="E572" t="s">
        <v>15</v>
      </c>
      <c r="F572">
        <v>60</v>
      </c>
      <c r="G572" s="12">
        <v>1140</v>
      </c>
      <c r="H572" s="1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1050</v>
      </c>
      <c r="N572" t="b">
        <v>1</v>
      </c>
    </row>
    <row r="573" spans="1:14" x14ac:dyDescent="0.3">
      <c r="A573" t="s">
        <v>1619</v>
      </c>
      <c r="B573" t="s">
        <v>368</v>
      </c>
      <c r="C573" s="1">
        <v>45417</v>
      </c>
      <c r="E573" t="s">
        <v>39</v>
      </c>
      <c r="F573">
        <v>34</v>
      </c>
      <c r="G573" s="12">
        <v>1666</v>
      </c>
      <c r="H573" s="12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1047</v>
      </c>
      <c r="N573" t="b">
        <v>1</v>
      </c>
    </row>
    <row r="574" spans="1:14" x14ac:dyDescent="0.3">
      <c r="A574" t="s">
        <v>1620</v>
      </c>
      <c r="B574" t="s">
        <v>1002</v>
      </c>
      <c r="C574" s="1">
        <v>45582</v>
      </c>
      <c r="E574" t="s">
        <v>32</v>
      </c>
      <c r="F574">
        <v>65</v>
      </c>
      <c r="G574" s="12">
        <v>12935</v>
      </c>
      <c r="H574" s="12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1050</v>
      </c>
      <c r="N574" t="b">
        <v>1</v>
      </c>
    </row>
    <row r="575" spans="1:14" x14ac:dyDescent="0.3">
      <c r="A575" t="s">
        <v>1621</v>
      </c>
      <c r="B575" t="s">
        <v>604</v>
      </c>
      <c r="C575" s="1">
        <v>45652</v>
      </c>
      <c r="E575" t="s">
        <v>32</v>
      </c>
      <c r="F575">
        <v>28</v>
      </c>
      <c r="G575" s="12">
        <v>5572</v>
      </c>
      <c r="H575" s="12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1047</v>
      </c>
      <c r="N575" t="b">
        <v>1</v>
      </c>
    </row>
    <row r="576" spans="1:14" x14ac:dyDescent="0.3">
      <c r="A576" t="s">
        <v>1622</v>
      </c>
      <c r="B576" t="s">
        <v>146</v>
      </c>
      <c r="C576" s="1">
        <v>45613</v>
      </c>
      <c r="E576" t="s">
        <v>39</v>
      </c>
      <c r="F576">
        <v>31</v>
      </c>
      <c r="G576" s="12">
        <v>1519</v>
      </c>
      <c r="H576" s="12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1047</v>
      </c>
      <c r="N576" t="b">
        <v>0</v>
      </c>
    </row>
    <row r="577" spans="1:14" x14ac:dyDescent="0.3">
      <c r="A577" t="s">
        <v>1623</v>
      </c>
      <c r="B577" t="s">
        <v>956</v>
      </c>
      <c r="C577" s="1">
        <v>45546</v>
      </c>
      <c r="E577" t="s">
        <v>32</v>
      </c>
      <c r="F577">
        <v>12</v>
      </c>
      <c r="G577" s="12">
        <v>0</v>
      </c>
      <c r="H577" s="12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1047</v>
      </c>
      <c r="N577" t="b">
        <v>1</v>
      </c>
    </row>
    <row r="578" spans="1:14" x14ac:dyDescent="0.3">
      <c r="A578" t="s">
        <v>1624</v>
      </c>
      <c r="B578" t="s">
        <v>1010</v>
      </c>
      <c r="C578" s="1">
        <v>45588</v>
      </c>
      <c r="E578" t="s">
        <v>32</v>
      </c>
      <c r="F578">
        <v>16</v>
      </c>
      <c r="G578" s="12">
        <v>3184</v>
      </c>
      <c r="H578" s="12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1050</v>
      </c>
      <c r="N578" t="b">
        <v>1</v>
      </c>
    </row>
    <row r="579" spans="1:14" x14ac:dyDescent="0.3">
      <c r="A579" t="s">
        <v>1625</v>
      </c>
      <c r="B579" t="s">
        <v>420</v>
      </c>
      <c r="C579" s="1">
        <v>45437</v>
      </c>
      <c r="E579" t="s">
        <v>39</v>
      </c>
      <c r="F579">
        <v>6</v>
      </c>
      <c r="G579" s="12">
        <v>294</v>
      </c>
      <c r="H579" s="12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1050</v>
      </c>
      <c r="N579" t="b">
        <v>1</v>
      </c>
    </row>
    <row r="580" spans="1:14" x14ac:dyDescent="0.3">
      <c r="A580" t="s">
        <v>1626</v>
      </c>
      <c r="B580" t="s">
        <v>582</v>
      </c>
      <c r="C580" s="1">
        <v>45309</v>
      </c>
      <c r="E580" t="s">
        <v>15</v>
      </c>
      <c r="F580">
        <v>62</v>
      </c>
      <c r="G580" s="12">
        <v>1178</v>
      </c>
      <c r="H580" s="12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1050</v>
      </c>
      <c r="N580" t="b">
        <v>1</v>
      </c>
    </row>
    <row r="581" spans="1:14" x14ac:dyDescent="0.3">
      <c r="A581" t="s">
        <v>1627</v>
      </c>
      <c r="B581" t="s">
        <v>556</v>
      </c>
      <c r="C581" s="1">
        <v>45646</v>
      </c>
      <c r="E581" t="s">
        <v>39</v>
      </c>
      <c r="F581">
        <v>58</v>
      </c>
      <c r="G581" s="12">
        <v>2842</v>
      </c>
      <c r="H581" s="12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1050</v>
      </c>
      <c r="N581" t="b">
        <v>1</v>
      </c>
    </row>
    <row r="582" spans="1:14" x14ac:dyDescent="0.3">
      <c r="A582" t="s">
        <v>1628</v>
      </c>
      <c r="B582" t="s">
        <v>72</v>
      </c>
      <c r="C582" s="1">
        <v>45599</v>
      </c>
      <c r="E582" t="s">
        <v>32</v>
      </c>
      <c r="F582">
        <v>75</v>
      </c>
      <c r="G582" s="12">
        <v>14925</v>
      </c>
      <c r="H582" s="1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1047</v>
      </c>
      <c r="N582" t="b">
        <v>1</v>
      </c>
    </row>
    <row r="583" spans="1:14" x14ac:dyDescent="0.3">
      <c r="A583" t="s">
        <v>1629</v>
      </c>
      <c r="B583" t="s">
        <v>358</v>
      </c>
      <c r="C583" s="1">
        <v>45560</v>
      </c>
      <c r="E583" t="s">
        <v>15</v>
      </c>
      <c r="F583">
        <v>26</v>
      </c>
      <c r="G583" s="12">
        <v>494</v>
      </c>
      <c r="H583" s="12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1047</v>
      </c>
      <c r="N583" t="b">
        <v>1</v>
      </c>
    </row>
    <row r="584" spans="1:14" x14ac:dyDescent="0.3">
      <c r="A584" t="s">
        <v>1630</v>
      </c>
      <c r="B584" t="s">
        <v>200</v>
      </c>
      <c r="C584" s="1">
        <v>45634</v>
      </c>
      <c r="D584" s="1">
        <v>45651</v>
      </c>
      <c r="E584" t="s">
        <v>32</v>
      </c>
      <c r="F584">
        <v>16</v>
      </c>
      <c r="G584" s="12">
        <v>3184</v>
      </c>
      <c r="H584" s="12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1047</v>
      </c>
      <c r="N584" t="b">
        <v>1</v>
      </c>
    </row>
    <row r="585" spans="1:14" x14ac:dyDescent="0.3">
      <c r="A585" t="s">
        <v>1631</v>
      </c>
      <c r="B585" t="s">
        <v>670</v>
      </c>
      <c r="C585" s="1">
        <v>45080</v>
      </c>
      <c r="E585" t="s">
        <v>15</v>
      </c>
      <c r="F585">
        <v>33</v>
      </c>
      <c r="G585" s="12">
        <v>627</v>
      </c>
      <c r="H585" s="12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1047</v>
      </c>
      <c r="N585" t="b">
        <v>1</v>
      </c>
    </row>
    <row r="586" spans="1:14" x14ac:dyDescent="0.3">
      <c r="A586" t="s">
        <v>1632</v>
      </c>
      <c r="B586" t="s">
        <v>914</v>
      </c>
      <c r="C586" s="1">
        <v>45648</v>
      </c>
      <c r="E586" t="s">
        <v>39</v>
      </c>
      <c r="F586">
        <v>40</v>
      </c>
      <c r="G586" s="12">
        <v>0</v>
      </c>
      <c r="H586" s="12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1047</v>
      </c>
      <c r="N586" t="b">
        <v>1</v>
      </c>
    </row>
    <row r="587" spans="1:14" x14ac:dyDescent="0.3">
      <c r="A587" t="s">
        <v>1633</v>
      </c>
      <c r="B587" t="s">
        <v>240</v>
      </c>
      <c r="C587" s="1">
        <v>45551</v>
      </c>
      <c r="E587" t="s">
        <v>32</v>
      </c>
      <c r="F587">
        <v>23</v>
      </c>
      <c r="G587" s="12">
        <v>4577</v>
      </c>
      <c r="H587" s="12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1050</v>
      </c>
      <c r="N587" t="b">
        <v>1</v>
      </c>
    </row>
    <row r="588" spans="1:14" x14ac:dyDescent="0.3">
      <c r="A588" t="s">
        <v>1634</v>
      </c>
      <c r="B588" t="s">
        <v>692</v>
      </c>
      <c r="C588" s="1">
        <v>45312</v>
      </c>
      <c r="E588" t="s">
        <v>32</v>
      </c>
      <c r="F588">
        <v>17</v>
      </c>
      <c r="G588" s="12">
        <v>3383</v>
      </c>
      <c r="H588" s="12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1047</v>
      </c>
      <c r="N588" t="b">
        <v>1</v>
      </c>
    </row>
    <row r="589" spans="1:14" x14ac:dyDescent="0.3">
      <c r="A589" t="s">
        <v>1635</v>
      </c>
      <c r="B589" t="s">
        <v>51</v>
      </c>
      <c r="C589" s="1">
        <v>45500</v>
      </c>
      <c r="E589" t="s">
        <v>32</v>
      </c>
      <c r="F589">
        <v>61</v>
      </c>
      <c r="G589" s="12">
        <v>12139</v>
      </c>
      <c r="H589" s="12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1050</v>
      </c>
      <c r="N589" t="b">
        <v>1</v>
      </c>
    </row>
    <row r="590" spans="1:14" x14ac:dyDescent="0.3">
      <c r="A590" t="s">
        <v>1636</v>
      </c>
      <c r="B590" t="s">
        <v>66</v>
      </c>
      <c r="C590" s="1">
        <v>45293</v>
      </c>
      <c r="E590" t="s">
        <v>15</v>
      </c>
      <c r="F590">
        <v>25</v>
      </c>
      <c r="G590" s="12">
        <v>0</v>
      </c>
      <c r="H590" s="12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1047</v>
      </c>
      <c r="N590" t="b">
        <v>1</v>
      </c>
    </row>
    <row r="591" spans="1:14" x14ac:dyDescent="0.3">
      <c r="A591" t="s">
        <v>1637</v>
      </c>
      <c r="B591" t="s">
        <v>212</v>
      </c>
      <c r="C591" s="1">
        <v>45449</v>
      </c>
      <c r="E591" t="s">
        <v>32</v>
      </c>
      <c r="F591">
        <v>48</v>
      </c>
      <c r="G591" s="12">
        <v>9552</v>
      </c>
      <c r="H591" s="12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1047</v>
      </c>
      <c r="N591" t="b">
        <v>0</v>
      </c>
    </row>
    <row r="592" spans="1:14" x14ac:dyDescent="0.3">
      <c r="A592" t="s">
        <v>1638</v>
      </c>
      <c r="B592" t="s">
        <v>618</v>
      </c>
      <c r="C592" s="1">
        <v>45483</v>
      </c>
      <c r="E592" t="s">
        <v>39</v>
      </c>
      <c r="F592">
        <v>28</v>
      </c>
      <c r="G592" s="12">
        <v>1372</v>
      </c>
      <c r="H592" s="1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1050</v>
      </c>
      <c r="N592" t="b">
        <v>1</v>
      </c>
    </row>
    <row r="593" spans="1:14" x14ac:dyDescent="0.3">
      <c r="A593" t="s">
        <v>1639</v>
      </c>
      <c r="B593" t="s">
        <v>426</v>
      </c>
      <c r="C593" s="1">
        <v>45606</v>
      </c>
      <c r="E593" t="s">
        <v>32</v>
      </c>
      <c r="F593">
        <v>45</v>
      </c>
      <c r="G593" s="12">
        <v>8955</v>
      </c>
      <c r="H593" s="12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1050</v>
      </c>
      <c r="N593" t="b">
        <v>0</v>
      </c>
    </row>
    <row r="594" spans="1:14" x14ac:dyDescent="0.3">
      <c r="A594" t="s">
        <v>1640</v>
      </c>
      <c r="B594" t="s">
        <v>472</v>
      </c>
      <c r="C594" s="1">
        <v>45338</v>
      </c>
      <c r="E594" t="s">
        <v>15</v>
      </c>
      <c r="F594">
        <v>5</v>
      </c>
      <c r="G594" s="12">
        <v>0</v>
      </c>
      <c r="H594" s="12">
        <v>0</v>
      </c>
      <c r="I594" t="b">
        <v>1</v>
      </c>
      <c r="J594" t="b">
        <v>0</v>
      </c>
      <c r="K594" t="b">
        <v>0</v>
      </c>
      <c r="L594" t="b">
        <v>0</v>
      </c>
      <c r="M594" t="s">
        <v>1050</v>
      </c>
      <c r="N594" t="b">
        <v>1</v>
      </c>
    </row>
    <row r="595" spans="1:14" x14ac:dyDescent="0.3">
      <c r="A595" t="s">
        <v>1641</v>
      </c>
      <c r="B595" t="s">
        <v>718</v>
      </c>
      <c r="C595" s="1">
        <v>45447</v>
      </c>
      <c r="E595" t="s">
        <v>32</v>
      </c>
      <c r="F595">
        <v>16</v>
      </c>
      <c r="G595" s="12">
        <v>3184</v>
      </c>
      <c r="H595" s="12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1047</v>
      </c>
      <c r="N595" t="b">
        <v>1</v>
      </c>
    </row>
    <row r="596" spans="1:14" x14ac:dyDescent="0.3">
      <c r="A596" t="s">
        <v>1642</v>
      </c>
      <c r="B596" t="s">
        <v>686</v>
      </c>
      <c r="C596" s="1">
        <v>45657</v>
      </c>
      <c r="E596" t="s">
        <v>15</v>
      </c>
      <c r="F596">
        <v>26</v>
      </c>
      <c r="G596" s="12">
        <v>0</v>
      </c>
      <c r="H596" s="12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1047</v>
      </c>
      <c r="N596" t="b">
        <v>1</v>
      </c>
    </row>
    <row r="597" spans="1:14" x14ac:dyDescent="0.3">
      <c r="A597" t="s">
        <v>1643</v>
      </c>
      <c r="B597" t="s">
        <v>746</v>
      </c>
      <c r="C597" s="1">
        <v>45333</v>
      </c>
      <c r="E597" t="s">
        <v>39</v>
      </c>
      <c r="F597">
        <v>87</v>
      </c>
      <c r="G597" s="12">
        <v>4263</v>
      </c>
      <c r="H597" s="12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1047</v>
      </c>
      <c r="N597" t="b">
        <v>1</v>
      </c>
    </row>
    <row r="598" spans="1:14" x14ac:dyDescent="0.3">
      <c r="A598" t="s">
        <v>1644</v>
      </c>
      <c r="B598" t="s">
        <v>326</v>
      </c>
      <c r="C598" s="1">
        <v>45654</v>
      </c>
      <c r="E598" t="s">
        <v>39</v>
      </c>
      <c r="F598">
        <v>33</v>
      </c>
      <c r="G598" s="12">
        <v>1617</v>
      </c>
      <c r="H598" s="12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1047</v>
      </c>
      <c r="N598" t="b">
        <v>1</v>
      </c>
    </row>
    <row r="599" spans="1:14" x14ac:dyDescent="0.3">
      <c r="A599" t="s">
        <v>1645</v>
      </c>
      <c r="B599" t="s">
        <v>318</v>
      </c>
      <c r="C599" s="1">
        <v>45594</v>
      </c>
      <c r="E599" t="s">
        <v>39</v>
      </c>
      <c r="F599">
        <v>36</v>
      </c>
      <c r="G599" s="12">
        <v>1764</v>
      </c>
      <c r="H599" s="12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1050</v>
      </c>
      <c r="N599" t="b">
        <v>1</v>
      </c>
    </row>
    <row r="600" spans="1:14" x14ac:dyDescent="0.3">
      <c r="A600" t="s">
        <v>1646</v>
      </c>
      <c r="B600" t="s">
        <v>434</v>
      </c>
      <c r="C600" s="1">
        <v>45153</v>
      </c>
      <c r="D600" s="1">
        <v>45233</v>
      </c>
      <c r="E600" t="s">
        <v>39</v>
      </c>
      <c r="F600">
        <v>17</v>
      </c>
      <c r="G600" s="12">
        <v>0</v>
      </c>
      <c r="H600" s="12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1047</v>
      </c>
      <c r="N600" t="b">
        <v>1</v>
      </c>
    </row>
    <row r="601" spans="1:14" x14ac:dyDescent="0.3">
      <c r="A601" t="s">
        <v>1647</v>
      </c>
      <c r="B601" t="s">
        <v>168</v>
      </c>
      <c r="C601" s="1">
        <v>45583</v>
      </c>
      <c r="E601" t="s">
        <v>32</v>
      </c>
      <c r="F601">
        <v>21</v>
      </c>
      <c r="G601" s="12">
        <v>4179</v>
      </c>
      <c r="H601" s="12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1050</v>
      </c>
      <c r="N601" t="b">
        <v>1</v>
      </c>
    </row>
    <row r="602" spans="1:14" x14ac:dyDescent="0.3">
      <c r="A602" t="s">
        <v>1648</v>
      </c>
      <c r="B602" t="s">
        <v>1012</v>
      </c>
      <c r="C602" s="1">
        <v>45637</v>
      </c>
      <c r="E602" t="s">
        <v>15</v>
      </c>
      <c r="F602">
        <v>11</v>
      </c>
      <c r="G602" s="12">
        <v>209</v>
      </c>
      <c r="H602" s="1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1050</v>
      </c>
      <c r="N602" t="b">
        <v>1</v>
      </c>
    </row>
    <row r="603" spans="1:14" x14ac:dyDescent="0.3">
      <c r="A603" t="s">
        <v>1649</v>
      </c>
      <c r="B603" t="s">
        <v>722</v>
      </c>
      <c r="C603" s="1">
        <v>45644</v>
      </c>
      <c r="E603" t="s">
        <v>39</v>
      </c>
      <c r="F603">
        <v>9</v>
      </c>
      <c r="G603" s="12">
        <v>0</v>
      </c>
      <c r="H603" s="12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1047</v>
      </c>
      <c r="N603" t="b">
        <v>0</v>
      </c>
    </row>
    <row r="604" spans="1:14" x14ac:dyDescent="0.3">
      <c r="A604" t="s">
        <v>1650</v>
      </c>
      <c r="B604" t="s">
        <v>596</v>
      </c>
      <c r="C604" s="1">
        <v>45605</v>
      </c>
      <c r="E604" t="s">
        <v>32</v>
      </c>
      <c r="F604">
        <v>18</v>
      </c>
      <c r="G604" s="12">
        <v>3582</v>
      </c>
      <c r="H604" s="12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1047</v>
      </c>
      <c r="N604" t="b">
        <v>1</v>
      </c>
    </row>
    <row r="605" spans="1:14" x14ac:dyDescent="0.3">
      <c r="A605" t="s">
        <v>1651</v>
      </c>
      <c r="B605" t="s">
        <v>156</v>
      </c>
      <c r="C605" s="1">
        <v>45472</v>
      </c>
      <c r="E605" t="s">
        <v>15</v>
      </c>
      <c r="F605">
        <v>28</v>
      </c>
      <c r="G605" s="12">
        <v>532</v>
      </c>
      <c r="H605" s="12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1050</v>
      </c>
      <c r="N605" t="b">
        <v>1</v>
      </c>
    </row>
    <row r="606" spans="1:14" x14ac:dyDescent="0.3">
      <c r="A606" t="s">
        <v>1652</v>
      </c>
      <c r="B606" t="s">
        <v>580</v>
      </c>
      <c r="C606" s="1">
        <v>45468</v>
      </c>
      <c r="E606" t="s">
        <v>15</v>
      </c>
      <c r="F606">
        <v>50</v>
      </c>
      <c r="G606" s="12">
        <v>950</v>
      </c>
      <c r="H606" s="12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1050</v>
      </c>
      <c r="N606" t="b">
        <v>0</v>
      </c>
    </row>
    <row r="607" spans="1:14" x14ac:dyDescent="0.3">
      <c r="A607" t="s">
        <v>1653</v>
      </c>
      <c r="B607" t="s">
        <v>244</v>
      </c>
      <c r="C607" s="1">
        <v>45645</v>
      </c>
      <c r="D607" s="1">
        <v>45656</v>
      </c>
      <c r="E607" t="s">
        <v>32</v>
      </c>
      <c r="F607">
        <v>25</v>
      </c>
      <c r="G607" s="12">
        <v>4975</v>
      </c>
      <c r="H607" s="12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1050</v>
      </c>
      <c r="N607" t="b">
        <v>1</v>
      </c>
    </row>
    <row r="608" spans="1:14" x14ac:dyDescent="0.3">
      <c r="A608" t="s">
        <v>1654</v>
      </c>
      <c r="B608" t="s">
        <v>246</v>
      </c>
      <c r="C608" s="1">
        <v>45362</v>
      </c>
      <c r="E608" t="s">
        <v>32</v>
      </c>
      <c r="F608">
        <v>61</v>
      </c>
      <c r="G608" s="12">
        <v>0</v>
      </c>
      <c r="H608" s="12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1047</v>
      </c>
      <c r="N608" t="b">
        <v>1</v>
      </c>
    </row>
    <row r="609" spans="1:14" x14ac:dyDescent="0.3">
      <c r="A609" t="s">
        <v>1655</v>
      </c>
      <c r="B609" t="s">
        <v>194</v>
      </c>
      <c r="C609" s="1">
        <v>45296</v>
      </c>
      <c r="E609" t="s">
        <v>15</v>
      </c>
      <c r="F609">
        <v>17</v>
      </c>
      <c r="G609" s="12">
        <v>323</v>
      </c>
      <c r="H609" s="12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1050</v>
      </c>
      <c r="N609" t="b">
        <v>0</v>
      </c>
    </row>
    <row r="610" spans="1:14" x14ac:dyDescent="0.3">
      <c r="A610" t="s">
        <v>1656</v>
      </c>
      <c r="B610" t="s">
        <v>228</v>
      </c>
      <c r="C610" s="1">
        <v>45278</v>
      </c>
      <c r="E610" t="s">
        <v>15</v>
      </c>
      <c r="F610">
        <v>19</v>
      </c>
      <c r="G610" s="12">
        <v>0</v>
      </c>
      <c r="H610" s="12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1047</v>
      </c>
      <c r="N610" t="b">
        <v>1</v>
      </c>
    </row>
    <row r="611" spans="1:14" x14ac:dyDescent="0.3">
      <c r="A611" t="s">
        <v>1657</v>
      </c>
      <c r="B611" t="s">
        <v>900</v>
      </c>
      <c r="C611" s="1">
        <v>45655</v>
      </c>
      <c r="E611" t="s">
        <v>32</v>
      </c>
      <c r="F611">
        <v>40</v>
      </c>
      <c r="G611" s="12">
        <v>7960</v>
      </c>
      <c r="H611" s="12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1050</v>
      </c>
      <c r="N611" t="b">
        <v>1</v>
      </c>
    </row>
    <row r="612" spans="1:14" x14ac:dyDescent="0.3">
      <c r="A612" t="s">
        <v>1658</v>
      </c>
      <c r="B612" t="s">
        <v>690</v>
      </c>
      <c r="C612" s="1">
        <v>45578</v>
      </c>
      <c r="E612" t="s">
        <v>15</v>
      </c>
      <c r="F612">
        <v>32</v>
      </c>
      <c r="G612" s="12">
        <v>0</v>
      </c>
      <c r="H612" s="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1050</v>
      </c>
      <c r="N612" t="b">
        <v>0</v>
      </c>
    </row>
    <row r="613" spans="1:14" x14ac:dyDescent="0.3">
      <c r="A613" t="s">
        <v>1659</v>
      </c>
      <c r="B613" t="s">
        <v>716</v>
      </c>
      <c r="C613" s="1">
        <v>45472</v>
      </c>
      <c r="E613" t="s">
        <v>39</v>
      </c>
      <c r="F613">
        <v>35</v>
      </c>
      <c r="G613" s="12">
        <v>0</v>
      </c>
      <c r="H613" s="12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1047</v>
      </c>
      <c r="N613" t="b">
        <v>1</v>
      </c>
    </row>
    <row r="614" spans="1:14" x14ac:dyDescent="0.3">
      <c r="A614" t="s">
        <v>1660</v>
      </c>
      <c r="B614" t="s">
        <v>232</v>
      </c>
      <c r="C614" s="1">
        <v>45643</v>
      </c>
      <c r="E614" t="s">
        <v>39</v>
      </c>
      <c r="F614">
        <v>20</v>
      </c>
      <c r="G614" s="12">
        <v>0</v>
      </c>
      <c r="H614" s="12">
        <v>0</v>
      </c>
      <c r="I614" t="b">
        <v>1</v>
      </c>
      <c r="J614" t="b">
        <v>0</v>
      </c>
      <c r="K614" t="b">
        <v>0</v>
      </c>
      <c r="L614" t="b">
        <v>0</v>
      </c>
      <c r="M614" t="s">
        <v>1050</v>
      </c>
      <c r="N614" t="b">
        <v>1</v>
      </c>
    </row>
    <row r="615" spans="1:14" x14ac:dyDescent="0.3">
      <c r="A615" t="s">
        <v>1661</v>
      </c>
      <c r="B615" t="s">
        <v>160</v>
      </c>
      <c r="C615" s="1">
        <v>45617</v>
      </c>
      <c r="E615" t="s">
        <v>15</v>
      </c>
      <c r="F615">
        <v>15</v>
      </c>
      <c r="G615" s="12">
        <v>285</v>
      </c>
      <c r="H615" s="12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1050</v>
      </c>
      <c r="N615" t="b">
        <v>0</v>
      </c>
    </row>
    <row r="616" spans="1:14" x14ac:dyDescent="0.3">
      <c r="A616" t="s">
        <v>1662</v>
      </c>
      <c r="B616" t="s">
        <v>664</v>
      </c>
      <c r="C616" s="1">
        <v>45435</v>
      </c>
      <c r="E616" t="s">
        <v>15</v>
      </c>
      <c r="F616">
        <v>27</v>
      </c>
      <c r="G616" s="12">
        <v>513</v>
      </c>
      <c r="H616" s="12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1050</v>
      </c>
      <c r="N616" t="b">
        <v>1</v>
      </c>
    </row>
    <row r="617" spans="1:14" x14ac:dyDescent="0.3">
      <c r="A617" t="s">
        <v>1663</v>
      </c>
      <c r="B617" t="s">
        <v>526</v>
      </c>
      <c r="C617" s="1">
        <v>45526</v>
      </c>
      <c r="E617" t="s">
        <v>39</v>
      </c>
      <c r="F617">
        <v>8</v>
      </c>
      <c r="G617" s="12">
        <v>392</v>
      </c>
      <c r="H617" s="12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1050</v>
      </c>
      <c r="N617" t="b">
        <v>1</v>
      </c>
    </row>
    <row r="618" spans="1:14" x14ac:dyDescent="0.3">
      <c r="A618" t="s">
        <v>1664</v>
      </c>
      <c r="B618" t="s">
        <v>740</v>
      </c>
      <c r="C618" s="1">
        <v>45624</v>
      </c>
      <c r="E618" t="s">
        <v>15</v>
      </c>
      <c r="F618">
        <v>26</v>
      </c>
      <c r="G618" s="12">
        <v>0</v>
      </c>
      <c r="H618" s="12">
        <v>0</v>
      </c>
      <c r="I618" t="b">
        <v>1</v>
      </c>
      <c r="J618" t="b">
        <v>0</v>
      </c>
      <c r="K618" t="b">
        <v>0</v>
      </c>
      <c r="L618" t="b">
        <v>0</v>
      </c>
      <c r="M618" t="s">
        <v>1050</v>
      </c>
      <c r="N618" t="b">
        <v>0</v>
      </c>
    </row>
    <row r="619" spans="1:14" x14ac:dyDescent="0.3">
      <c r="A619" t="s">
        <v>1665</v>
      </c>
      <c r="B619" t="s">
        <v>856</v>
      </c>
      <c r="C619" s="1">
        <v>45534</v>
      </c>
      <c r="E619" t="s">
        <v>39</v>
      </c>
      <c r="F619">
        <v>20</v>
      </c>
      <c r="G619" s="12">
        <v>980</v>
      </c>
      <c r="H619" s="12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1047</v>
      </c>
      <c r="N619" t="b">
        <v>1</v>
      </c>
    </row>
    <row r="620" spans="1:14" x14ac:dyDescent="0.3">
      <c r="A620" t="s">
        <v>1666</v>
      </c>
      <c r="B620" t="s">
        <v>21</v>
      </c>
      <c r="C620" s="1">
        <v>45571</v>
      </c>
      <c r="E620" t="s">
        <v>15</v>
      </c>
      <c r="F620">
        <v>40</v>
      </c>
      <c r="G620" s="12">
        <v>760</v>
      </c>
      <c r="H620" s="12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1047</v>
      </c>
      <c r="N620" t="b">
        <v>1</v>
      </c>
    </row>
    <row r="621" spans="1:14" x14ac:dyDescent="0.3">
      <c r="A621" t="s">
        <v>1667</v>
      </c>
      <c r="B621" t="s">
        <v>758</v>
      </c>
      <c r="C621" s="1">
        <v>45625</v>
      </c>
      <c r="E621" t="s">
        <v>39</v>
      </c>
      <c r="F621">
        <v>18</v>
      </c>
      <c r="G621" s="12">
        <v>882</v>
      </c>
      <c r="H621" s="12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1050</v>
      </c>
      <c r="N621" t="b">
        <v>1</v>
      </c>
    </row>
    <row r="622" spans="1:14" x14ac:dyDescent="0.3">
      <c r="A622" t="s">
        <v>1668</v>
      </c>
      <c r="B622" t="s">
        <v>166</v>
      </c>
      <c r="C622" s="1">
        <v>45336</v>
      </c>
      <c r="E622" t="s">
        <v>39</v>
      </c>
      <c r="F622">
        <v>18</v>
      </c>
      <c r="G622" s="12">
        <v>882</v>
      </c>
      <c r="H622" s="1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1050</v>
      </c>
      <c r="N622" t="b">
        <v>1</v>
      </c>
    </row>
    <row r="623" spans="1:14" x14ac:dyDescent="0.3">
      <c r="A623" t="s">
        <v>1669</v>
      </c>
      <c r="B623" t="s">
        <v>486</v>
      </c>
      <c r="C623" s="1">
        <v>45366</v>
      </c>
      <c r="E623" t="s">
        <v>39</v>
      </c>
      <c r="F623">
        <v>53</v>
      </c>
      <c r="G623" s="12">
        <v>2597</v>
      </c>
      <c r="H623" s="12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1050</v>
      </c>
      <c r="N623" t="b">
        <v>1</v>
      </c>
    </row>
    <row r="624" spans="1:14" x14ac:dyDescent="0.3">
      <c r="A624" t="s">
        <v>1670</v>
      </c>
      <c r="B624" t="s">
        <v>594</v>
      </c>
      <c r="C624" s="1">
        <v>45340</v>
      </c>
      <c r="E624" t="s">
        <v>15</v>
      </c>
      <c r="F624">
        <v>24</v>
      </c>
      <c r="G624" s="12">
        <v>456</v>
      </c>
      <c r="H624" s="12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1047</v>
      </c>
      <c r="N624" t="b">
        <v>1</v>
      </c>
    </row>
    <row r="625" spans="1:14" x14ac:dyDescent="0.3">
      <c r="A625" t="s">
        <v>1671</v>
      </c>
      <c r="B625" t="s">
        <v>890</v>
      </c>
      <c r="C625" s="1">
        <v>45529</v>
      </c>
      <c r="E625" t="s">
        <v>15</v>
      </c>
      <c r="F625">
        <v>10</v>
      </c>
      <c r="G625" s="12">
        <v>190</v>
      </c>
      <c r="H625" s="12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1047</v>
      </c>
      <c r="N625" t="b">
        <v>0</v>
      </c>
    </row>
    <row r="626" spans="1:14" x14ac:dyDescent="0.3">
      <c r="A626" t="s">
        <v>1672</v>
      </c>
      <c r="B626" t="s">
        <v>298</v>
      </c>
      <c r="C626" s="1">
        <v>45525</v>
      </c>
      <c r="E626" t="s">
        <v>32</v>
      </c>
      <c r="F626">
        <v>25</v>
      </c>
      <c r="G626" s="12">
        <v>4975</v>
      </c>
      <c r="H626" s="12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1047</v>
      </c>
      <c r="N626" t="b">
        <v>1</v>
      </c>
    </row>
    <row r="627" spans="1:14" x14ac:dyDescent="0.3">
      <c r="A627" t="s">
        <v>1673</v>
      </c>
      <c r="B627" t="s">
        <v>774</v>
      </c>
      <c r="C627" s="1">
        <v>45088</v>
      </c>
      <c r="E627" t="s">
        <v>15</v>
      </c>
      <c r="F627">
        <v>9</v>
      </c>
      <c r="G627" s="12">
        <v>171</v>
      </c>
      <c r="H627" s="12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1047</v>
      </c>
      <c r="N627" t="b">
        <v>1</v>
      </c>
    </row>
    <row r="628" spans="1:14" x14ac:dyDescent="0.3">
      <c r="A628" t="s">
        <v>1674</v>
      </c>
      <c r="B628" t="s">
        <v>862</v>
      </c>
      <c r="C628" s="1">
        <v>45478</v>
      </c>
      <c r="E628" t="s">
        <v>32</v>
      </c>
      <c r="F628">
        <v>50</v>
      </c>
      <c r="G628" s="12">
        <v>9950</v>
      </c>
      <c r="H628" s="12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1050</v>
      </c>
      <c r="N628" t="b">
        <v>0</v>
      </c>
    </row>
    <row r="629" spans="1:14" x14ac:dyDescent="0.3">
      <c r="A629" t="s">
        <v>1675</v>
      </c>
      <c r="B629" t="s">
        <v>816</v>
      </c>
      <c r="C629" s="1">
        <v>45642</v>
      </c>
      <c r="E629" t="s">
        <v>15</v>
      </c>
      <c r="F629">
        <v>16</v>
      </c>
      <c r="G629" s="12">
        <v>0</v>
      </c>
      <c r="H629" s="12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1047</v>
      </c>
      <c r="N629" t="b">
        <v>1</v>
      </c>
    </row>
    <row r="630" spans="1:14" x14ac:dyDescent="0.3">
      <c r="A630" t="s">
        <v>1676</v>
      </c>
      <c r="B630" t="s">
        <v>594</v>
      </c>
      <c r="C630" s="1">
        <v>45418</v>
      </c>
      <c r="E630" t="s">
        <v>32</v>
      </c>
      <c r="F630">
        <v>39</v>
      </c>
      <c r="G630" s="12">
        <v>7761</v>
      </c>
      <c r="H630" s="12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1050</v>
      </c>
      <c r="N630" t="b">
        <v>1</v>
      </c>
    </row>
    <row r="631" spans="1:14" x14ac:dyDescent="0.3">
      <c r="A631" t="s">
        <v>1677</v>
      </c>
      <c r="B631" t="s">
        <v>698</v>
      </c>
      <c r="C631" s="1">
        <v>45213</v>
      </c>
      <c r="E631" t="s">
        <v>39</v>
      </c>
      <c r="F631">
        <v>41</v>
      </c>
      <c r="G631" s="12">
        <v>2009</v>
      </c>
      <c r="H631" s="12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1050</v>
      </c>
      <c r="N631" t="b">
        <v>1</v>
      </c>
    </row>
    <row r="632" spans="1:14" x14ac:dyDescent="0.3">
      <c r="A632" t="s">
        <v>1678</v>
      </c>
      <c r="B632" t="s">
        <v>258</v>
      </c>
      <c r="C632" s="1">
        <v>45651</v>
      </c>
      <c r="E632" t="s">
        <v>32</v>
      </c>
      <c r="F632">
        <v>88</v>
      </c>
      <c r="G632" s="12">
        <v>17512</v>
      </c>
      <c r="H632" s="1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1050</v>
      </c>
      <c r="N632" t="b">
        <v>1</v>
      </c>
    </row>
    <row r="633" spans="1:14" x14ac:dyDescent="0.3">
      <c r="A633" t="s">
        <v>1679</v>
      </c>
      <c r="B633" t="s">
        <v>166</v>
      </c>
      <c r="C633" s="1">
        <v>45472</v>
      </c>
      <c r="D633" s="1">
        <v>45602</v>
      </c>
      <c r="E633" t="s">
        <v>32</v>
      </c>
      <c r="F633">
        <v>82</v>
      </c>
      <c r="G633" s="12">
        <v>0</v>
      </c>
      <c r="H633" s="12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1047</v>
      </c>
      <c r="N633" t="b">
        <v>1</v>
      </c>
    </row>
    <row r="634" spans="1:14" x14ac:dyDescent="0.3">
      <c r="A634" t="s">
        <v>1680</v>
      </c>
      <c r="B634" t="s">
        <v>436</v>
      </c>
      <c r="C634" s="1">
        <v>45395</v>
      </c>
      <c r="E634" t="s">
        <v>32</v>
      </c>
      <c r="F634">
        <v>23</v>
      </c>
      <c r="G634" s="12">
        <v>0</v>
      </c>
      <c r="H634" s="12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1047</v>
      </c>
      <c r="N634" t="b">
        <v>1</v>
      </c>
    </row>
    <row r="635" spans="1:14" x14ac:dyDescent="0.3">
      <c r="A635" t="s">
        <v>1681</v>
      </c>
      <c r="B635" t="s">
        <v>708</v>
      </c>
      <c r="C635" s="1">
        <v>45425</v>
      </c>
      <c r="E635" t="s">
        <v>32</v>
      </c>
      <c r="F635">
        <v>16</v>
      </c>
      <c r="G635" s="12">
        <v>0</v>
      </c>
      <c r="H635" s="12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1047</v>
      </c>
      <c r="N635" t="b">
        <v>0</v>
      </c>
    </row>
    <row r="636" spans="1:14" x14ac:dyDescent="0.3">
      <c r="A636" t="s">
        <v>1682</v>
      </c>
      <c r="B636" t="s">
        <v>804</v>
      </c>
      <c r="C636" s="1">
        <v>45578</v>
      </c>
      <c r="E636" t="s">
        <v>15</v>
      </c>
      <c r="F636">
        <v>11</v>
      </c>
      <c r="G636" s="12">
        <v>209</v>
      </c>
      <c r="H636" s="12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1050</v>
      </c>
      <c r="N636" t="b">
        <v>0</v>
      </c>
    </row>
    <row r="637" spans="1:14" x14ac:dyDescent="0.3">
      <c r="A637" t="s">
        <v>1683</v>
      </c>
      <c r="B637" t="s">
        <v>192</v>
      </c>
      <c r="C637" s="1">
        <v>45434</v>
      </c>
      <c r="E637" t="s">
        <v>32</v>
      </c>
      <c r="F637">
        <v>9</v>
      </c>
      <c r="G637" s="12">
        <v>1791</v>
      </c>
      <c r="H637" s="12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1047</v>
      </c>
      <c r="N637" t="b">
        <v>1</v>
      </c>
    </row>
    <row r="638" spans="1:14" x14ac:dyDescent="0.3">
      <c r="A638" t="s">
        <v>1684</v>
      </c>
      <c r="B638" t="s">
        <v>782</v>
      </c>
      <c r="C638" s="1">
        <v>45465</v>
      </c>
      <c r="E638" t="s">
        <v>39</v>
      </c>
      <c r="F638">
        <v>9</v>
      </c>
      <c r="G638" s="12">
        <v>441</v>
      </c>
      <c r="H638" s="12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1047</v>
      </c>
      <c r="N638" t="b">
        <v>1</v>
      </c>
    </row>
    <row r="639" spans="1:14" x14ac:dyDescent="0.3">
      <c r="A639" t="s">
        <v>1685</v>
      </c>
      <c r="B639" t="s">
        <v>254</v>
      </c>
      <c r="C639" s="1">
        <v>45612</v>
      </c>
      <c r="D639" s="1">
        <v>45616</v>
      </c>
      <c r="E639" t="s">
        <v>15</v>
      </c>
      <c r="F639">
        <v>38</v>
      </c>
      <c r="G639" s="12">
        <v>722</v>
      </c>
      <c r="H639" s="12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1050</v>
      </c>
      <c r="N639" t="b">
        <v>1</v>
      </c>
    </row>
    <row r="640" spans="1:14" x14ac:dyDescent="0.3">
      <c r="A640" t="s">
        <v>1686</v>
      </c>
      <c r="B640" t="s">
        <v>408</v>
      </c>
      <c r="C640" s="1">
        <v>45464</v>
      </c>
      <c r="E640" t="s">
        <v>15</v>
      </c>
      <c r="F640">
        <v>11</v>
      </c>
      <c r="G640" s="12">
        <v>209</v>
      </c>
      <c r="H640" s="12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1047</v>
      </c>
      <c r="N640" t="b">
        <v>1</v>
      </c>
    </row>
    <row r="641" spans="1:14" x14ac:dyDescent="0.3">
      <c r="A641" t="s">
        <v>1687</v>
      </c>
      <c r="B641" t="s">
        <v>560</v>
      </c>
      <c r="C641" s="1">
        <v>45651</v>
      </c>
      <c r="E641" t="s">
        <v>39</v>
      </c>
      <c r="F641">
        <v>67</v>
      </c>
      <c r="G641" s="12">
        <v>3283</v>
      </c>
      <c r="H641" s="12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1050</v>
      </c>
      <c r="N641" t="b">
        <v>1</v>
      </c>
    </row>
    <row r="642" spans="1:14" x14ac:dyDescent="0.3">
      <c r="A642" t="s">
        <v>1688</v>
      </c>
      <c r="B642" t="s">
        <v>510</v>
      </c>
      <c r="C642" s="1">
        <v>45536</v>
      </c>
      <c r="D642" s="1">
        <v>45541</v>
      </c>
      <c r="E642" t="s">
        <v>15</v>
      </c>
      <c r="F642">
        <v>55</v>
      </c>
      <c r="G642" s="12">
        <v>1045</v>
      </c>
      <c r="H642" s="1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1050</v>
      </c>
      <c r="N642" t="b">
        <v>1</v>
      </c>
    </row>
    <row r="643" spans="1:14" x14ac:dyDescent="0.3">
      <c r="A643" t="s">
        <v>1689</v>
      </c>
      <c r="B643" t="s">
        <v>134</v>
      </c>
      <c r="C643" s="1">
        <v>45555</v>
      </c>
      <c r="E643" t="s">
        <v>32</v>
      </c>
      <c r="F643">
        <v>22</v>
      </c>
      <c r="G643" s="12">
        <v>4378</v>
      </c>
      <c r="H643" s="12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1050</v>
      </c>
      <c r="N643" t="b">
        <v>0</v>
      </c>
    </row>
    <row r="644" spans="1:14" x14ac:dyDescent="0.3">
      <c r="A644" t="s">
        <v>1690</v>
      </c>
      <c r="B644" t="s">
        <v>884</v>
      </c>
      <c r="C644" s="1">
        <v>45443</v>
      </c>
      <c r="E644" t="s">
        <v>32</v>
      </c>
      <c r="F644">
        <v>24</v>
      </c>
      <c r="G644" s="12">
        <v>4776</v>
      </c>
      <c r="H644" s="12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1047</v>
      </c>
      <c r="N644" t="b">
        <v>0</v>
      </c>
    </row>
    <row r="645" spans="1:14" x14ac:dyDescent="0.3">
      <c r="A645" t="s">
        <v>1691</v>
      </c>
      <c r="B645" t="s">
        <v>414</v>
      </c>
      <c r="C645" s="1">
        <v>45519</v>
      </c>
      <c r="E645" t="s">
        <v>39</v>
      </c>
      <c r="F645">
        <v>38</v>
      </c>
      <c r="G645" s="12">
        <v>1862</v>
      </c>
      <c r="H645" s="12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1050</v>
      </c>
      <c r="N645" t="b">
        <v>1</v>
      </c>
    </row>
    <row r="646" spans="1:14" x14ac:dyDescent="0.3">
      <c r="A646" t="s">
        <v>1692</v>
      </c>
      <c r="B646" t="s">
        <v>630</v>
      </c>
      <c r="C646" s="1">
        <v>45372</v>
      </c>
      <c r="E646" t="s">
        <v>32</v>
      </c>
      <c r="F646">
        <v>14</v>
      </c>
      <c r="G646" s="12">
        <v>2786</v>
      </c>
      <c r="H646" s="12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1050</v>
      </c>
      <c r="N646" t="b">
        <v>1</v>
      </c>
    </row>
    <row r="647" spans="1:14" x14ac:dyDescent="0.3">
      <c r="A647" t="s">
        <v>1693</v>
      </c>
      <c r="B647" t="s">
        <v>414</v>
      </c>
      <c r="C647" s="1">
        <v>45649</v>
      </c>
      <c r="E647" t="s">
        <v>15</v>
      </c>
      <c r="F647">
        <v>9</v>
      </c>
      <c r="G647" s="12">
        <v>171</v>
      </c>
      <c r="H647" s="12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1050</v>
      </c>
      <c r="N647" t="b">
        <v>1</v>
      </c>
    </row>
    <row r="648" spans="1:14" x14ac:dyDescent="0.3">
      <c r="A648" t="s">
        <v>1694</v>
      </c>
      <c r="B648" t="s">
        <v>390</v>
      </c>
      <c r="C648" s="1">
        <v>45341</v>
      </c>
      <c r="E648" t="s">
        <v>39</v>
      </c>
      <c r="F648">
        <v>61</v>
      </c>
      <c r="G648" s="12">
        <v>2989</v>
      </c>
      <c r="H648" s="12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1050</v>
      </c>
      <c r="N648" t="b">
        <v>1</v>
      </c>
    </row>
    <row r="649" spans="1:14" x14ac:dyDescent="0.3">
      <c r="A649" t="s">
        <v>1695</v>
      </c>
      <c r="B649" t="s">
        <v>938</v>
      </c>
      <c r="C649" s="1">
        <v>45657</v>
      </c>
      <c r="E649" t="s">
        <v>15</v>
      </c>
      <c r="F649">
        <v>19</v>
      </c>
      <c r="G649" s="12">
        <v>0</v>
      </c>
      <c r="H649" s="12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1047</v>
      </c>
      <c r="N649" t="b">
        <v>0</v>
      </c>
    </row>
    <row r="650" spans="1:14" x14ac:dyDescent="0.3">
      <c r="A650" t="s">
        <v>1696</v>
      </c>
      <c r="B650" t="s">
        <v>480</v>
      </c>
      <c r="C650" s="1">
        <v>45619</v>
      </c>
      <c r="E650" t="s">
        <v>15</v>
      </c>
      <c r="F650">
        <v>80</v>
      </c>
      <c r="G650" s="12">
        <v>1520</v>
      </c>
      <c r="H650" s="12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1047</v>
      </c>
      <c r="N650" t="b">
        <v>1</v>
      </c>
    </row>
    <row r="651" spans="1:14" x14ac:dyDescent="0.3">
      <c r="A651" t="s">
        <v>1697</v>
      </c>
      <c r="B651" t="s">
        <v>556</v>
      </c>
      <c r="C651" s="1">
        <v>45529</v>
      </c>
      <c r="D651" s="1">
        <v>45567</v>
      </c>
      <c r="E651" t="s">
        <v>15</v>
      </c>
      <c r="F651">
        <v>58</v>
      </c>
      <c r="G651" s="12">
        <v>1102</v>
      </c>
      <c r="H651" s="12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1047</v>
      </c>
      <c r="N651" t="b">
        <v>0</v>
      </c>
    </row>
    <row r="652" spans="1:14" x14ac:dyDescent="0.3">
      <c r="A652" t="s">
        <v>1698</v>
      </c>
      <c r="B652" t="s">
        <v>190</v>
      </c>
      <c r="C652" s="1">
        <v>45512</v>
      </c>
      <c r="E652" t="s">
        <v>32</v>
      </c>
      <c r="F652">
        <v>56</v>
      </c>
      <c r="G652" s="12">
        <v>11144</v>
      </c>
      <c r="H652" s="1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1047</v>
      </c>
      <c r="N652" t="b">
        <v>0</v>
      </c>
    </row>
    <row r="653" spans="1:14" x14ac:dyDescent="0.3">
      <c r="A653" t="s">
        <v>1699</v>
      </c>
      <c r="B653" t="s">
        <v>706</v>
      </c>
      <c r="C653" s="1">
        <v>45531</v>
      </c>
      <c r="E653" t="s">
        <v>39</v>
      </c>
      <c r="F653">
        <v>67</v>
      </c>
      <c r="G653" s="12">
        <v>3283</v>
      </c>
      <c r="H653" s="12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1050</v>
      </c>
      <c r="N653" t="b">
        <v>1</v>
      </c>
    </row>
    <row r="654" spans="1:14" x14ac:dyDescent="0.3">
      <c r="A654" t="s">
        <v>1700</v>
      </c>
      <c r="B654" t="s">
        <v>766</v>
      </c>
      <c r="C654" s="1">
        <v>45350</v>
      </c>
      <c r="D654" s="1">
        <v>45595</v>
      </c>
      <c r="E654" t="s">
        <v>39</v>
      </c>
      <c r="F654">
        <v>105</v>
      </c>
      <c r="G654" s="12">
        <v>0</v>
      </c>
      <c r="H654" s="12">
        <v>0</v>
      </c>
      <c r="I654" t="b">
        <v>1</v>
      </c>
      <c r="J654" t="b">
        <v>0</v>
      </c>
      <c r="K654" t="b">
        <v>0</v>
      </c>
      <c r="L654" t="b">
        <v>1</v>
      </c>
      <c r="M654" t="s">
        <v>1050</v>
      </c>
      <c r="N654" t="b">
        <v>1</v>
      </c>
    </row>
    <row r="655" spans="1:14" x14ac:dyDescent="0.3">
      <c r="A655" t="s">
        <v>1701</v>
      </c>
      <c r="B655" t="s">
        <v>244</v>
      </c>
      <c r="C655" s="1">
        <v>45635</v>
      </c>
      <c r="E655" t="s">
        <v>15</v>
      </c>
      <c r="F655">
        <v>25</v>
      </c>
      <c r="G655" s="12">
        <v>475</v>
      </c>
      <c r="H655" s="12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1050</v>
      </c>
      <c r="N655" t="b">
        <v>1</v>
      </c>
    </row>
    <row r="656" spans="1:14" x14ac:dyDescent="0.3">
      <c r="A656" t="s">
        <v>1702</v>
      </c>
      <c r="B656" t="s">
        <v>49</v>
      </c>
      <c r="C656" s="1">
        <v>45619</v>
      </c>
      <c r="E656" t="s">
        <v>15</v>
      </c>
      <c r="F656">
        <v>59</v>
      </c>
      <c r="G656" s="12">
        <v>1121</v>
      </c>
      <c r="H656" s="12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1047</v>
      </c>
      <c r="N656" t="b">
        <v>1</v>
      </c>
    </row>
    <row r="657" spans="1:14" x14ac:dyDescent="0.3">
      <c r="A657" t="s">
        <v>1703</v>
      </c>
      <c r="B657" t="s">
        <v>616</v>
      </c>
      <c r="C657" s="1">
        <v>45509</v>
      </c>
      <c r="E657" t="s">
        <v>15</v>
      </c>
      <c r="F657">
        <v>18</v>
      </c>
      <c r="G657" s="12">
        <v>0</v>
      </c>
      <c r="H657" s="12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1047</v>
      </c>
      <c r="N657" t="b">
        <v>1</v>
      </c>
    </row>
    <row r="658" spans="1:14" x14ac:dyDescent="0.3">
      <c r="A658" t="s">
        <v>1704</v>
      </c>
      <c r="B658" t="s">
        <v>674</v>
      </c>
      <c r="C658" s="1">
        <v>45616</v>
      </c>
      <c r="D658" s="1">
        <v>45652</v>
      </c>
      <c r="E658" t="s">
        <v>15</v>
      </c>
      <c r="F658">
        <v>25</v>
      </c>
      <c r="G658" s="12">
        <v>475</v>
      </c>
      <c r="H658" s="12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1047</v>
      </c>
      <c r="N658" t="b">
        <v>1</v>
      </c>
    </row>
    <row r="659" spans="1:14" x14ac:dyDescent="0.3">
      <c r="A659" t="s">
        <v>1705</v>
      </c>
      <c r="B659" t="s">
        <v>85</v>
      </c>
      <c r="C659" s="1">
        <v>45312</v>
      </c>
      <c r="D659" s="1">
        <v>45404</v>
      </c>
      <c r="E659" t="s">
        <v>39</v>
      </c>
      <c r="F659">
        <v>7</v>
      </c>
      <c r="G659" s="12">
        <v>343</v>
      </c>
      <c r="H659" s="12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1050</v>
      </c>
      <c r="N659" t="b">
        <v>1</v>
      </c>
    </row>
    <row r="660" spans="1:14" x14ac:dyDescent="0.3">
      <c r="A660" t="s">
        <v>1706</v>
      </c>
      <c r="B660" t="s">
        <v>642</v>
      </c>
      <c r="C660" s="1">
        <v>45532</v>
      </c>
      <c r="E660" t="s">
        <v>32</v>
      </c>
      <c r="F660">
        <v>28</v>
      </c>
      <c r="G660" s="12">
        <v>0</v>
      </c>
      <c r="H660" s="12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1047</v>
      </c>
      <c r="N660" t="b">
        <v>1</v>
      </c>
    </row>
    <row r="661" spans="1:14" x14ac:dyDescent="0.3">
      <c r="A661" t="s">
        <v>1707</v>
      </c>
      <c r="B661" t="s">
        <v>928</v>
      </c>
      <c r="C661" s="1">
        <v>45648</v>
      </c>
      <c r="E661" t="s">
        <v>32</v>
      </c>
      <c r="F661">
        <v>24</v>
      </c>
      <c r="G661" s="12">
        <v>4776</v>
      </c>
      <c r="H661" s="12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1050</v>
      </c>
      <c r="N661" t="b">
        <v>0</v>
      </c>
    </row>
    <row r="662" spans="1:14" x14ac:dyDescent="0.3">
      <c r="A662" t="s">
        <v>1708</v>
      </c>
      <c r="B662" t="s">
        <v>998</v>
      </c>
      <c r="C662" s="1">
        <v>45070</v>
      </c>
      <c r="D662" s="1">
        <v>45529</v>
      </c>
      <c r="E662" t="s">
        <v>15</v>
      </c>
      <c r="F662">
        <v>40</v>
      </c>
      <c r="G662" s="12">
        <v>760</v>
      </c>
      <c r="H662" s="1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1050</v>
      </c>
      <c r="N662" t="b">
        <v>1</v>
      </c>
    </row>
    <row r="663" spans="1:14" x14ac:dyDescent="0.3">
      <c r="A663" t="s">
        <v>1709</v>
      </c>
      <c r="B663" t="s">
        <v>918</v>
      </c>
      <c r="C663" s="1">
        <v>45654</v>
      </c>
      <c r="E663" t="s">
        <v>15</v>
      </c>
      <c r="F663">
        <v>30</v>
      </c>
      <c r="G663" s="12">
        <v>570</v>
      </c>
      <c r="H663" s="12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1047</v>
      </c>
      <c r="N663" t="b">
        <v>1</v>
      </c>
    </row>
    <row r="664" spans="1:14" x14ac:dyDescent="0.3">
      <c r="A664" t="s">
        <v>1710</v>
      </c>
      <c r="B664" t="s">
        <v>880</v>
      </c>
      <c r="C664" s="1">
        <v>45548</v>
      </c>
      <c r="D664" s="1">
        <v>45566</v>
      </c>
      <c r="E664" t="s">
        <v>32</v>
      </c>
      <c r="F664">
        <v>2</v>
      </c>
      <c r="G664" s="12">
        <v>398</v>
      </c>
      <c r="H664" s="12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1047</v>
      </c>
      <c r="N664" t="b">
        <v>1</v>
      </c>
    </row>
    <row r="665" spans="1:14" x14ac:dyDescent="0.3">
      <c r="A665" t="s">
        <v>1711</v>
      </c>
      <c r="B665" t="s">
        <v>668</v>
      </c>
      <c r="C665" s="1">
        <v>45604</v>
      </c>
      <c r="E665" t="s">
        <v>39</v>
      </c>
      <c r="F665">
        <v>29</v>
      </c>
      <c r="G665" s="12">
        <v>1421</v>
      </c>
      <c r="H665" s="12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1047</v>
      </c>
      <c r="N665" t="b">
        <v>1</v>
      </c>
    </row>
    <row r="666" spans="1:14" x14ac:dyDescent="0.3">
      <c r="A666" t="s">
        <v>1712</v>
      </c>
      <c r="B666" t="s">
        <v>770</v>
      </c>
      <c r="C666" s="1">
        <v>45552</v>
      </c>
      <c r="E666" t="s">
        <v>39</v>
      </c>
      <c r="F666">
        <v>33</v>
      </c>
      <c r="G666" s="12">
        <v>1617</v>
      </c>
      <c r="H666" s="12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1047</v>
      </c>
      <c r="N666" t="b">
        <v>0</v>
      </c>
    </row>
    <row r="667" spans="1:14" x14ac:dyDescent="0.3">
      <c r="A667" t="s">
        <v>1713</v>
      </c>
      <c r="B667" t="s">
        <v>264</v>
      </c>
      <c r="C667" s="1">
        <v>45470</v>
      </c>
      <c r="E667" t="s">
        <v>39</v>
      </c>
      <c r="F667">
        <v>38</v>
      </c>
      <c r="G667" s="12">
        <v>1862</v>
      </c>
      <c r="H667" s="12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1047</v>
      </c>
      <c r="N667" t="b">
        <v>1</v>
      </c>
    </row>
    <row r="668" spans="1:14" x14ac:dyDescent="0.3">
      <c r="A668" t="s">
        <v>1714</v>
      </c>
      <c r="B668" t="s">
        <v>140</v>
      </c>
      <c r="C668" s="1">
        <v>45368</v>
      </c>
      <c r="E668" t="s">
        <v>15</v>
      </c>
      <c r="F668">
        <v>36</v>
      </c>
      <c r="G668" s="12">
        <v>684</v>
      </c>
      <c r="H668" s="12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1050</v>
      </c>
      <c r="N668" t="b">
        <v>1</v>
      </c>
    </row>
    <row r="669" spans="1:14" x14ac:dyDescent="0.3">
      <c r="A669" t="s">
        <v>1715</v>
      </c>
      <c r="B669" t="s">
        <v>876</v>
      </c>
      <c r="C669" s="1">
        <v>45377</v>
      </c>
      <c r="E669" t="s">
        <v>32</v>
      </c>
      <c r="F669">
        <v>6</v>
      </c>
      <c r="G669" s="12">
        <v>1194</v>
      </c>
      <c r="H669" s="12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1047</v>
      </c>
      <c r="N669" t="b">
        <v>1</v>
      </c>
    </row>
    <row r="670" spans="1:14" x14ac:dyDescent="0.3">
      <c r="A670" t="s">
        <v>1716</v>
      </c>
      <c r="B670" t="s">
        <v>210</v>
      </c>
      <c r="C670" s="1">
        <v>45523</v>
      </c>
      <c r="E670" t="s">
        <v>32</v>
      </c>
      <c r="F670">
        <v>33</v>
      </c>
      <c r="G670" s="12">
        <v>6567</v>
      </c>
      <c r="H670" s="12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1047</v>
      </c>
      <c r="N670" t="b">
        <v>1</v>
      </c>
    </row>
    <row r="671" spans="1:14" x14ac:dyDescent="0.3">
      <c r="A671" t="s">
        <v>1717</v>
      </c>
      <c r="B671" t="s">
        <v>928</v>
      </c>
      <c r="C671" s="1">
        <v>45552</v>
      </c>
      <c r="E671" t="s">
        <v>32</v>
      </c>
      <c r="F671">
        <v>9</v>
      </c>
      <c r="G671" s="12">
        <v>1791</v>
      </c>
      <c r="H671" s="12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1047</v>
      </c>
      <c r="N671" t="b">
        <v>1</v>
      </c>
    </row>
    <row r="672" spans="1:14" x14ac:dyDescent="0.3">
      <c r="A672" t="s">
        <v>1718</v>
      </c>
      <c r="B672" t="s">
        <v>124</v>
      </c>
      <c r="C672" s="1">
        <v>45593</v>
      </c>
      <c r="E672" t="s">
        <v>32</v>
      </c>
      <c r="F672">
        <v>35</v>
      </c>
      <c r="G672" s="12">
        <v>6965</v>
      </c>
      <c r="H672" s="1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1047</v>
      </c>
      <c r="N672" t="b">
        <v>1</v>
      </c>
    </row>
    <row r="673" spans="1:14" x14ac:dyDescent="0.3">
      <c r="A673" t="s">
        <v>1719</v>
      </c>
      <c r="B673" t="s">
        <v>952</v>
      </c>
      <c r="C673" s="1">
        <v>45588</v>
      </c>
      <c r="E673" t="s">
        <v>32</v>
      </c>
      <c r="F673">
        <v>20</v>
      </c>
      <c r="G673" s="12">
        <v>0</v>
      </c>
      <c r="H673" s="12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1047</v>
      </c>
      <c r="N673" t="b">
        <v>1</v>
      </c>
    </row>
    <row r="674" spans="1:14" x14ac:dyDescent="0.3">
      <c r="A674" t="s">
        <v>1720</v>
      </c>
      <c r="B674" t="s">
        <v>948</v>
      </c>
      <c r="C674" s="1">
        <v>45624</v>
      </c>
      <c r="E674" t="s">
        <v>32</v>
      </c>
      <c r="F674">
        <v>23</v>
      </c>
      <c r="G674" s="12">
        <v>4577</v>
      </c>
      <c r="H674" s="12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1050</v>
      </c>
      <c r="N674" t="b">
        <v>0</v>
      </c>
    </row>
    <row r="675" spans="1:14" x14ac:dyDescent="0.3">
      <c r="A675" t="s">
        <v>1721</v>
      </c>
      <c r="B675" t="s">
        <v>408</v>
      </c>
      <c r="C675" s="1">
        <v>45367</v>
      </c>
      <c r="E675" t="s">
        <v>32</v>
      </c>
      <c r="F675">
        <v>15</v>
      </c>
      <c r="G675" s="12">
        <v>2985</v>
      </c>
      <c r="H675" s="12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1050</v>
      </c>
      <c r="N675" t="b">
        <v>0</v>
      </c>
    </row>
    <row r="676" spans="1:14" x14ac:dyDescent="0.3">
      <c r="A676" t="s">
        <v>1722</v>
      </c>
      <c r="B676" t="s">
        <v>264</v>
      </c>
      <c r="C676" s="1">
        <v>45576</v>
      </c>
      <c r="E676" t="s">
        <v>39</v>
      </c>
      <c r="F676">
        <v>38</v>
      </c>
      <c r="G676" s="12">
        <v>0</v>
      </c>
      <c r="H676" s="12">
        <v>0</v>
      </c>
      <c r="I676" t="b">
        <v>1</v>
      </c>
      <c r="J676" t="b">
        <v>1</v>
      </c>
      <c r="K676" t="b">
        <v>0</v>
      </c>
      <c r="L676" t="b">
        <v>0</v>
      </c>
      <c r="M676" t="s">
        <v>1050</v>
      </c>
      <c r="N676" t="b">
        <v>1</v>
      </c>
    </row>
    <row r="677" spans="1:14" x14ac:dyDescent="0.3">
      <c r="A677" t="s">
        <v>1723</v>
      </c>
      <c r="B677" t="s">
        <v>632</v>
      </c>
      <c r="C677" s="1">
        <v>45626</v>
      </c>
      <c r="E677" t="s">
        <v>32</v>
      </c>
      <c r="F677">
        <v>17</v>
      </c>
      <c r="G677" s="12">
        <v>3383</v>
      </c>
      <c r="H677" s="12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1047</v>
      </c>
      <c r="N677" t="b">
        <v>1</v>
      </c>
    </row>
    <row r="678" spans="1:14" x14ac:dyDescent="0.3">
      <c r="A678" t="s">
        <v>1724</v>
      </c>
      <c r="B678" t="s">
        <v>464</v>
      </c>
      <c r="C678" s="1">
        <v>45134</v>
      </c>
      <c r="E678" t="s">
        <v>39</v>
      </c>
      <c r="F678">
        <v>15</v>
      </c>
      <c r="G678" s="12">
        <v>735</v>
      </c>
      <c r="H678" s="12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1050</v>
      </c>
      <c r="N678" t="b">
        <v>0</v>
      </c>
    </row>
    <row r="679" spans="1:14" x14ac:dyDescent="0.3">
      <c r="A679" t="s">
        <v>1725</v>
      </c>
      <c r="B679" t="s">
        <v>814</v>
      </c>
      <c r="C679" s="1">
        <v>45191</v>
      </c>
      <c r="E679" t="s">
        <v>15</v>
      </c>
      <c r="F679">
        <v>30</v>
      </c>
      <c r="G679" s="12">
        <v>570</v>
      </c>
      <c r="H679" s="12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1050</v>
      </c>
      <c r="N679" t="b">
        <v>1</v>
      </c>
    </row>
    <row r="680" spans="1:14" x14ac:dyDescent="0.3">
      <c r="A680" t="s">
        <v>1726</v>
      </c>
      <c r="B680" t="s">
        <v>642</v>
      </c>
      <c r="C680" s="1">
        <v>45522</v>
      </c>
      <c r="E680" t="s">
        <v>39</v>
      </c>
      <c r="F680">
        <v>36</v>
      </c>
      <c r="G680" s="12">
        <v>1764</v>
      </c>
      <c r="H680" s="12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1050</v>
      </c>
      <c r="N680" t="b">
        <v>1</v>
      </c>
    </row>
    <row r="681" spans="1:14" x14ac:dyDescent="0.3">
      <c r="A681" t="s">
        <v>1727</v>
      </c>
      <c r="B681" t="s">
        <v>222</v>
      </c>
      <c r="C681" s="1">
        <v>45341</v>
      </c>
      <c r="E681" t="s">
        <v>32</v>
      </c>
      <c r="F681">
        <v>20</v>
      </c>
      <c r="G681" s="12">
        <v>0</v>
      </c>
      <c r="H681" s="12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1047</v>
      </c>
      <c r="N681" t="b">
        <v>1</v>
      </c>
    </row>
    <row r="682" spans="1:14" x14ac:dyDescent="0.3">
      <c r="A682" t="s">
        <v>1728</v>
      </c>
      <c r="B682" t="s">
        <v>620</v>
      </c>
      <c r="C682" s="1">
        <v>45599</v>
      </c>
      <c r="E682" t="s">
        <v>15</v>
      </c>
      <c r="F682">
        <v>3</v>
      </c>
      <c r="G682" s="12">
        <v>57</v>
      </c>
      <c r="H682" s="1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1047</v>
      </c>
      <c r="N682" t="b">
        <v>1</v>
      </c>
    </row>
    <row r="683" spans="1:14" x14ac:dyDescent="0.3">
      <c r="A683" t="s">
        <v>1729</v>
      </c>
      <c r="B683" t="s">
        <v>414</v>
      </c>
      <c r="C683" s="1">
        <v>45520</v>
      </c>
      <c r="E683" t="s">
        <v>15</v>
      </c>
      <c r="F683">
        <v>11</v>
      </c>
      <c r="G683" s="12">
        <v>209</v>
      </c>
      <c r="H683" s="12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1050</v>
      </c>
      <c r="N683" t="b">
        <v>1</v>
      </c>
    </row>
    <row r="684" spans="1:14" x14ac:dyDescent="0.3">
      <c r="A684" t="s">
        <v>1730</v>
      </c>
      <c r="B684" t="s">
        <v>448</v>
      </c>
      <c r="C684" s="1">
        <v>45437</v>
      </c>
      <c r="E684" t="s">
        <v>15</v>
      </c>
      <c r="F684">
        <v>27</v>
      </c>
      <c r="G684" s="12">
        <v>513</v>
      </c>
      <c r="H684" s="12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1047</v>
      </c>
      <c r="N684" t="b">
        <v>1</v>
      </c>
    </row>
    <row r="685" spans="1:14" x14ac:dyDescent="0.3">
      <c r="A685" t="s">
        <v>1731</v>
      </c>
      <c r="B685" t="s">
        <v>466</v>
      </c>
      <c r="C685" s="1">
        <v>45618</v>
      </c>
      <c r="E685" t="s">
        <v>39</v>
      </c>
      <c r="F685">
        <v>21</v>
      </c>
      <c r="G685" s="12">
        <v>1029</v>
      </c>
      <c r="H685" s="12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1050</v>
      </c>
      <c r="N685" t="b">
        <v>1</v>
      </c>
    </row>
    <row r="686" spans="1:14" x14ac:dyDescent="0.3">
      <c r="A686" t="s">
        <v>1732</v>
      </c>
      <c r="B686" t="s">
        <v>904</v>
      </c>
      <c r="C686" s="1">
        <v>45555</v>
      </c>
      <c r="E686" t="s">
        <v>39</v>
      </c>
      <c r="F686">
        <v>45</v>
      </c>
      <c r="G686" s="12">
        <v>2205</v>
      </c>
      <c r="H686" s="12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1050</v>
      </c>
      <c r="N686" t="b">
        <v>1</v>
      </c>
    </row>
    <row r="687" spans="1:14" x14ac:dyDescent="0.3">
      <c r="A687" t="s">
        <v>1733</v>
      </c>
      <c r="B687" t="s">
        <v>656</v>
      </c>
      <c r="C687" s="1">
        <v>45520</v>
      </c>
      <c r="E687" t="s">
        <v>32</v>
      </c>
      <c r="F687">
        <v>17</v>
      </c>
      <c r="G687" s="12">
        <v>3383</v>
      </c>
      <c r="H687" s="12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1050</v>
      </c>
      <c r="N687" t="b">
        <v>0</v>
      </c>
    </row>
    <row r="688" spans="1:14" x14ac:dyDescent="0.3">
      <c r="A688" t="s">
        <v>1734</v>
      </c>
      <c r="B688" t="s">
        <v>802</v>
      </c>
      <c r="C688" s="1">
        <v>45579</v>
      </c>
      <c r="E688" t="s">
        <v>39</v>
      </c>
      <c r="F688">
        <v>41</v>
      </c>
      <c r="G688" s="12">
        <v>2009</v>
      </c>
      <c r="H688" s="12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1050</v>
      </c>
      <c r="N688" t="b">
        <v>0</v>
      </c>
    </row>
    <row r="689" spans="1:14" x14ac:dyDescent="0.3">
      <c r="A689" t="s">
        <v>1735</v>
      </c>
      <c r="B689" t="s">
        <v>212</v>
      </c>
      <c r="C689" s="1">
        <v>45510</v>
      </c>
      <c r="D689" s="1">
        <v>45652</v>
      </c>
      <c r="E689" t="s">
        <v>32</v>
      </c>
      <c r="F689">
        <v>48</v>
      </c>
      <c r="G689" s="12">
        <v>9552</v>
      </c>
      <c r="H689" s="12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1050</v>
      </c>
      <c r="N689" t="b">
        <v>1</v>
      </c>
    </row>
    <row r="690" spans="1:14" x14ac:dyDescent="0.3">
      <c r="A690" t="s">
        <v>1736</v>
      </c>
      <c r="B690" t="s">
        <v>288</v>
      </c>
      <c r="C690" s="1">
        <v>45515</v>
      </c>
      <c r="E690" t="s">
        <v>32</v>
      </c>
      <c r="F690">
        <v>15</v>
      </c>
      <c r="G690" s="12">
        <v>0</v>
      </c>
      <c r="H690" s="12">
        <v>0</v>
      </c>
      <c r="I690" t="b">
        <v>1</v>
      </c>
      <c r="J690" t="b">
        <v>0</v>
      </c>
      <c r="K690" t="b">
        <v>0</v>
      </c>
      <c r="L690" t="b">
        <v>0</v>
      </c>
      <c r="M690" t="s">
        <v>1050</v>
      </c>
      <c r="N690" t="b">
        <v>1</v>
      </c>
    </row>
    <row r="691" spans="1:14" x14ac:dyDescent="0.3">
      <c r="A691" t="s">
        <v>1737</v>
      </c>
      <c r="B691" t="s">
        <v>822</v>
      </c>
      <c r="C691" s="1">
        <v>45612</v>
      </c>
      <c r="E691" t="s">
        <v>39</v>
      </c>
      <c r="F691">
        <v>7</v>
      </c>
      <c r="G691" s="12">
        <v>0</v>
      </c>
      <c r="H691" s="12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1047</v>
      </c>
      <c r="N691" t="b">
        <v>1</v>
      </c>
    </row>
    <row r="692" spans="1:14" x14ac:dyDescent="0.3">
      <c r="A692" t="s">
        <v>1738</v>
      </c>
      <c r="B692" t="s">
        <v>904</v>
      </c>
      <c r="C692" s="1">
        <v>45639</v>
      </c>
      <c r="E692" t="s">
        <v>32</v>
      </c>
      <c r="F692">
        <v>45</v>
      </c>
      <c r="G692" s="12">
        <v>8955</v>
      </c>
      <c r="H692" s="1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1047</v>
      </c>
      <c r="N692" t="b">
        <v>1</v>
      </c>
    </row>
    <row r="693" spans="1:14" x14ac:dyDescent="0.3">
      <c r="A693" t="s">
        <v>1739</v>
      </c>
      <c r="B693" t="s">
        <v>794</v>
      </c>
      <c r="C693" s="1">
        <v>45498</v>
      </c>
      <c r="E693" t="s">
        <v>39</v>
      </c>
      <c r="F693">
        <v>31</v>
      </c>
      <c r="G693" s="12">
        <v>1519</v>
      </c>
      <c r="H693" s="12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1047</v>
      </c>
      <c r="N693" t="b">
        <v>1</v>
      </c>
    </row>
    <row r="694" spans="1:14" x14ac:dyDescent="0.3">
      <c r="A694" t="s">
        <v>1740</v>
      </c>
      <c r="B694" t="s">
        <v>132</v>
      </c>
      <c r="C694" s="1">
        <v>45489</v>
      </c>
      <c r="E694" t="s">
        <v>32</v>
      </c>
      <c r="F694">
        <v>13</v>
      </c>
      <c r="G694" s="12">
        <v>2587</v>
      </c>
      <c r="H694" s="12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1050</v>
      </c>
      <c r="N694" t="b">
        <v>0</v>
      </c>
    </row>
    <row r="695" spans="1:14" x14ac:dyDescent="0.3">
      <c r="A695" t="s">
        <v>1741</v>
      </c>
      <c r="B695" t="s">
        <v>834</v>
      </c>
      <c r="C695" s="1">
        <v>45401</v>
      </c>
      <c r="E695" t="s">
        <v>32</v>
      </c>
      <c r="F695">
        <v>65</v>
      </c>
      <c r="G695" s="12">
        <v>12935</v>
      </c>
      <c r="H695" s="12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1047</v>
      </c>
      <c r="N695" t="b">
        <v>1</v>
      </c>
    </row>
    <row r="696" spans="1:14" x14ac:dyDescent="0.3">
      <c r="A696" t="s">
        <v>1742</v>
      </c>
      <c r="B696" t="s">
        <v>194</v>
      </c>
      <c r="C696" s="1">
        <v>45506</v>
      </c>
      <c r="E696" t="s">
        <v>32</v>
      </c>
      <c r="F696">
        <v>19</v>
      </c>
      <c r="G696" s="12">
        <v>3781</v>
      </c>
      <c r="H696" s="12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1047</v>
      </c>
      <c r="N696" t="b">
        <v>1</v>
      </c>
    </row>
    <row r="697" spans="1:14" x14ac:dyDescent="0.3">
      <c r="A697" t="s">
        <v>1743</v>
      </c>
      <c r="B697" t="s">
        <v>852</v>
      </c>
      <c r="C697" s="1">
        <v>45228</v>
      </c>
      <c r="E697" t="s">
        <v>15</v>
      </c>
      <c r="F697">
        <v>38</v>
      </c>
      <c r="G697" s="12">
        <v>722</v>
      </c>
      <c r="H697" s="12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1050</v>
      </c>
      <c r="N697" t="b">
        <v>1</v>
      </c>
    </row>
    <row r="698" spans="1:14" x14ac:dyDescent="0.3">
      <c r="A698" t="s">
        <v>1744</v>
      </c>
      <c r="B698" t="s">
        <v>978</v>
      </c>
      <c r="C698" s="1">
        <v>45594</v>
      </c>
      <c r="E698" t="s">
        <v>39</v>
      </c>
      <c r="F698">
        <v>17</v>
      </c>
      <c r="G698" s="12">
        <v>833</v>
      </c>
      <c r="H698" s="12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1047</v>
      </c>
      <c r="N698" t="b">
        <v>1</v>
      </c>
    </row>
    <row r="699" spans="1:14" x14ac:dyDescent="0.3">
      <c r="A699" t="s">
        <v>1745</v>
      </c>
      <c r="B699" t="s">
        <v>93</v>
      </c>
      <c r="C699" s="1">
        <v>45537</v>
      </c>
      <c r="E699" t="s">
        <v>15</v>
      </c>
      <c r="F699">
        <v>49</v>
      </c>
      <c r="G699" s="12">
        <v>931</v>
      </c>
      <c r="H699" s="12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1050</v>
      </c>
      <c r="N699" t="b">
        <v>0</v>
      </c>
    </row>
    <row r="700" spans="1:14" x14ac:dyDescent="0.3">
      <c r="A700" t="s">
        <v>1746</v>
      </c>
      <c r="B700" t="s">
        <v>110</v>
      </c>
      <c r="C700" s="1">
        <v>45088</v>
      </c>
      <c r="E700" t="s">
        <v>32</v>
      </c>
      <c r="F700">
        <v>32</v>
      </c>
      <c r="G700" s="12">
        <v>6368</v>
      </c>
      <c r="H700" s="12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1050</v>
      </c>
      <c r="N700" t="b">
        <v>1</v>
      </c>
    </row>
    <row r="701" spans="1:14" x14ac:dyDescent="0.3">
      <c r="A701" t="s">
        <v>1747</v>
      </c>
      <c r="B701" t="s">
        <v>982</v>
      </c>
      <c r="C701" s="1">
        <v>45493</v>
      </c>
      <c r="E701" t="s">
        <v>32</v>
      </c>
      <c r="F701">
        <v>28</v>
      </c>
      <c r="G701" s="12">
        <v>5572</v>
      </c>
      <c r="H701" s="12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1050</v>
      </c>
      <c r="N701" t="b">
        <v>1</v>
      </c>
    </row>
    <row r="702" spans="1:14" x14ac:dyDescent="0.3">
      <c r="A702" t="s">
        <v>1748</v>
      </c>
      <c r="B702" t="s">
        <v>758</v>
      </c>
      <c r="C702" s="1">
        <v>45431</v>
      </c>
      <c r="E702" t="s">
        <v>15</v>
      </c>
      <c r="F702">
        <v>18</v>
      </c>
      <c r="G702" s="12">
        <v>342</v>
      </c>
      <c r="H702" s="1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1050</v>
      </c>
      <c r="N702" t="b">
        <v>1</v>
      </c>
    </row>
    <row r="703" spans="1:14" x14ac:dyDescent="0.3">
      <c r="A703" t="s">
        <v>1749</v>
      </c>
      <c r="B703" t="s">
        <v>478</v>
      </c>
      <c r="C703" s="1">
        <v>45169</v>
      </c>
      <c r="E703" t="s">
        <v>15</v>
      </c>
      <c r="F703">
        <v>45</v>
      </c>
      <c r="G703" s="12">
        <v>0</v>
      </c>
      <c r="H703" s="12">
        <v>0</v>
      </c>
      <c r="I703" t="b">
        <v>1</v>
      </c>
      <c r="J703" t="b">
        <v>0</v>
      </c>
      <c r="K703" t="b">
        <v>0</v>
      </c>
      <c r="L703" t="b">
        <v>0</v>
      </c>
      <c r="M703" t="s">
        <v>1050</v>
      </c>
      <c r="N703" t="b">
        <v>0</v>
      </c>
    </row>
    <row r="704" spans="1:14" x14ac:dyDescent="0.3">
      <c r="A704" t="s">
        <v>1750</v>
      </c>
      <c r="B704" t="s">
        <v>228</v>
      </c>
      <c r="C704" s="1">
        <v>45237</v>
      </c>
      <c r="E704" t="s">
        <v>32</v>
      </c>
      <c r="F704">
        <v>12</v>
      </c>
      <c r="G704" s="12">
        <v>2388</v>
      </c>
      <c r="H704" s="12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1047</v>
      </c>
      <c r="N704" t="b">
        <v>1</v>
      </c>
    </row>
    <row r="705" spans="1:14" x14ac:dyDescent="0.3">
      <c r="A705" t="s">
        <v>1751</v>
      </c>
      <c r="B705" t="s">
        <v>658</v>
      </c>
      <c r="C705" s="1">
        <v>45373</v>
      </c>
      <c r="E705" t="s">
        <v>32</v>
      </c>
      <c r="F705">
        <v>21</v>
      </c>
      <c r="G705" s="12">
        <v>0</v>
      </c>
      <c r="H705" s="12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1047</v>
      </c>
      <c r="N705" t="b">
        <v>1</v>
      </c>
    </row>
    <row r="706" spans="1:14" x14ac:dyDescent="0.3">
      <c r="A706" t="s">
        <v>1752</v>
      </c>
      <c r="B706" t="s">
        <v>398</v>
      </c>
      <c r="C706" s="1">
        <v>45379</v>
      </c>
      <c r="E706" t="s">
        <v>32</v>
      </c>
      <c r="F706">
        <v>16</v>
      </c>
      <c r="G706" s="12">
        <v>3184</v>
      </c>
      <c r="H706" s="12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1047</v>
      </c>
      <c r="N706" t="b">
        <v>0</v>
      </c>
    </row>
    <row r="707" spans="1:14" x14ac:dyDescent="0.3">
      <c r="A707" t="s">
        <v>1753</v>
      </c>
      <c r="B707" t="s">
        <v>1028</v>
      </c>
      <c r="C707" s="1">
        <v>45559</v>
      </c>
      <c r="E707" t="s">
        <v>15</v>
      </c>
      <c r="F707">
        <v>34</v>
      </c>
      <c r="G707" s="12">
        <v>646</v>
      </c>
      <c r="H707" s="12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1050</v>
      </c>
      <c r="N707" t="b">
        <v>1</v>
      </c>
    </row>
    <row r="708" spans="1:14" x14ac:dyDescent="0.3">
      <c r="A708" t="s">
        <v>1754</v>
      </c>
      <c r="B708" t="s">
        <v>828</v>
      </c>
      <c r="C708" s="1">
        <v>45559</v>
      </c>
      <c r="D708" s="1">
        <v>45644</v>
      </c>
      <c r="E708" t="s">
        <v>39</v>
      </c>
      <c r="F708">
        <v>69</v>
      </c>
      <c r="G708" s="12">
        <v>3381</v>
      </c>
      <c r="H708" s="12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1050</v>
      </c>
      <c r="N708" t="b">
        <v>1</v>
      </c>
    </row>
    <row r="709" spans="1:14" x14ac:dyDescent="0.3">
      <c r="A709" t="s">
        <v>1755</v>
      </c>
      <c r="B709" t="s">
        <v>444</v>
      </c>
      <c r="C709" s="1">
        <v>45495</v>
      </c>
      <c r="E709" t="s">
        <v>32</v>
      </c>
      <c r="F709">
        <v>35</v>
      </c>
      <c r="G709" s="12">
        <v>6965</v>
      </c>
      <c r="H709" s="12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1047</v>
      </c>
      <c r="N709" t="b">
        <v>0</v>
      </c>
    </row>
    <row r="710" spans="1:14" x14ac:dyDescent="0.3">
      <c r="A710" t="s">
        <v>1756</v>
      </c>
      <c r="B710" t="s">
        <v>784</v>
      </c>
      <c r="C710" s="1">
        <v>45589</v>
      </c>
      <c r="E710" t="s">
        <v>15</v>
      </c>
      <c r="F710">
        <v>84</v>
      </c>
      <c r="G710" s="12">
        <v>1596</v>
      </c>
      <c r="H710" s="12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1050</v>
      </c>
      <c r="N710" t="b">
        <v>1</v>
      </c>
    </row>
    <row r="711" spans="1:14" x14ac:dyDescent="0.3">
      <c r="A711" t="s">
        <v>1757</v>
      </c>
      <c r="B711" t="s">
        <v>772</v>
      </c>
      <c r="C711" s="1">
        <v>45652</v>
      </c>
      <c r="E711" t="s">
        <v>32</v>
      </c>
      <c r="F711">
        <v>48</v>
      </c>
      <c r="G711" s="12">
        <v>9552</v>
      </c>
      <c r="H711" s="12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1050</v>
      </c>
      <c r="N711" t="b">
        <v>1</v>
      </c>
    </row>
    <row r="712" spans="1:14" x14ac:dyDescent="0.3">
      <c r="A712" t="s">
        <v>1758</v>
      </c>
      <c r="B712" t="s">
        <v>384</v>
      </c>
      <c r="C712" s="1">
        <v>45532</v>
      </c>
      <c r="E712" t="s">
        <v>15</v>
      </c>
      <c r="F712">
        <v>163</v>
      </c>
      <c r="G712" s="12">
        <v>3097</v>
      </c>
      <c r="H712" s="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1047</v>
      </c>
      <c r="N712" t="b">
        <v>1</v>
      </c>
    </row>
    <row r="713" spans="1:14" x14ac:dyDescent="0.3">
      <c r="A713" t="s">
        <v>1759</v>
      </c>
      <c r="B713" t="s">
        <v>494</v>
      </c>
      <c r="C713" s="1">
        <v>45390</v>
      </c>
      <c r="E713" t="s">
        <v>32</v>
      </c>
      <c r="F713">
        <v>6</v>
      </c>
      <c r="G713" s="12">
        <v>0</v>
      </c>
      <c r="H713" s="12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1047</v>
      </c>
      <c r="N713" t="b">
        <v>1</v>
      </c>
    </row>
    <row r="714" spans="1:14" x14ac:dyDescent="0.3">
      <c r="A714" t="s">
        <v>1760</v>
      </c>
      <c r="B714" t="s">
        <v>296</v>
      </c>
      <c r="C714" s="1">
        <v>45260</v>
      </c>
      <c r="D714" s="1">
        <v>45519</v>
      </c>
      <c r="E714" t="s">
        <v>39</v>
      </c>
      <c r="F714">
        <v>28</v>
      </c>
      <c r="G714" s="12">
        <v>1372</v>
      </c>
      <c r="H714" s="12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1047</v>
      </c>
      <c r="N714" t="b">
        <v>1</v>
      </c>
    </row>
    <row r="715" spans="1:14" x14ac:dyDescent="0.3">
      <c r="A715" t="s">
        <v>1761</v>
      </c>
      <c r="B715" t="s">
        <v>602</v>
      </c>
      <c r="C715" s="1">
        <v>45323</v>
      </c>
      <c r="E715" t="s">
        <v>32</v>
      </c>
      <c r="F715">
        <v>34</v>
      </c>
      <c r="G715" s="12">
        <v>6766</v>
      </c>
      <c r="H715" s="12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1050</v>
      </c>
      <c r="N715" t="b">
        <v>1</v>
      </c>
    </row>
    <row r="716" spans="1:14" x14ac:dyDescent="0.3">
      <c r="A716" t="s">
        <v>1762</v>
      </c>
      <c r="B716" t="s">
        <v>378</v>
      </c>
      <c r="C716" s="1">
        <v>45656</v>
      </c>
      <c r="E716" t="s">
        <v>15</v>
      </c>
      <c r="F716">
        <v>70</v>
      </c>
      <c r="G716" s="12">
        <v>1330</v>
      </c>
      <c r="H716" s="12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1050</v>
      </c>
      <c r="N716" t="b">
        <v>1</v>
      </c>
    </row>
    <row r="717" spans="1:14" x14ac:dyDescent="0.3">
      <c r="A717" t="s">
        <v>1763</v>
      </c>
      <c r="B717" t="s">
        <v>926</v>
      </c>
      <c r="C717" s="1">
        <v>45601</v>
      </c>
      <c r="E717" t="s">
        <v>32</v>
      </c>
      <c r="F717">
        <v>27</v>
      </c>
      <c r="G717" s="12">
        <v>5373</v>
      </c>
      <c r="H717" s="12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1050</v>
      </c>
      <c r="N717" t="b">
        <v>1</v>
      </c>
    </row>
    <row r="718" spans="1:14" x14ac:dyDescent="0.3">
      <c r="A718" t="s">
        <v>1764</v>
      </c>
      <c r="B718" t="s">
        <v>740</v>
      </c>
      <c r="C718" s="1">
        <v>45588</v>
      </c>
      <c r="E718" t="s">
        <v>39</v>
      </c>
      <c r="F718">
        <v>26</v>
      </c>
      <c r="G718" s="12">
        <v>1274</v>
      </c>
      <c r="H718" s="12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1050</v>
      </c>
      <c r="N718" t="b">
        <v>1</v>
      </c>
    </row>
    <row r="719" spans="1:14" x14ac:dyDescent="0.3">
      <c r="A719" t="s">
        <v>1765</v>
      </c>
      <c r="B719" t="s">
        <v>818</v>
      </c>
      <c r="C719" s="1">
        <v>45367</v>
      </c>
      <c r="E719" t="s">
        <v>39</v>
      </c>
      <c r="F719">
        <v>20</v>
      </c>
      <c r="G719" s="12">
        <v>980</v>
      </c>
      <c r="H719" s="12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1050</v>
      </c>
      <c r="N719" t="b">
        <v>0</v>
      </c>
    </row>
    <row r="720" spans="1:14" x14ac:dyDescent="0.3">
      <c r="A720" t="s">
        <v>1766</v>
      </c>
      <c r="B720" t="s">
        <v>726</v>
      </c>
      <c r="C720" s="1">
        <v>45650</v>
      </c>
      <c r="E720" t="s">
        <v>32</v>
      </c>
      <c r="F720">
        <v>43</v>
      </c>
      <c r="G720" s="12">
        <v>8557</v>
      </c>
      <c r="H720" s="12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1047</v>
      </c>
      <c r="N720" t="b">
        <v>1</v>
      </c>
    </row>
    <row r="721" spans="1:14" x14ac:dyDescent="0.3">
      <c r="A721" t="s">
        <v>1767</v>
      </c>
      <c r="B721" t="s">
        <v>522</v>
      </c>
      <c r="C721" s="1">
        <v>45295</v>
      </c>
      <c r="E721" t="s">
        <v>39</v>
      </c>
      <c r="F721">
        <v>11</v>
      </c>
      <c r="G721" s="12">
        <v>0</v>
      </c>
      <c r="H721" s="12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1047</v>
      </c>
      <c r="N721" t="b">
        <v>1</v>
      </c>
    </row>
    <row r="722" spans="1:14" x14ac:dyDescent="0.3">
      <c r="A722" t="s">
        <v>1768</v>
      </c>
      <c r="B722" t="s">
        <v>420</v>
      </c>
      <c r="C722" s="1">
        <v>45491</v>
      </c>
      <c r="E722" t="s">
        <v>32</v>
      </c>
      <c r="F722">
        <v>37</v>
      </c>
      <c r="G722" s="12">
        <v>7363</v>
      </c>
      <c r="H722" s="1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1047</v>
      </c>
      <c r="N722" t="b">
        <v>1</v>
      </c>
    </row>
    <row r="723" spans="1:14" x14ac:dyDescent="0.3">
      <c r="A723" t="s">
        <v>1769</v>
      </c>
      <c r="B723" t="s">
        <v>848</v>
      </c>
      <c r="C723" s="1">
        <v>45338</v>
      </c>
      <c r="E723" t="s">
        <v>39</v>
      </c>
      <c r="F723">
        <v>20</v>
      </c>
      <c r="G723" s="12">
        <v>0</v>
      </c>
      <c r="H723" s="12">
        <v>0</v>
      </c>
      <c r="I723" t="b">
        <v>1</v>
      </c>
      <c r="J723" t="b">
        <v>0</v>
      </c>
      <c r="K723" t="b">
        <v>0</v>
      </c>
      <c r="L723" t="b">
        <v>0</v>
      </c>
      <c r="M723" t="s">
        <v>1050</v>
      </c>
      <c r="N723" t="b">
        <v>1</v>
      </c>
    </row>
    <row r="724" spans="1:14" x14ac:dyDescent="0.3">
      <c r="A724" t="s">
        <v>1770</v>
      </c>
      <c r="B724" t="s">
        <v>558</v>
      </c>
      <c r="C724" s="1">
        <v>45579</v>
      </c>
      <c r="E724" t="s">
        <v>15</v>
      </c>
      <c r="F724">
        <v>33</v>
      </c>
      <c r="G724" s="12">
        <v>627</v>
      </c>
      <c r="H724" s="12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1050</v>
      </c>
      <c r="N724" t="b">
        <v>1</v>
      </c>
    </row>
    <row r="725" spans="1:14" x14ac:dyDescent="0.3">
      <c r="A725" t="s">
        <v>1771</v>
      </c>
      <c r="B725" t="s">
        <v>284</v>
      </c>
      <c r="C725" s="1">
        <v>45272</v>
      </c>
      <c r="E725" t="s">
        <v>15</v>
      </c>
      <c r="F725">
        <v>23</v>
      </c>
      <c r="G725" s="12">
        <v>437</v>
      </c>
      <c r="H725" s="12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1050</v>
      </c>
      <c r="N725" t="b">
        <v>1</v>
      </c>
    </row>
    <row r="726" spans="1:14" x14ac:dyDescent="0.3">
      <c r="A726" t="s">
        <v>1772</v>
      </c>
      <c r="B726" t="s">
        <v>718</v>
      </c>
      <c r="C726" s="1">
        <v>45562</v>
      </c>
      <c r="E726" t="s">
        <v>15</v>
      </c>
      <c r="F726">
        <v>41</v>
      </c>
      <c r="G726" s="12">
        <v>779</v>
      </c>
      <c r="H726" s="12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1047</v>
      </c>
      <c r="N726" t="b">
        <v>1</v>
      </c>
    </row>
    <row r="727" spans="1:14" x14ac:dyDescent="0.3">
      <c r="A727" t="s">
        <v>1773</v>
      </c>
      <c r="B727" t="s">
        <v>516</v>
      </c>
      <c r="C727" s="1">
        <v>45477</v>
      </c>
      <c r="E727" t="s">
        <v>39</v>
      </c>
      <c r="F727">
        <v>3</v>
      </c>
      <c r="G727" s="12">
        <v>147</v>
      </c>
      <c r="H727" s="12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1047</v>
      </c>
      <c r="N727" t="b">
        <v>1</v>
      </c>
    </row>
    <row r="728" spans="1:14" x14ac:dyDescent="0.3">
      <c r="A728" t="s">
        <v>1774</v>
      </c>
      <c r="B728" t="s">
        <v>944</v>
      </c>
      <c r="C728" s="1">
        <v>45627</v>
      </c>
      <c r="D728" s="1">
        <v>45657</v>
      </c>
      <c r="E728" t="s">
        <v>15</v>
      </c>
      <c r="F728">
        <v>3</v>
      </c>
      <c r="G728" s="12">
        <v>0</v>
      </c>
      <c r="H728" s="12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1047</v>
      </c>
      <c r="N728" t="b">
        <v>1</v>
      </c>
    </row>
    <row r="729" spans="1:14" x14ac:dyDescent="0.3">
      <c r="A729" t="s">
        <v>1775</v>
      </c>
      <c r="B729" t="s">
        <v>540</v>
      </c>
      <c r="C729" s="1">
        <v>45606</v>
      </c>
      <c r="E729" t="s">
        <v>15</v>
      </c>
      <c r="F729">
        <v>16</v>
      </c>
      <c r="G729" s="12">
        <v>304</v>
      </c>
      <c r="H729" s="12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1047</v>
      </c>
      <c r="N729" t="b">
        <v>1</v>
      </c>
    </row>
    <row r="730" spans="1:14" x14ac:dyDescent="0.3">
      <c r="A730" t="s">
        <v>1776</v>
      </c>
      <c r="B730" t="s">
        <v>922</v>
      </c>
      <c r="C730" s="1">
        <v>45652</v>
      </c>
      <c r="E730" t="s">
        <v>15</v>
      </c>
      <c r="F730">
        <v>33</v>
      </c>
      <c r="G730" s="12">
        <v>627</v>
      </c>
      <c r="H730" s="12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1047</v>
      </c>
      <c r="N730" t="b">
        <v>0</v>
      </c>
    </row>
    <row r="731" spans="1:14" x14ac:dyDescent="0.3">
      <c r="A731" t="s">
        <v>1777</v>
      </c>
      <c r="B731" t="s">
        <v>236</v>
      </c>
      <c r="C731" s="1">
        <v>45277</v>
      </c>
      <c r="E731" t="s">
        <v>32</v>
      </c>
      <c r="F731">
        <v>10</v>
      </c>
      <c r="G731" s="12">
        <v>1990</v>
      </c>
      <c r="H731" s="12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1050</v>
      </c>
      <c r="N731" t="b">
        <v>1</v>
      </c>
    </row>
    <row r="732" spans="1:14" x14ac:dyDescent="0.3">
      <c r="A732" t="s">
        <v>1778</v>
      </c>
      <c r="B732" t="s">
        <v>188</v>
      </c>
      <c r="C732" s="1">
        <v>45166</v>
      </c>
      <c r="E732" t="s">
        <v>15</v>
      </c>
      <c r="F732">
        <v>4</v>
      </c>
      <c r="G732" s="12">
        <v>76</v>
      </c>
      <c r="H732" s="1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1047</v>
      </c>
      <c r="N732" t="b">
        <v>1</v>
      </c>
    </row>
    <row r="733" spans="1:14" x14ac:dyDescent="0.3">
      <c r="A733" t="s">
        <v>1779</v>
      </c>
      <c r="B733" t="s">
        <v>722</v>
      </c>
      <c r="C733" s="1">
        <v>45485</v>
      </c>
      <c r="E733" t="s">
        <v>32</v>
      </c>
      <c r="F733">
        <v>16</v>
      </c>
      <c r="G733" s="12">
        <v>3184</v>
      </c>
      <c r="H733" s="12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1047</v>
      </c>
      <c r="N733" t="b">
        <v>1</v>
      </c>
    </row>
    <row r="734" spans="1:14" x14ac:dyDescent="0.3">
      <c r="A734" t="s">
        <v>1780</v>
      </c>
      <c r="B734" t="s">
        <v>812</v>
      </c>
      <c r="C734" s="1">
        <v>45605</v>
      </c>
      <c r="E734" t="s">
        <v>15</v>
      </c>
      <c r="F734">
        <v>13</v>
      </c>
      <c r="G734" s="12">
        <v>247</v>
      </c>
      <c r="H734" s="12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1050</v>
      </c>
      <c r="N734" t="b">
        <v>1</v>
      </c>
    </row>
    <row r="735" spans="1:14" x14ac:dyDescent="0.3">
      <c r="A735" t="s">
        <v>1781</v>
      </c>
      <c r="B735" t="s">
        <v>410</v>
      </c>
      <c r="C735" s="1">
        <v>45581</v>
      </c>
      <c r="E735" t="s">
        <v>39</v>
      </c>
      <c r="F735">
        <v>60</v>
      </c>
      <c r="G735" s="12">
        <v>2940</v>
      </c>
      <c r="H735" s="12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1050</v>
      </c>
      <c r="N735" t="b">
        <v>1</v>
      </c>
    </row>
    <row r="736" spans="1:14" x14ac:dyDescent="0.3">
      <c r="A736" t="s">
        <v>1782</v>
      </c>
      <c r="B736" t="s">
        <v>948</v>
      </c>
      <c r="C736" s="1">
        <v>45584</v>
      </c>
      <c r="E736" t="s">
        <v>39</v>
      </c>
      <c r="F736">
        <v>14</v>
      </c>
      <c r="G736" s="12">
        <v>686</v>
      </c>
      <c r="H736" s="12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1047</v>
      </c>
      <c r="N736" t="b">
        <v>1</v>
      </c>
    </row>
    <row r="737" spans="1:14" x14ac:dyDescent="0.3">
      <c r="A737" t="s">
        <v>1783</v>
      </c>
      <c r="B737" t="s">
        <v>812</v>
      </c>
      <c r="C737" s="1">
        <v>45574</v>
      </c>
      <c r="E737" t="s">
        <v>39</v>
      </c>
      <c r="F737">
        <v>10</v>
      </c>
      <c r="G737" s="12">
        <v>490</v>
      </c>
      <c r="H737" s="12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1050</v>
      </c>
      <c r="N737" t="b">
        <v>1</v>
      </c>
    </row>
    <row r="738" spans="1:14" x14ac:dyDescent="0.3">
      <c r="A738" t="s">
        <v>1784</v>
      </c>
      <c r="B738" t="s">
        <v>256</v>
      </c>
      <c r="C738" s="1">
        <v>45576</v>
      </c>
      <c r="E738" t="s">
        <v>32</v>
      </c>
      <c r="F738">
        <v>83</v>
      </c>
      <c r="G738" s="12">
        <v>16517</v>
      </c>
      <c r="H738" s="12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1047</v>
      </c>
      <c r="N738" t="b">
        <v>0</v>
      </c>
    </row>
    <row r="739" spans="1:14" x14ac:dyDescent="0.3">
      <c r="A739" t="s">
        <v>1785</v>
      </c>
      <c r="B739" t="s">
        <v>83</v>
      </c>
      <c r="C739" s="1">
        <v>45582</v>
      </c>
      <c r="E739" t="s">
        <v>39</v>
      </c>
      <c r="F739">
        <v>19</v>
      </c>
      <c r="G739" s="12">
        <v>931</v>
      </c>
      <c r="H739" s="12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1050</v>
      </c>
      <c r="N739" t="b">
        <v>1</v>
      </c>
    </row>
    <row r="740" spans="1:14" x14ac:dyDescent="0.3">
      <c r="A740" t="s">
        <v>1786</v>
      </c>
      <c r="B740" t="s">
        <v>992</v>
      </c>
      <c r="C740" s="1">
        <v>45167</v>
      </c>
      <c r="D740" s="1">
        <v>45344</v>
      </c>
      <c r="E740" t="s">
        <v>32</v>
      </c>
      <c r="F740">
        <v>19</v>
      </c>
      <c r="G740" s="12">
        <v>3781</v>
      </c>
      <c r="H740" s="12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1050</v>
      </c>
      <c r="N740" t="b">
        <v>0</v>
      </c>
    </row>
    <row r="741" spans="1:14" x14ac:dyDescent="0.3">
      <c r="A741" t="s">
        <v>1787</v>
      </c>
      <c r="B741" t="s">
        <v>910</v>
      </c>
      <c r="C741" s="1">
        <v>45655</v>
      </c>
      <c r="E741" t="s">
        <v>15</v>
      </c>
      <c r="F741">
        <v>9</v>
      </c>
      <c r="G741" s="12">
        <v>171</v>
      </c>
      <c r="H741" s="12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1050</v>
      </c>
      <c r="N741" t="b">
        <v>1</v>
      </c>
    </row>
    <row r="742" spans="1:14" x14ac:dyDescent="0.3">
      <c r="A742" t="s">
        <v>1788</v>
      </c>
      <c r="B742" t="s">
        <v>1028</v>
      </c>
      <c r="C742" s="1">
        <v>45554</v>
      </c>
      <c r="D742" s="1">
        <v>45620</v>
      </c>
      <c r="E742" t="s">
        <v>32</v>
      </c>
      <c r="F742">
        <v>12</v>
      </c>
      <c r="G742" s="12">
        <v>2388</v>
      </c>
      <c r="H742" s="1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1050</v>
      </c>
      <c r="N742" t="b">
        <v>1</v>
      </c>
    </row>
    <row r="743" spans="1:14" x14ac:dyDescent="0.3">
      <c r="A743" t="s">
        <v>1789</v>
      </c>
      <c r="B743" t="s">
        <v>352</v>
      </c>
      <c r="C743" s="1">
        <v>45582</v>
      </c>
      <c r="E743" t="s">
        <v>15</v>
      </c>
      <c r="F743">
        <v>19</v>
      </c>
      <c r="G743" s="12">
        <v>0</v>
      </c>
      <c r="H743" s="12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1047</v>
      </c>
      <c r="N743" t="b">
        <v>1</v>
      </c>
    </row>
    <row r="744" spans="1:14" x14ac:dyDescent="0.3">
      <c r="A744" t="s">
        <v>1790</v>
      </c>
      <c r="B744" t="s">
        <v>720</v>
      </c>
      <c r="C744" s="1">
        <v>45261</v>
      </c>
      <c r="D744" s="1">
        <v>45558</v>
      </c>
      <c r="E744" t="s">
        <v>39</v>
      </c>
      <c r="F744">
        <v>31</v>
      </c>
      <c r="G744" s="12">
        <v>1519</v>
      </c>
      <c r="H744" s="12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1047</v>
      </c>
      <c r="N744" t="b">
        <v>1</v>
      </c>
    </row>
    <row r="745" spans="1:14" x14ac:dyDescent="0.3">
      <c r="A745" t="s">
        <v>1791</v>
      </c>
      <c r="B745" t="s">
        <v>362</v>
      </c>
      <c r="C745" s="1">
        <v>45370</v>
      </c>
      <c r="E745" t="s">
        <v>32</v>
      </c>
      <c r="F745">
        <v>73</v>
      </c>
      <c r="G745" s="12">
        <v>14527</v>
      </c>
      <c r="H745" s="12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1050</v>
      </c>
      <c r="N745" t="b">
        <v>1</v>
      </c>
    </row>
    <row r="746" spans="1:14" x14ac:dyDescent="0.3">
      <c r="A746" t="s">
        <v>1792</v>
      </c>
      <c r="B746" t="s">
        <v>220</v>
      </c>
      <c r="C746" s="1">
        <v>45514</v>
      </c>
      <c r="E746" t="s">
        <v>39</v>
      </c>
      <c r="F746">
        <v>13</v>
      </c>
      <c r="G746" s="12">
        <v>637</v>
      </c>
      <c r="H746" s="12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1047</v>
      </c>
      <c r="N746" t="b">
        <v>0</v>
      </c>
    </row>
    <row r="747" spans="1:14" x14ac:dyDescent="0.3">
      <c r="A747" t="s">
        <v>1793</v>
      </c>
      <c r="B747" t="s">
        <v>304</v>
      </c>
      <c r="C747" s="1">
        <v>45650</v>
      </c>
      <c r="E747" t="s">
        <v>32</v>
      </c>
      <c r="F747">
        <v>59</v>
      </c>
      <c r="G747" s="12">
        <v>11741</v>
      </c>
      <c r="H747" s="12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1050</v>
      </c>
      <c r="N747" t="b">
        <v>0</v>
      </c>
    </row>
    <row r="748" spans="1:14" x14ac:dyDescent="0.3">
      <c r="A748" t="s">
        <v>1794</v>
      </c>
      <c r="B748" t="s">
        <v>404</v>
      </c>
      <c r="C748" s="1">
        <v>45505</v>
      </c>
      <c r="E748" t="s">
        <v>39</v>
      </c>
      <c r="F748">
        <v>4</v>
      </c>
      <c r="G748" s="12">
        <v>0</v>
      </c>
      <c r="H748" s="12">
        <v>0</v>
      </c>
      <c r="I748" t="b">
        <v>1</v>
      </c>
      <c r="J748" t="b">
        <v>0</v>
      </c>
      <c r="K748" t="b">
        <v>0</v>
      </c>
      <c r="L748" t="b">
        <v>0</v>
      </c>
      <c r="M748" t="s">
        <v>1050</v>
      </c>
      <c r="N748" t="b">
        <v>1</v>
      </c>
    </row>
    <row r="749" spans="1:14" x14ac:dyDescent="0.3">
      <c r="A749" t="s">
        <v>1795</v>
      </c>
      <c r="B749" t="s">
        <v>244</v>
      </c>
      <c r="C749" s="1">
        <v>45624</v>
      </c>
      <c r="E749" t="s">
        <v>32</v>
      </c>
      <c r="F749">
        <v>64</v>
      </c>
      <c r="G749" s="12">
        <v>0</v>
      </c>
      <c r="H749" s="12">
        <v>0</v>
      </c>
      <c r="I749" t="b">
        <v>1</v>
      </c>
      <c r="J749" t="b">
        <v>1</v>
      </c>
      <c r="K749" t="b">
        <v>0</v>
      </c>
      <c r="L749" t="b">
        <v>0</v>
      </c>
      <c r="M749" t="s">
        <v>1050</v>
      </c>
      <c r="N749" t="b">
        <v>0</v>
      </c>
    </row>
    <row r="750" spans="1:14" x14ac:dyDescent="0.3">
      <c r="A750" t="s">
        <v>1796</v>
      </c>
      <c r="B750" t="s">
        <v>402</v>
      </c>
      <c r="C750" s="1">
        <v>45639</v>
      </c>
      <c r="D750" s="1">
        <v>45647</v>
      </c>
      <c r="E750" t="s">
        <v>39</v>
      </c>
      <c r="F750">
        <v>28</v>
      </c>
      <c r="G750" s="12">
        <v>1372</v>
      </c>
      <c r="H750" s="12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1050</v>
      </c>
      <c r="N750" t="b">
        <v>1</v>
      </c>
    </row>
    <row r="751" spans="1:14" x14ac:dyDescent="0.3">
      <c r="A751" t="s">
        <v>1797</v>
      </c>
      <c r="B751" t="s">
        <v>214</v>
      </c>
      <c r="C751" s="1">
        <v>45440</v>
      </c>
      <c r="E751" t="s">
        <v>32</v>
      </c>
      <c r="F751">
        <v>32</v>
      </c>
      <c r="G751" s="12">
        <v>6368</v>
      </c>
      <c r="H751" s="12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1047</v>
      </c>
      <c r="N751" t="b">
        <v>1</v>
      </c>
    </row>
    <row r="752" spans="1:14" x14ac:dyDescent="0.3">
      <c r="A752" t="s">
        <v>1798</v>
      </c>
      <c r="B752" t="s">
        <v>862</v>
      </c>
      <c r="C752" s="1">
        <v>45232</v>
      </c>
      <c r="E752" t="s">
        <v>32</v>
      </c>
      <c r="F752">
        <v>50</v>
      </c>
      <c r="G752" s="12">
        <v>9950</v>
      </c>
      <c r="H752" s="1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1050</v>
      </c>
      <c r="N752" t="b">
        <v>0</v>
      </c>
    </row>
    <row r="753" spans="1:14" x14ac:dyDescent="0.3">
      <c r="A753" t="s">
        <v>1799</v>
      </c>
      <c r="B753" t="s">
        <v>852</v>
      </c>
      <c r="C753" s="1">
        <v>45376</v>
      </c>
      <c r="E753" t="s">
        <v>32</v>
      </c>
      <c r="F753">
        <v>14</v>
      </c>
      <c r="G753" s="12">
        <v>0</v>
      </c>
      <c r="H753" s="12">
        <v>0</v>
      </c>
      <c r="I753" t="b">
        <v>1</v>
      </c>
      <c r="J753" t="b">
        <v>0</v>
      </c>
      <c r="K753" t="b">
        <v>0</v>
      </c>
      <c r="L753" t="b">
        <v>0</v>
      </c>
      <c r="M753" t="s">
        <v>1050</v>
      </c>
      <c r="N753" t="b">
        <v>0</v>
      </c>
    </row>
    <row r="754" spans="1:14" x14ac:dyDescent="0.3">
      <c r="A754" t="s">
        <v>1800</v>
      </c>
      <c r="B754" t="s">
        <v>906</v>
      </c>
      <c r="C754" s="1">
        <v>45468</v>
      </c>
      <c r="E754" t="s">
        <v>15</v>
      </c>
      <c r="F754">
        <v>77</v>
      </c>
      <c r="G754" s="12">
        <v>1463</v>
      </c>
      <c r="H754" s="12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1047</v>
      </c>
      <c r="N754" t="b">
        <v>1</v>
      </c>
    </row>
    <row r="755" spans="1:14" x14ac:dyDescent="0.3">
      <c r="A755" t="s">
        <v>1801</v>
      </c>
      <c r="B755" t="s">
        <v>848</v>
      </c>
      <c r="C755" s="1">
        <v>45555</v>
      </c>
      <c r="E755" t="s">
        <v>15</v>
      </c>
      <c r="F755">
        <v>15</v>
      </c>
      <c r="G755" s="12">
        <v>0</v>
      </c>
      <c r="H755" s="12">
        <v>0</v>
      </c>
      <c r="I755" t="b">
        <v>1</v>
      </c>
      <c r="J755" t="b">
        <v>0</v>
      </c>
      <c r="K755" t="b">
        <v>0</v>
      </c>
      <c r="L755" t="b">
        <v>0</v>
      </c>
      <c r="M755" t="s">
        <v>1050</v>
      </c>
      <c r="N755" t="b">
        <v>1</v>
      </c>
    </row>
    <row r="756" spans="1:14" x14ac:dyDescent="0.3">
      <c r="A756" t="s">
        <v>1802</v>
      </c>
      <c r="B756" t="s">
        <v>854</v>
      </c>
      <c r="C756" s="1">
        <v>45257</v>
      </c>
      <c r="E756" t="s">
        <v>15</v>
      </c>
      <c r="F756">
        <v>39</v>
      </c>
      <c r="G756" s="12">
        <v>741</v>
      </c>
      <c r="H756" s="12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1050</v>
      </c>
      <c r="N756" t="b">
        <v>1</v>
      </c>
    </row>
    <row r="757" spans="1:14" x14ac:dyDescent="0.3">
      <c r="A757" t="s">
        <v>1803</v>
      </c>
      <c r="B757" t="s">
        <v>540</v>
      </c>
      <c r="C757" s="1">
        <v>45598</v>
      </c>
      <c r="E757" t="s">
        <v>32</v>
      </c>
      <c r="F757">
        <v>19</v>
      </c>
      <c r="G757" s="12">
        <v>3781</v>
      </c>
      <c r="H757" s="12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1050</v>
      </c>
      <c r="N757" t="b">
        <v>1</v>
      </c>
    </row>
    <row r="758" spans="1:14" x14ac:dyDescent="0.3">
      <c r="A758" t="s">
        <v>1804</v>
      </c>
      <c r="B758" t="s">
        <v>834</v>
      </c>
      <c r="C758" s="1">
        <v>45553</v>
      </c>
      <c r="E758" t="s">
        <v>39</v>
      </c>
      <c r="F758">
        <v>25</v>
      </c>
      <c r="G758" s="12">
        <v>1225</v>
      </c>
      <c r="H758" s="12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1050</v>
      </c>
      <c r="N758" t="b">
        <v>1</v>
      </c>
    </row>
    <row r="759" spans="1:14" x14ac:dyDescent="0.3">
      <c r="A759" t="s">
        <v>1805</v>
      </c>
      <c r="B759" t="s">
        <v>604</v>
      </c>
      <c r="C759" s="1">
        <v>45654</v>
      </c>
      <c r="E759" t="s">
        <v>32</v>
      </c>
      <c r="F759">
        <v>12</v>
      </c>
      <c r="G759" s="12">
        <v>2388</v>
      </c>
      <c r="H759" s="12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1047</v>
      </c>
      <c r="N759" t="b">
        <v>1</v>
      </c>
    </row>
    <row r="760" spans="1:14" x14ac:dyDescent="0.3">
      <c r="A760" t="s">
        <v>1806</v>
      </c>
      <c r="B760" t="s">
        <v>436</v>
      </c>
      <c r="C760" s="1">
        <v>45259</v>
      </c>
      <c r="E760" t="s">
        <v>32</v>
      </c>
      <c r="F760">
        <v>33</v>
      </c>
      <c r="G760" s="12">
        <v>6567</v>
      </c>
      <c r="H760" s="12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1047</v>
      </c>
      <c r="N760" t="b">
        <v>1</v>
      </c>
    </row>
    <row r="761" spans="1:14" x14ac:dyDescent="0.3">
      <c r="A761" t="s">
        <v>1807</v>
      </c>
      <c r="B761" t="s">
        <v>89</v>
      </c>
      <c r="C761" s="1">
        <v>45594</v>
      </c>
      <c r="E761" t="s">
        <v>39</v>
      </c>
      <c r="F761">
        <v>37</v>
      </c>
      <c r="G761" s="12">
        <v>1813</v>
      </c>
      <c r="H761" s="12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1050</v>
      </c>
      <c r="N761" t="b">
        <v>0</v>
      </c>
    </row>
    <row r="762" spans="1:14" x14ac:dyDescent="0.3">
      <c r="A762" t="s">
        <v>1808</v>
      </c>
      <c r="B762" t="s">
        <v>888</v>
      </c>
      <c r="C762" s="1">
        <v>45617</v>
      </c>
      <c r="E762" t="s">
        <v>15</v>
      </c>
      <c r="F762">
        <v>10</v>
      </c>
      <c r="G762" s="12">
        <v>190</v>
      </c>
      <c r="H762" s="1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1050</v>
      </c>
      <c r="N762" t="b">
        <v>1</v>
      </c>
    </row>
    <row r="763" spans="1:14" x14ac:dyDescent="0.3">
      <c r="A763" t="s">
        <v>1809</v>
      </c>
      <c r="B763" t="s">
        <v>792</v>
      </c>
      <c r="C763" s="1">
        <v>45588</v>
      </c>
      <c r="E763" t="s">
        <v>39</v>
      </c>
      <c r="F763">
        <v>16</v>
      </c>
      <c r="G763" s="12">
        <v>784</v>
      </c>
      <c r="H763" s="12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1050</v>
      </c>
      <c r="N763" t="b">
        <v>1</v>
      </c>
    </row>
    <row r="764" spans="1:14" x14ac:dyDescent="0.3">
      <c r="A764" t="s">
        <v>1810</v>
      </c>
      <c r="B764" t="s">
        <v>398</v>
      </c>
      <c r="C764" s="1">
        <v>45543</v>
      </c>
      <c r="E764" t="s">
        <v>32</v>
      </c>
      <c r="F764">
        <v>16</v>
      </c>
      <c r="G764" s="12">
        <v>3184</v>
      </c>
      <c r="H764" s="12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1050</v>
      </c>
      <c r="N764" t="b">
        <v>1</v>
      </c>
    </row>
    <row r="765" spans="1:14" x14ac:dyDescent="0.3">
      <c r="A765" t="s">
        <v>1811</v>
      </c>
      <c r="B765" t="s">
        <v>382</v>
      </c>
      <c r="C765" s="1">
        <v>44980</v>
      </c>
      <c r="E765" t="s">
        <v>39</v>
      </c>
      <c r="F765">
        <v>16</v>
      </c>
      <c r="G765" s="12">
        <v>784</v>
      </c>
      <c r="H765" s="12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1047</v>
      </c>
      <c r="N765" t="b">
        <v>1</v>
      </c>
    </row>
    <row r="766" spans="1:14" x14ac:dyDescent="0.3">
      <c r="A766" t="s">
        <v>1812</v>
      </c>
      <c r="B766" t="s">
        <v>388</v>
      </c>
      <c r="C766" s="1">
        <v>45615</v>
      </c>
      <c r="E766" t="s">
        <v>32</v>
      </c>
      <c r="F766">
        <v>5</v>
      </c>
      <c r="G766" s="12">
        <v>995</v>
      </c>
      <c r="H766" s="12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1047</v>
      </c>
      <c r="N766" t="b">
        <v>1</v>
      </c>
    </row>
    <row r="767" spans="1:14" x14ac:dyDescent="0.3">
      <c r="A767" t="s">
        <v>1813</v>
      </c>
      <c r="B767" t="s">
        <v>828</v>
      </c>
      <c r="C767" s="1">
        <v>45529</v>
      </c>
      <c r="E767" t="s">
        <v>39</v>
      </c>
      <c r="F767">
        <v>69</v>
      </c>
      <c r="G767" s="12">
        <v>3381</v>
      </c>
      <c r="H767" s="12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1050</v>
      </c>
      <c r="N767" t="b">
        <v>1</v>
      </c>
    </row>
    <row r="768" spans="1:14" x14ac:dyDescent="0.3">
      <c r="A768" t="s">
        <v>1814</v>
      </c>
      <c r="B768" t="s">
        <v>718</v>
      </c>
      <c r="C768" s="1">
        <v>45648</v>
      </c>
      <c r="E768" t="s">
        <v>39</v>
      </c>
      <c r="F768">
        <v>5</v>
      </c>
      <c r="G768" s="12">
        <v>245</v>
      </c>
      <c r="H768" s="12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1050</v>
      </c>
      <c r="N768" t="b">
        <v>1</v>
      </c>
    </row>
    <row r="769" spans="1:14" x14ac:dyDescent="0.3">
      <c r="A769" t="s">
        <v>1815</v>
      </c>
      <c r="B769" t="s">
        <v>940</v>
      </c>
      <c r="C769" s="1">
        <v>45430</v>
      </c>
      <c r="E769" t="s">
        <v>39</v>
      </c>
      <c r="F769">
        <v>7</v>
      </c>
      <c r="G769" s="12">
        <v>343</v>
      </c>
      <c r="H769" s="12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1050</v>
      </c>
      <c r="N769" t="b">
        <v>1</v>
      </c>
    </row>
    <row r="770" spans="1:14" x14ac:dyDescent="0.3">
      <c r="A770" t="s">
        <v>1816</v>
      </c>
      <c r="B770" t="s">
        <v>504</v>
      </c>
      <c r="C770" s="1">
        <v>45210</v>
      </c>
      <c r="E770" t="s">
        <v>15</v>
      </c>
      <c r="F770">
        <v>18</v>
      </c>
      <c r="G770" s="12">
        <v>342</v>
      </c>
      <c r="H770" s="12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1050</v>
      </c>
      <c r="N770" t="b">
        <v>1</v>
      </c>
    </row>
    <row r="771" spans="1:14" x14ac:dyDescent="0.3">
      <c r="A771" t="s">
        <v>1817</v>
      </c>
      <c r="B771" t="s">
        <v>460</v>
      </c>
      <c r="C771" s="1">
        <v>45655</v>
      </c>
      <c r="E771" t="s">
        <v>32</v>
      </c>
      <c r="F771">
        <v>44</v>
      </c>
      <c r="G771" s="12">
        <v>8756</v>
      </c>
      <c r="H771" s="12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1050</v>
      </c>
      <c r="N771" t="b">
        <v>1</v>
      </c>
    </row>
    <row r="772" spans="1:14" x14ac:dyDescent="0.3">
      <c r="A772" t="s">
        <v>1818</v>
      </c>
      <c r="B772" t="s">
        <v>898</v>
      </c>
      <c r="C772" s="1">
        <v>45302</v>
      </c>
      <c r="D772" s="1">
        <v>45384</v>
      </c>
      <c r="E772" t="s">
        <v>15</v>
      </c>
      <c r="F772">
        <v>1</v>
      </c>
      <c r="G772" s="12">
        <v>0</v>
      </c>
      <c r="H772" s="1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1050</v>
      </c>
      <c r="N772" t="b">
        <v>1</v>
      </c>
    </row>
    <row r="773" spans="1:14" x14ac:dyDescent="0.3">
      <c r="A773" t="s">
        <v>1819</v>
      </c>
      <c r="B773" t="s">
        <v>262</v>
      </c>
      <c r="C773" s="1">
        <v>45330</v>
      </c>
      <c r="E773" t="s">
        <v>39</v>
      </c>
      <c r="F773">
        <v>14</v>
      </c>
      <c r="G773" s="12">
        <v>686</v>
      </c>
      <c r="H773" s="12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1050</v>
      </c>
      <c r="N773" t="b">
        <v>1</v>
      </c>
    </row>
    <row r="774" spans="1:14" x14ac:dyDescent="0.3">
      <c r="A774" t="s">
        <v>1820</v>
      </c>
      <c r="B774" t="s">
        <v>756</v>
      </c>
      <c r="C774" s="1">
        <v>45245</v>
      </c>
      <c r="D774" s="1">
        <v>45575</v>
      </c>
      <c r="E774" t="s">
        <v>32</v>
      </c>
      <c r="F774">
        <v>15</v>
      </c>
      <c r="G774" s="12">
        <v>0</v>
      </c>
      <c r="H774" s="12">
        <v>0</v>
      </c>
      <c r="I774" t="b">
        <v>1</v>
      </c>
      <c r="J774" t="b">
        <v>0</v>
      </c>
      <c r="K774" t="b">
        <v>0</v>
      </c>
      <c r="L774" t="b">
        <v>1</v>
      </c>
      <c r="M774" t="s">
        <v>1050</v>
      </c>
      <c r="N774" t="b">
        <v>0</v>
      </c>
    </row>
    <row r="775" spans="1:14" x14ac:dyDescent="0.3">
      <c r="A775" t="s">
        <v>1821</v>
      </c>
      <c r="B775" t="s">
        <v>306</v>
      </c>
      <c r="C775" s="1">
        <v>45646</v>
      </c>
      <c r="E775" t="s">
        <v>39</v>
      </c>
      <c r="F775">
        <v>20</v>
      </c>
      <c r="G775" s="12">
        <v>980</v>
      </c>
      <c r="H775" s="12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1050</v>
      </c>
      <c r="N775" t="b">
        <v>0</v>
      </c>
    </row>
    <row r="776" spans="1:14" x14ac:dyDescent="0.3">
      <c r="A776" t="s">
        <v>1822</v>
      </c>
      <c r="B776" t="s">
        <v>794</v>
      </c>
      <c r="C776" s="1">
        <v>45647</v>
      </c>
      <c r="E776" t="s">
        <v>39</v>
      </c>
      <c r="F776">
        <v>31</v>
      </c>
      <c r="G776" s="12">
        <v>1519</v>
      </c>
      <c r="H776" s="12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1050</v>
      </c>
      <c r="N776" t="b">
        <v>0</v>
      </c>
    </row>
    <row r="777" spans="1:14" x14ac:dyDescent="0.3">
      <c r="A777" t="s">
        <v>1823</v>
      </c>
      <c r="B777" t="s">
        <v>200</v>
      </c>
      <c r="C777" s="1">
        <v>45333</v>
      </c>
      <c r="D777" s="1">
        <v>45397</v>
      </c>
      <c r="E777" t="s">
        <v>15</v>
      </c>
      <c r="F777">
        <v>17</v>
      </c>
      <c r="G777" s="12">
        <v>323</v>
      </c>
      <c r="H777" s="12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1047</v>
      </c>
      <c r="N777" t="b">
        <v>1</v>
      </c>
    </row>
    <row r="778" spans="1:14" x14ac:dyDescent="0.3">
      <c r="A778" t="s">
        <v>1824</v>
      </c>
      <c r="B778" t="s">
        <v>706</v>
      </c>
      <c r="C778" s="1">
        <v>45537</v>
      </c>
      <c r="E778" t="s">
        <v>32</v>
      </c>
      <c r="F778">
        <v>27</v>
      </c>
      <c r="G778" s="12">
        <v>5373</v>
      </c>
      <c r="H778" s="12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1047</v>
      </c>
      <c r="N778" t="b">
        <v>1</v>
      </c>
    </row>
    <row r="779" spans="1:14" x14ac:dyDescent="0.3">
      <c r="A779" t="s">
        <v>1825</v>
      </c>
      <c r="B779" t="s">
        <v>244</v>
      </c>
      <c r="C779" s="1">
        <v>45608</v>
      </c>
      <c r="E779" t="s">
        <v>39</v>
      </c>
      <c r="F779">
        <v>25</v>
      </c>
      <c r="G779" s="12">
        <v>1225</v>
      </c>
      <c r="H779" s="12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1047</v>
      </c>
      <c r="N779" t="b">
        <v>0</v>
      </c>
    </row>
    <row r="780" spans="1:14" x14ac:dyDescent="0.3">
      <c r="A780" t="s">
        <v>1826</v>
      </c>
      <c r="B780" t="s">
        <v>126</v>
      </c>
      <c r="C780" s="1">
        <v>45600</v>
      </c>
      <c r="D780" s="1">
        <v>45635</v>
      </c>
      <c r="E780" t="s">
        <v>39</v>
      </c>
      <c r="F780">
        <v>6</v>
      </c>
      <c r="G780" s="12">
        <v>0</v>
      </c>
      <c r="H780" s="12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1047</v>
      </c>
      <c r="N780" t="b">
        <v>0</v>
      </c>
    </row>
    <row r="781" spans="1:14" x14ac:dyDescent="0.3">
      <c r="A781" t="s">
        <v>1827</v>
      </c>
      <c r="B781" t="s">
        <v>53</v>
      </c>
      <c r="C781" s="1">
        <v>45509</v>
      </c>
      <c r="E781" t="s">
        <v>32</v>
      </c>
      <c r="F781">
        <v>14</v>
      </c>
      <c r="G781" s="12">
        <v>2786</v>
      </c>
      <c r="H781" s="12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1047</v>
      </c>
      <c r="N781" t="b">
        <v>1</v>
      </c>
    </row>
    <row r="782" spans="1:14" x14ac:dyDescent="0.3">
      <c r="A782" t="s">
        <v>1828</v>
      </c>
      <c r="B782" t="s">
        <v>136</v>
      </c>
      <c r="C782" s="1">
        <v>45413</v>
      </c>
      <c r="E782" t="s">
        <v>32</v>
      </c>
      <c r="F782">
        <v>26</v>
      </c>
      <c r="G782" s="12">
        <v>5174</v>
      </c>
      <c r="H782" s="1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1047</v>
      </c>
      <c r="N782" t="b">
        <v>0</v>
      </c>
    </row>
    <row r="783" spans="1:14" x14ac:dyDescent="0.3">
      <c r="A783" t="s">
        <v>1829</v>
      </c>
      <c r="B783" t="s">
        <v>116</v>
      </c>
      <c r="C783" s="1">
        <v>45398</v>
      </c>
      <c r="E783" t="s">
        <v>39</v>
      </c>
      <c r="F783">
        <v>31</v>
      </c>
      <c r="G783" s="12">
        <v>1519</v>
      </c>
      <c r="H783" s="12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1047</v>
      </c>
      <c r="N783" t="b">
        <v>1</v>
      </c>
    </row>
    <row r="784" spans="1:14" x14ac:dyDescent="0.3">
      <c r="A784" t="s">
        <v>1830</v>
      </c>
      <c r="B784" t="s">
        <v>282</v>
      </c>
      <c r="C784" s="1">
        <v>45621</v>
      </c>
      <c r="E784" t="s">
        <v>39</v>
      </c>
      <c r="F784">
        <v>33</v>
      </c>
      <c r="G784" s="12">
        <v>1617</v>
      </c>
      <c r="H784" s="12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1047</v>
      </c>
      <c r="N784" t="b">
        <v>0</v>
      </c>
    </row>
    <row r="785" spans="1:14" x14ac:dyDescent="0.3">
      <c r="A785" t="s">
        <v>1831</v>
      </c>
      <c r="B785" t="s">
        <v>164</v>
      </c>
      <c r="C785" s="1">
        <v>45611</v>
      </c>
      <c r="E785" t="s">
        <v>15</v>
      </c>
      <c r="F785">
        <v>4</v>
      </c>
      <c r="G785" s="12">
        <v>0</v>
      </c>
      <c r="H785" s="12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1047</v>
      </c>
      <c r="N785" t="b">
        <v>1</v>
      </c>
    </row>
    <row r="786" spans="1:14" x14ac:dyDescent="0.3">
      <c r="A786" t="s">
        <v>1832</v>
      </c>
      <c r="B786" t="s">
        <v>61</v>
      </c>
      <c r="C786" s="1">
        <v>45500</v>
      </c>
      <c r="E786" t="s">
        <v>39</v>
      </c>
      <c r="F786">
        <v>29</v>
      </c>
      <c r="G786" s="12">
        <v>1421</v>
      </c>
      <c r="H786" s="12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1050</v>
      </c>
      <c r="N786" t="b">
        <v>1</v>
      </c>
    </row>
    <row r="787" spans="1:14" x14ac:dyDescent="0.3">
      <c r="A787" t="s">
        <v>1833</v>
      </c>
      <c r="B787" t="s">
        <v>914</v>
      </c>
      <c r="C787" s="1">
        <v>45635</v>
      </c>
      <c r="E787" t="s">
        <v>39</v>
      </c>
      <c r="F787">
        <v>13</v>
      </c>
      <c r="G787" s="12">
        <v>0</v>
      </c>
      <c r="H787" s="12">
        <v>0</v>
      </c>
      <c r="I787" t="b">
        <v>1</v>
      </c>
      <c r="J787" t="b">
        <v>0</v>
      </c>
      <c r="K787" t="b">
        <v>0</v>
      </c>
      <c r="L787" t="b">
        <v>0</v>
      </c>
      <c r="M787" t="s">
        <v>1050</v>
      </c>
      <c r="N787" t="b">
        <v>0</v>
      </c>
    </row>
    <row r="788" spans="1:14" x14ac:dyDescent="0.3">
      <c r="A788" t="s">
        <v>1834</v>
      </c>
      <c r="B788" t="s">
        <v>590</v>
      </c>
      <c r="C788" s="1">
        <v>45597</v>
      </c>
      <c r="E788" t="s">
        <v>15</v>
      </c>
      <c r="F788">
        <v>3</v>
      </c>
      <c r="G788" s="12">
        <v>57</v>
      </c>
      <c r="H788" s="12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1047</v>
      </c>
      <c r="N788" t="b">
        <v>1</v>
      </c>
    </row>
    <row r="789" spans="1:14" x14ac:dyDescent="0.3">
      <c r="A789" t="s">
        <v>1835</v>
      </c>
      <c r="B789" t="s">
        <v>634</v>
      </c>
      <c r="C789" s="1">
        <v>45640</v>
      </c>
      <c r="E789" t="s">
        <v>32</v>
      </c>
      <c r="F789">
        <v>34</v>
      </c>
      <c r="G789" s="12">
        <v>6766</v>
      </c>
      <c r="H789" s="12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1050</v>
      </c>
      <c r="N789" t="b">
        <v>0</v>
      </c>
    </row>
    <row r="790" spans="1:14" x14ac:dyDescent="0.3">
      <c r="A790" t="s">
        <v>1836</v>
      </c>
      <c r="B790" t="s">
        <v>566</v>
      </c>
      <c r="C790" s="1">
        <v>45630</v>
      </c>
      <c r="E790" t="s">
        <v>32</v>
      </c>
      <c r="F790">
        <v>30</v>
      </c>
      <c r="G790" s="12">
        <v>5970</v>
      </c>
      <c r="H790" s="12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1050</v>
      </c>
      <c r="N790" t="b">
        <v>1</v>
      </c>
    </row>
    <row r="791" spans="1:14" x14ac:dyDescent="0.3">
      <c r="A791" t="s">
        <v>1837</v>
      </c>
      <c r="B791" t="s">
        <v>960</v>
      </c>
      <c r="C791" s="1">
        <v>45479</v>
      </c>
      <c r="E791" t="s">
        <v>39</v>
      </c>
      <c r="F791">
        <v>35</v>
      </c>
      <c r="G791" s="12">
        <v>1715</v>
      </c>
      <c r="H791" s="12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1047</v>
      </c>
      <c r="N791" t="b">
        <v>0</v>
      </c>
    </row>
    <row r="792" spans="1:14" x14ac:dyDescent="0.3">
      <c r="A792" t="s">
        <v>1838</v>
      </c>
      <c r="B792" t="s">
        <v>854</v>
      </c>
      <c r="C792" s="1">
        <v>45298</v>
      </c>
      <c r="E792" t="s">
        <v>39</v>
      </c>
      <c r="F792">
        <v>50</v>
      </c>
      <c r="G792" s="12">
        <v>0</v>
      </c>
      <c r="H792" s="1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1050</v>
      </c>
      <c r="N792" t="b">
        <v>1</v>
      </c>
    </row>
    <row r="793" spans="1:14" x14ac:dyDescent="0.3">
      <c r="A793" t="s">
        <v>1839</v>
      </c>
      <c r="B793" t="s">
        <v>404</v>
      </c>
      <c r="C793" s="1">
        <v>45563</v>
      </c>
      <c r="E793" t="s">
        <v>39</v>
      </c>
      <c r="F793">
        <v>4</v>
      </c>
      <c r="G793" s="12">
        <v>196</v>
      </c>
      <c r="H793" s="12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1047</v>
      </c>
      <c r="N793" t="b">
        <v>1</v>
      </c>
    </row>
    <row r="794" spans="1:14" x14ac:dyDescent="0.3">
      <c r="A794" t="s">
        <v>1840</v>
      </c>
      <c r="B794" t="s">
        <v>340</v>
      </c>
      <c r="C794" s="1">
        <v>45606</v>
      </c>
      <c r="E794" t="s">
        <v>15</v>
      </c>
      <c r="F794">
        <v>9</v>
      </c>
      <c r="G794" s="12">
        <v>0</v>
      </c>
      <c r="H794" s="12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1047</v>
      </c>
      <c r="N794" t="b">
        <v>1</v>
      </c>
    </row>
    <row r="795" spans="1:14" x14ac:dyDescent="0.3">
      <c r="A795" t="s">
        <v>1841</v>
      </c>
      <c r="B795" t="s">
        <v>382</v>
      </c>
      <c r="C795" s="1">
        <v>45253</v>
      </c>
      <c r="E795" t="s">
        <v>39</v>
      </c>
      <c r="F795">
        <v>36</v>
      </c>
      <c r="G795" s="12">
        <v>1764</v>
      </c>
      <c r="H795" s="12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1047</v>
      </c>
      <c r="N795" t="b">
        <v>0</v>
      </c>
    </row>
    <row r="796" spans="1:14" x14ac:dyDescent="0.3">
      <c r="A796" t="s">
        <v>1842</v>
      </c>
      <c r="B796" t="s">
        <v>734</v>
      </c>
      <c r="C796" s="1">
        <v>45612</v>
      </c>
      <c r="E796" t="s">
        <v>39</v>
      </c>
      <c r="F796">
        <v>36</v>
      </c>
      <c r="G796" s="12">
        <v>1764</v>
      </c>
      <c r="H796" s="12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1050</v>
      </c>
      <c r="N796" t="b">
        <v>1</v>
      </c>
    </row>
    <row r="797" spans="1:14" x14ac:dyDescent="0.3">
      <c r="A797" t="s">
        <v>1843</v>
      </c>
      <c r="B797" t="s">
        <v>29</v>
      </c>
      <c r="C797" s="1">
        <v>45647</v>
      </c>
      <c r="D797" s="1">
        <v>45656</v>
      </c>
      <c r="E797" t="s">
        <v>39</v>
      </c>
      <c r="F797">
        <v>35</v>
      </c>
      <c r="G797" s="12">
        <v>1715</v>
      </c>
      <c r="H797" s="12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1047</v>
      </c>
      <c r="N797" t="b">
        <v>1</v>
      </c>
    </row>
    <row r="798" spans="1:14" x14ac:dyDescent="0.3">
      <c r="A798" t="s">
        <v>1844</v>
      </c>
      <c r="B798" t="s">
        <v>844</v>
      </c>
      <c r="C798" s="1">
        <v>45356</v>
      </c>
      <c r="E798" t="s">
        <v>32</v>
      </c>
      <c r="F798">
        <v>5</v>
      </c>
      <c r="G798" s="12">
        <v>995</v>
      </c>
      <c r="H798" s="12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1050</v>
      </c>
      <c r="N798" t="b">
        <v>1</v>
      </c>
    </row>
    <row r="799" spans="1:14" x14ac:dyDescent="0.3">
      <c r="A799" t="s">
        <v>1845</v>
      </c>
      <c r="B799" t="s">
        <v>222</v>
      </c>
      <c r="C799" s="1">
        <v>45549</v>
      </c>
      <c r="E799" t="s">
        <v>32</v>
      </c>
      <c r="F799">
        <v>28</v>
      </c>
      <c r="G799" s="12">
        <v>5572</v>
      </c>
      <c r="H799" s="12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1050</v>
      </c>
      <c r="N799" t="b">
        <v>1</v>
      </c>
    </row>
    <row r="800" spans="1:14" x14ac:dyDescent="0.3">
      <c r="A800" t="s">
        <v>1846</v>
      </c>
      <c r="B800" t="s">
        <v>434</v>
      </c>
      <c r="C800" s="1">
        <v>45377</v>
      </c>
      <c r="E800" t="s">
        <v>15</v>
      </c>
      <c r="F800">
        <v>67</v>
      </c>
      <c r="G800" s="12">
        <v>1273</v>
      </c>
      <c r="H800" s="12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1050</v>
      </c>
      <c r="N800" t="b">
        <v>1</v>
      </c>
    </row>
    <row r="801" spans="1:14" x14ac:dyDescent="0.3">
      <c r="A801" t="s">
        <v>1847</v>
      </c>
      <c r="B801" t="s">
        <v>878</v>
      </c>
      <c r="C801" s="1">
        <v>45513</v>
      </c>
      <c r="E801" t="s">
        <v>15</v>
      </c>
      <c r="F801">
        <v>40</v>
      </c>
      <c r="G801" s="12">
        <v>760</v>
      </c>
      <c r="H801" s="12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1050</v>
      </c>
      <c r="N801" t="b">
        <v>1</v>
      </c>
    </row>
    <row r="802" spans="1:14" x14ac:dyDescent="0.3">
      <c r="A802" t="s">
        <v>1848</v>
      </c>
      <c r="B802" t="s">
        <v>110</v>
      </c>
      <c r="C802" s="1">
        <v>45482</v>
      </c>
      <c r="E802" t="s">
        <v>32</v>
      </c>
      <c r="F802">
        <v>32</v>
      </c>
      <c r="G802" s="12">
        <v>6368</v>
      </c>
      <c r="H802" s="1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1047</v>
      </c>
      <c r="N802" t="b">
        <v>1</v>
      </c>
    </row>
    <row r="803" spans="1:14" x14ac:dyDescent="0.3">
      <c r="A803" t="s">
        <v>1849</v>
      </c>
      <c r="B803" t="s">
        <v>558</v>
      </c>
      <c r="C803" s="1">
        <v>45637</v>
      </c>
      <c r="E803" t="s">
        <v>32</v>
      </c>
      <c r="F803">
        <v>14</v>
      </c>
      <c r="G803" s="12">
        <v>2786</v>
      </c>
      <c r="H803" s="12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1050</v>
      </c>
      <c r="N803" t="b">
        <v>1</v>
      </c>
    </row>
    <row r="804" spans="1:14" x14ac:dyDescent="0.3">
      <c r="A804" t="s">
        <v>1850</v>
      </c>
      <c r="B804" t="s">
        <v>320</v>
      </c>
      <c r="C804" s="1">
        <v>45569</v>
      </c>
      <c r="E804" t="s">
        <v>32</v>
      </c>
      <c r="F804">
        <v>24</v>
      </c>
      <c r="G804" s="12">
        <v>4776</v>
      </c>
      <c r="H804" s="12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1050</v>
      </c>
      <c r="N804" t="b">
        <v>1</v>
      </c>
    </row>
    <row r="805" spans="1:14" x14ac:dyDescent="0.3">
      <c r="A805" t="s">
        <v>1851</v>
      </c>
      <c r="B805" t="s">
        <v>452</v>
      </c>
      <c r="C805" s="1">
        <v>45489</v>
      </c>
      <c r="E805" t="s">
        <v>15</v>
      </c>
      <c r="F805">
        <v>20</v>
      </c>
      <c r="G805" s="12">
        <v>0</v>
      </c>
      <c r="H805" s="12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1047</v>
      </c>
      <c r="N805" t="b">
        <v>1</v>
      </c>
    </row>
    <row r="806" spans="1:14" x14ac:dyDescent="0.3">
      <c r="A806" t="s">
        <v>1852</v>
      </c>
      <c r="B806" t="s">
        <v>168</v>
      </c>
      <c r="C806" s="1">
        <v>45557</v>
      </c>
      <c r="E806" t="s">
        <v>15</v>
      </c>
      <c r="F806">
        <v>21</v>
      </c>
      <c r="G806" s="12">
        <v>399</v>
      </c>
      <c r="H806" s="12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1050</v>
      </c>
      <c r="N806" t="b">
        <v>1</v>
      </c>
    </row>
    <row r="807" spans="1:14" x14ac:dyDescent="0.3">
      <c r="A807" t="s">
        <v>1853</v>
      </c>
      <c r="B807" t="s">
        <v>662</v>
      </c>
      <c r="C807" s="1">
        <v>45644</v>
      </c>
      <c r="E807" t="s">
        <v>39</v>
      </c>
      <c r="F807">
        <v>41</v>
      </c>
      <c r="G807" s="12">
        <v>2009</v>
      </c>
      <c r="H807" s="12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1050</v>
      </c>
      <c r="N807" t="b">
        <v>1</v>
      </c>
    </row>
    <row r="808" spans="1:14" x14ac:dyDescent="0.3">
      <c r="A808" t="s">
        <v>1854</v>
      </c>
      <c r="B808" t="s">
        <v>222</v>
      </c>
      <c r="C808" s="1">
        <v>45503</v>
      </c>
      <c r="E808" t="s">
        <v>15</v>
      </c>
      <c r="F808">
        <v>6</v>
      </c>
      <c r="G808" s="12">
        <v>114</v>
      </c>
      <c r="H808" s="12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1047</v>
      </c>
      <c r="N808" t="b">
        <v>1</v>
      </c>
    </row>
    <row r="809" spans="1:14" x14ac:dyDescent="0.3">
      <c r="A809" t="s">
        <v>1855</v>
      </c>
      <c r="B809" t="s">
        <v>78</v>
      </c>
      <c r="C809" s="1">
        <v>45539</v>
      </c>
      <c r="E809" t="s">
        <v>15</v>
      </c>
      <c r="F809">
        <v>26</v>
      </c>
      <c r="G809" s="12">
        <v>494</v>
      </c>
      <c r="H809" s="12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1047</v>
      </c>
      <c r="N809" t="b">
        <v>0</v>
      </c>
    </row>
    <row r="810" spans="1:14" x14ac:dyDescent="0.3">
      <c r="A810" t="s">
        <v>1856</v>
      </c>
      <c r="B810" t="s">
        <v>1024</v>
      </c>
      <c r="C810" s="1">
        <v>45609</v>
      </c>
      <c r="D810" s="1">
        <v>45626</v>
      </c>
      <c r="E810" t="s">
        <v>39</v>
      </c>
      <c r="F810">
        <v>18</v>
      </c>
      <c r="G810" s="12">
        <v>882</v>
      </c>
      <c r="H810" s="12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1047</v>
      </c>
      <c r="N810" t="b">
        <v>1</v>
      </c>
    </row>
    <row r="811" spans="1:14" x14ac:dyDescent="0.3">
      <c r="A811" t="s">
        <v>1857</v>
      </c>
      <c r="B811" t="s">
        <v>762</v>
      </c>
      <c r="C811" s="1">
        <v>45417</v>
      </c>
      <c r="E811" t="s">
        <v>32</v>
      </c>
      <c r="F811">
        <v>50</v>
      </c>
      <c r="G811" s="12">
        <v>9950</v>
      </c>
      <c r="H811" s="12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1047</v>
      </c>
      <c r="N811" t="b">
        <v>1</v>
      </c>
    </row>
    <row r="812" spans="1:14" x14ac:dyDescent="0.3">
      <c r="A812" t="s">
        <v>1858</v>
      </c>
      <c r="B812" t="s">
        <v>268</v>
      </c>
      <c r="C812" s="1">
        <v>45371</v>
      </c>
      <c r="E812" t="s">
        <v>15</v>
      </c>
      <c r="F812">
        <v>17</v>
      </c>
      <c r="G812" s="12">
        <v>323</v>
      </c>
      <c r="H812" s="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1047</v>
      </c>
      <c r="N812" t="b">
        <v>1</v>
      </c>
    </row>
    <row r="813" spans="1:14" x14ac:dyDescent="0.3">
      <c r="A813" t="s">
        <v>1859</v>
      </c>
      <c r="B813" t="s">
        <v>534</v>
      </c>
      <c r="C813" s="1">
        <v>45409</v>
      </c>
      <c r="E813" t="s">
        <v>39</v>
      </c>
      <c r="F813">
        <v>19</v>
      </c>
      <c r="G813" s="12">
        <v>931</v>
      </c>
      <c r="H813" s="12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1050</v>
      </c>
      <c r="N813" t="b">
        <v>1</v>
      </c>
    </row>
    <row r="814" spans="1:14" x14ac:dyDescent="0.3">
      <c r="A814" t="s">
        <v>1860</v>
      </c>
      <c r="B814" t="s">
        <v>348</v>
      </c>
      <c r="C814" s="1">
        <v>45626</v>
      </c>
      <c r="E814" t="s">
        <v>39</v>
      </c>
      <c r="F814">
        <v>54</v>
      </c>
      <c r="G814" s="12">
        <v>2646</v>
      </c>
      <c r="H814" s="12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1050</v>
      </c>
      <c r="N814" t="b">
        <v>0</v>
      </c>
    </row>
    <row r="815" spans="1:14" x14ac:dyDescent="0.3">
      <c r="A815" t="s">
        <v>1861</v>
      </c>
      <c r="B815" t="s">
        <v>742</v>
      </c>
      <c r="C815" s="1">
        <v>45106</v>
      </c>
      <c r="E815" t="s">
        <v>39</v>
      </c>
      <c r="F815">
        <v>68</v>
      </c>
      <c r="G815" s="12">
        <v>3332</v>
      </c>
      <c r="H815" s="12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1047</v>
      </c>
      <c r="N815" t="b">
        <v>1</v>
      </c>
    </row>
    <row r="816" spans="1:14" x14ac:dyDescent="0.3">
      <c r="A816" t="s">
        <v>1862</v>
      </c>
      <c r="B816" t="s">
        <v>892</v>
      </c>
      <c r="C816" s="1">
        <v>45646</v>
      </c>
      <c r="E816" t="s">
        <v>15</v>
      </c>
      <c r="F816">
        <v>23</v>
      </c>
      <c r="G816" s="12">
        <v>437</v>
      </c>
      <c r="H816" s="12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1047</v>
      </c>
      <c r="N816" t="b">
        <v>1</v>
      </c>
    </row>
    <row r="817" spans="1:14" x14ac:dyDescent="0.3">
      <c r="A817" t="s">
        <v>1863</v>
      </c>
      <c r="B817" t="s">
        <v>302</v>
      </c>
      <c r="C817" s="1">
        <v>45642</v>
      </c>
      <c r="E817" t="s">
        <v>39</v>
      </c>
      <c r="F817">
        <v>47</v>
      </c>
      <c r="G817" s="12">
        <v>2303</v>
      </c>
      <c r="H817" s="12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1047</v>
      </c>
      <c r="N817" t="b">
        <v>1</v>
      </c>
    </row>
    <row r="818" spans="1:14" x14ac:dyDescent="0.3">
      <c r="A818" t="s">
        <v>1864</v>
      </c>
      <c r="B818" t="s">
        <v>586</v>
      </c>
      <c r="C818" s="1">
        <v>45622</v>
      </c>
      <c r="E818" t="s">
        <v>15</v>
      </c>
      <c r="F818">
        <v>13</v>
      </c>
      <c r="G818" s="12">
        <v>247</v>
      </c>
      <c r="H818" s="12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1047</v>
      </c>
      <c r="N818" t="b">
        <v>0</v>
      </c>
    </row>
    <row r="819" spans="1:14" x14ac:dyDescent="0.3">
      <c r="A819" t="s">
        <v>1865</v>
      </c>
      <c r="B819" t="s">
        <v>946</v>
      </c>
      <c r="C819" s="1">
        <v>45649</v>
      </c>
      <c r="D819" s="1">
        <v>45655</v>
      </c>
      <c r="E819" t="s">
        <v>39</v>
      </c>
      <c r="F819">
        <v>5</v>
      </c>
      <c r="G819" s="12">
        <v>245</v>
      </c>
      <c r="H819" s="12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1047</v>
      </c>
      <c r="N819" t="b">
        <v>1</v>
      </c>
    </row>
    <row r="820" spans="1:14" x14ac:dyDescent="0.3">
      <c r="A820" t="s">
        <v>1866</v>
      </c>
      <c r="B820" t="s">
        <v>154</v>
      </c>
      <c r="C820" s="1">
        <v>45652</v>
      </c>
      <c r="D820" s="1">
        <v>45655</v>
      </c>
      <c r="E820" t="s">
        <v>15</v>
      </c>
      <c r="F820">
        <v>33</v>
      </c>
      <c r="G820" s="12">
        <v>627</v>
      </c>
      <c r="H820" s="12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1050</v>
      </c>
      <c r="N820" t="b">
        <v>1</v>
      </c>
    </row>
    <row r="821" spans="1:14" x14ac:dyDescent="0.3">
      <c r="A821" t="s">
        <v>1867</v>
      </c>
      <c r="B821" t="s">
        <v>282</v>
      </c>
      <c r="C821" s="1">
        <v>45589</v>
      </c>
      <c r="E821" t="s">
        <v>15</v>
      </c>
      <c r="F821">
        <v>33</v>
      </c>
      <c r="G821" s="12">
        <v>627</v>
      </c>
      <c r="H821" s="12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1050</v>
      </c>
      <c r="N821" t="b">
        <v>1</v>
      </c>
    </row>
    <row r="822" spans="1:14" x14ac:dyDescent="0.3">
      <c r="A822" t="s">
        <v>1868</v>
      </c>
      <c r="B822" t="s">
        <v>782</v>
      </c>
      <c r="C822" s="1">
        <v>45066</v>
      </c>
      <c r="D822" s="1">
        <v>45279</v>
      </c>
      <c r="E822" t="s">
        <v>32</v>
      </c>
      <c r="F822">
        <v>89</v>
      </c>
      <c r="G822" s="12">
        <v>17711</v>
      </c>
      <c r="H822" s="1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1050</v>
      </c>
      <c r="N822" t="b">
        <v>1</v>
      </c>
    </row>
    <row r="823" spans="1:14" x14ac:dyDescent="0.3">
      <c r="A823" t="s">
        <v>1869</v>
      </c>
      <c r="B823" t="s">
        <v>428</v>
      </c>
      <c r="C823" s="1">
        <v>45362</v>
      </c>
      <c r="E823" t="s">
        <v>39</v>
      </c>
      <c r="F823">
        <v>58</v>
      </c>
      <c r="G823" s="12">
        <v>2842</v>
      </c>
      <c r="H823" s="12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1047</v>
      </c>
      <c r="N823" t="b">
        <v>0</v>
      </c>
    </row>
    <row r="824" spans="1:14" x14ac:dyDescent="0.3">
      <c r="A824" t="s">
        <v>1870</v>
      </c>
      <c r="B824" t="s">
        <v>674</v>
      </c>
      <c r="C824" s="1">
        <v>45644</v>
      </c>
      <c r="E824" t="s">
        <v>15</v>
      </c>
      <c r="F824">
        <v>42</v>
      </c>
      <c r="G824" s="12">
        <v>798</v>
      </c>
      <c r="H824" s="12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1047</v>
      </c>
      <c r="N824" t="b">
        <v>1</v>
      </c>
    </row>
    <row r="825" spans="1:14" x14ac:dyDescent="0.3">
      <c r="A825" t="s">
        <v>1871</v>
      </c>
      <c r="B825" t="s">
        <v>288</v>
      </c>
      <c r="C825" s="1">
        <v>45604</v>
      </c>
      <c r="E825" t="s">
        <v>32</v>
      </c>
      <c r="F825">
        <v>3</v>
      </c>
      <c r="G825" s="12">
        <v>597</v>
      </c>
      <c r="H825" s="12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1050</v>
      </c>
      <c r="N825" t="b">
        <v>1</v>
      </c>
    </row>
    <row r="826" spans="1:14" x14ac:dyDescent="0.3">
      <c r="A826" t="s">
        <v>1872</v>
      </c>
      <c r="B826" t="s">
        <v>232</v>
      </c>
      <c r="C826" s="1">
        <v>45514</v>
      </c>
      <c r="E826" t="s">
        <v>15</v>
      </c>
      <c r="F826">
        <v>20</v>
      </c>
      <c r="G826" s="12">
        <v>380</v>
      </c>
      <c r="H826" s="12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1047</v>
      </c>
      <c r="N826" t="b">
        <v>1</v>
      </c>
    </row>
    <row r="827" spans="1:14" x14ac:dyDescent="0.3">
      <c r="A827" t="s">
        <v>1873</v>
      </c>
      <c r="B827" t="s">
        <v>1026</v>
      </c>
      <c r="C827" s="1">
        <v>45253</v>
      </c>
      <c r="E827" t="s">
        <v>15</v>
      </c>
      <c r="F827">
        <v>36</v>
      </c>
      <c r="G827" s="12">
        <v>684</v>
      </c>
      <c r="H827" s="12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1050</v>
      </c>
      <c r="N827" t="b">
        <v>1</v>
      </c>
    </row>
    <row r="828" spans="1:14" x14ac:dyDescent="0.3">
      <c r="A828" t="s">
        <v>1874</v>
      </c>
      <c r="B828" t="s">
        <v>362</v>
      </c>
      <c r="C828" s="1">
        <v>45192</v>
      </c>
      <c r="D828" s="1">
        <v>45598</v>
      </c>
      <c r="E828" t="s">
        <v>15</v>
      </c>
      <c r="F828">
        <v>73</v>
      </c>
      <c r="G828" s="12">
        <v>1387</v>
      </c>
      <c r="H828" s="12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1050</v>
      </c>
      <c r="N828" t="b">
        <v>1</v>
      </c>
    </row>
    <row r="829" spans="1:14" x14ac:dyDescent="0.3">
      <c r="A829" t="s">
        <v>1875</v>
      </c>
      <c r="B829" t="s">
        <v>628</v>
      </c>
      <c r="C829" s="1">
        <v>45223</v>
      </c>
      <c r="E829" t="s">
        <v>39</v>
      </c>
      <c r="F829">
        <v>59</v>
      </c>
      <c r="G829" s="12">
        <v>2891</v>
      </c>
      <c r="H829" s="12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1047</v>
      </c>
      <c r="N829" t="b">
        <v>1</v>
      </c>
    </row>
    <row r="830" spans="1:14" x14ac:dyDescent="0.3">
      <c r="A830" t="s">
        <v>1876</v>
      </c>
      <c r="B830" t="s">
        <v>29</v>
      </c>
      <c r="C830" s="1">
        <v>45597</v>
      </c>
      <c r="E830" t="s">
        <v>32</v>
      </c>
      <c r="F830">
        <v>54</v>
      </c>
      <c r="G830" s="12">
        <v>10746</v>
      </c>
      <c r="H830" s="12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1050</v>
      </c>
      <c r="N830" t="b">
        <v>0</v>
      </c>
    </row>
    <row r="831" spans="1:14" x14ac:dyDescent="0.3">
      <c r="A831" t="s">
        <v>1877</v>
      </c>
      <c r="B831" t="s">
        <v>734</v>
      </c>
      <c r="C831" s="1">
        <v>45626</v>
      </c>
      <c r="E831" t="s">
        <v>15</v>
      </c>
      <c r="F831">
        <v>29</v>
      </c>
      <c r="G831" s="12">
        <v>551</v>
      </c>
      <c r="H831" s="12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1050</v>
      </c>
      <c r="N831" t="b">
        <v>1</v>
      </c>
    </row>
    <row r="832" spans="1:14" x14ac:dyDescent="0.3">
      <c r="A832" t="s">
        <v>1878</v>
      </c>
      <c r="B832" t="s">
        <v>818</v>
      </c>
      <c r="C832" s="1">
        <v>45288</v>
      </c>
      <c r="E832" t="s">
        <v>15</v>
      </c>
      <c r="F832">
        <v>20</v>
      </c>
      <c r="G832" s="12">
        <v>380</v>
      </c>
      <c r="H832" s="1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1047</v>
      </c>
      <c r="N832" t="b">
        <v>1</v>
      </c>
    </row>
    <row r="833" spans="1:14" x14ac:dyDescent="0.3">
      <c r="A833" t="s">
        <v>1879</v>
      </c>
      <c r="B833" t="s">
        <v>540</v>
      </c>
      <c r="C833" s="1">
        <v>45592</v>
      </c>
      <c r="E833" t="s">
        <v>32</v>
      </c>
      <c r="F833">
        <v>60</v>
      </c>
      <c r="G833" s="12">
        <v>11940</v>
      </c>
      <c r="H833" s="12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1050</v>
      </c>
      <c r="N833" t="b">
        <v>1</v>
      </c>
    </row>
    <row r="834" spans="1:14" x14ac:dyDescent="0.3">
      <c r="A834" t="s">
        <v>1880</v>
      </c>
      <c r="B834" t="s">
        <v>982</v>
      </c>
      <c r="C834" s="1">
        <v>45144</v>
      </c>
      <c r="E834" t="s">
        <v>15</v>
      </c>
      <c r="F834">
        <v>20</v>
      </c>
      <c r="G834" s="12">
        <v>380</v>
      </c>
      <c r="H834" s="12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1050</v>
      </c>
      <c r="N834" t="b">
        <v>1</v>
      </c>
    </row>
    <row r="835" spans="1:14" x14ac:dyDescent="0.3">
      <c r="A835" t="s">
        <v>1881</v>
      </c>
      <c r="B835" t="s">
        <v>690</v>
      </c>
      <c r="C835" s="1">
        <v>45375</v>
      </c>
      <c r="E835" t="s">
        <v>32</v>
      </c>
      <c r="F835">
        <v>32</v>
      </c>
      <c r="G835" s="12">
        <v>6368</v>
      </c>
      <c r="H835" s="12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1047</v>
      </c>
      <c r="N835" t="b">
        <v>1</v>
      </c>
    </row>
    <row r="836" spans="1:14" x14ac:dyDescent="0.3">
      <c r="A836" t="s">
        <v>1882</v>
      </c>
      <c r="B836" t="s">
        <v>158</v>
      </c>
      <c r="C836" s="1">
        <v>45497</v>
      </c>
      <c r="E836" t="s">
        <v>15</v>
      </c>
      <c r="F836">
        <v>46</v>
      </c>
      <c r="G836" s="12">
        <v>874</v>
      </c>
      <c r="H836" s="12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1050</v>
      </c>
      <c r="N836" t="b">
        <v>1</v>
      </c>
    </row>
    <row r="837" spans="1:14" x14ac:dyDescent="0.3">
      <c r="A837" t="s">
        <v>1883</v>
      </c>
      <c r="B837" t="s">
        <v>600</v>
      </c>
      <c r="C837" s="1">
        <v>45466</v>
      </c>
      <c r="E837" t="s">
        <v>39</v>
      </c>
      <c r="F837">
        <v>4</v>
      </c>
      <c r="G837" s="12">
        <v>196</v>
      </c>
      <c r="H837" s="12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1047</v>
      </c>
      <c r="N837" t="b">
        <v>1</v>
      </c>
    </row>
    <row r="838" spans="1:14" x14ac:dyDescent="0.3">
      <c r="A838" t="s">
        <v>1884</v>
      </c>
      <c r="B838" t="s">
        <v>47</v>
      </c>
      <c r="C838" s="1">
        <v>45648</v>
      </c>
      <c r="E838" t="s">
        <v>39</v>
      </c>
      <c r="F838">
        <v>37</v>
      </c>
      <c r="G838" s="12">
        <v>1813</v>
      </c>
      <c r="H838" s="12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1050</v>
      </c>
      <c r="N838" t="b">
        <v>1</v>
      </c>
    </row>
    <row r="839" spans="1:14" x14ac:dyDescent="0.3">
      <c r="A839" t="s">
        <v>1885</v>
      </c>
      <c r="B839" t="s">
        <v>770</v>
      </c>
      <c r="C839" s="1">
        <v>45445</v>
      </c>
      <c r="D839" s="1">
        <v>45455</v>
      </c>
      <c r="E839" t="s">
        <v>39</v>
      </c>
      <c r="F839">
        <v>33</v>
      </c>
      <c r="G839" s="12">
        <v>1617</v>
      </c>
      <c r="H839" s="12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1050</v>
      </c>
      <c r="N839" t="b">
        <v>0</v>
      </c>
    </row>
    <row r="840" spans="1:14" x14ac:dyDescent="0.3">
      <c r="A840" t="s">
        <v>1886</v>
      </c>
      <c r="B840" t="s">
        <v>752</v>
      </c>
      <c r="C840" s="1">
        <v>45391</v>
      </c>
      <c r="E840" t="s">
        <v>32</v>
      </c>
      <c r="F840">
        <v>42</v>
      </c>
      <c r="G840" s="12">
        <v>8358</v>
      </c>
      <c r="H840" s="12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1050</v>
      </c>
      <c r="N840" t="b">
        <v>1</v>
      </c>
    </row>
    <row r="841" spans="1:14" x14ac:dyDescent="0.3">
      <c r="A841" t="s">
        <v>1887</v>
      </c>
      <c r="B841" t="s">
        <v>584</v>
      </c>
      <c r="C841" s="1">
        <v>45558</v>
      </c>
      <c r="E841" t="s">
        <v>15</v>
      </c>
      <c r="F841">
        <v>12</v>
      </c>
      <c r="G841" s="12">
        <v>228</v>
      </c>
      <c r="H841" s="12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1047</v>
      </c>
      <c r="N841" t="b">
        <v>1</v>
      </c>
    </row>
    <row r="842" spans="1:14" x14ac:dyDescent="0.3">
      <c r="A842" t="s">
        <v>1888</v>
      </c>
      <c r="B842" t="s">
        <v>586</v>
      </c>
      <c r="C842" s="1">
        <v>45591</v>
      </c>
      <c r="E842" t="s">
        <v>39</v>
      </c>
      <c r="F842">
        <v>13</v>
      </c>
      <c r="G842" s="12">
        <v>637</v>
      </c>
      <c r="H842" s="1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1050</v>
      </c>
      <c r="N842" t="b">
        <v>1</v>
      </c>
    </row>
    <row r="843" spans="1:14" x14ac:dyDescent="0.3">
      <c r="A843" t="s">
        <v>1889</v>
      </c>
      <c r="B843" t="s">
        <v>310</v>
      </c>
      <c r="C843" s="1">
        <v>45588</v>
      </c>
      <c r="E843" t="s">
        <v>32</v>
      </c>
      <c r="F843">
        <v>31</v>
      </c>
      <c r="G843" s="12">
        <v>6169</v>
      </c>
      <c r="H843" s="12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1047</v>
      </c>
      <c r="N843" t="b">
        <v>1</v>
      </c>
    </row>
    <row r="844" spans="1:14" x14ac:dyDescent="0.3">
      <c r="A844" t="s">
        <v>1890</v>
      </c>
      <c r="B844" t="s">
        <v>99</v>
      </c>
      <c r="C844" s="1">
        <v>45559</v>
      </c>
      <c r="E844" t="s">
        <v>15</v>
      </c>
      <c r="F844">
        <v>17</v>
      </c>
      <c r="G844" s="12">
        <v>0</v>
      </c>
      <c r="H844" s="12">
        <v>0</v>
      </c>
      <c r="I844" t="b">
        <v>1</v>
      </c>
      <c r="J844" t="b">
        <v>0</v>
      </c>
      <c r="K844" t="b">
        <v>0</v>
      </c>
      <c r="L844" t="b">
        <v>0</v>
      </c>
      <c r="M844" t="s">
        <v>1050</v>
      </c>
      <c r="N844" t="b">
        <v>1</v>
      </c>
    </row>
    <row r="845" spans="1:14" x14ac:dyDescent="0.3">
      <c r="A845" t="s">
        <v>1891</v>
      </c>
      <c r="B845" t="s">
        <v>332</v>
      </c>
      <c r="C845" s="1">
        <v>45206</v>
      </c>
      <c r="E845" t="s">
        <v>32</v>
      </c>
      <c r="F845">
        <v>47</v>
      </c>
      <c r="G845" s="12">
        <v>9353</v>
      </c>
      <c r="H845" s="12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1050</v>
      </c>
      <c r="N845" t="b">
        <v>1</v>
      </c>
    </row>
    <row r="846" spans="1:14" x14ac:dyDescent="0.3">
      <c r="A846" t="s">
        <v>1892</v>
      </c>
      <c r="B846" t="s">
        <v>494</v>
      </c>
      <c r="C846" s="1">
        <v>44977</v>
      </c>
      <c r="E846" t="s">
        <v>32</v>
      </c>
      <c r="F846">
        <v>6</v>
      </c>
      <c r="G846" s="12">
        <v>1194</v>
      </c>
      <c r="H846" s="12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1050</v>
      </c>
      <c r="N846" t="b">
        <v>1</v>
      </c>
    </row>
    <row r="847" spans="1:14" x14ac:dyDescent="0.3">
      <c r="A847" t="s">
        <v>1893</v>
      </c>
      <c r="B847" t="s">
        <v>780</v>
      </c>
      <c r="C847" s="1">
        <v>45457</v>
      </c>
      <c r="D847" s="1">
        <v>45615</v>
      </c>
      <c r="E847" t="s">
        <v>15</v>
      </c>
      <c r="F847">
        <v>16</v>
      </c>
      <c r="G847" s="12">
        <v>0</v>
      </c>
      <c r="H847" s="12">
        <v>0</v>
      </c>
      <c r="I847" t="b">
        <v>1</v>
      </c>
      <c r="J847" t="b">
        <v>0</v>
      </c>
      <c r="K847" t="b">
        <v>0</v>
      </c>
      <c r="L847" t="b">
        <v>1</v>
      </c>
      <c r="M847" t="s">
        <v>1050</v>
      </c>
      <c r="N847" t="b">
        <v>1</v>
      </c>
    </row>
    <row r="848" spans="1:14" x14ac:dyDescent="0.3">
      <c r="A848" t="s">
        <v>1894</v>
      </c>
      <c r="B848" t="s">
        <v>824</v>
      </c>
      <c r="C848" s="1">
        <v>45302</v>
      </c>
      <c r="E848" t="s">
        <v>39</v>
      </c>
      <c r="F848">
        <v>50</v>
      </c>
      <c r="G848" s="12">
        <v>2450</v>
      </c>
      <c r="H848" s="12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1047</v>
      </c>
      <c r="N848" t="b">
        <v>0</v>
      </c>
    </row>
    <row r="849" spans="1:14" x14ac:dyDescent="0.3">
      <c r="A849" t="s">
        <v>1895</v>
      </c>
      <c r="B849" t="s">
        <v>704</v>
      </c>
      <c r="C849" s="1">
        <v>45620</v>
      </c>
      <c r="E849" t="s">
        <v>39</v>
      </c>
      <c r="F849">
        <v>87</v>
      </c>
      <c r="G849" s="12">
        <v>0</v>
      </c>
      <c r="H849" s="12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1047</v>
      </c>
      <c r="N849" t="b">
        <v>1</v>
      </c>
    </row>
    <row r="850" spans="1:14" x14ac:dyDescent="0.3">
      <c r="A850" t="s">
        <v>1896</v>
      </c>
      <c r="B850" t="s">
        <v>566</v>
      </c>
      <c r="C850" s="1">
        <v>45636</v>
      </c>
      <c r="E850" t="s">
        <v>39</v>
      </c>
      <c r="F850">
        <v>11</v>
      </c>
      <c r="G850" s="12">
        <v>539</v>
      </c>
      <c r="H850" s="12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1047</v>
      </c>
      <c r="N850" t="b">
        <v>0</v>
      </c>
    </row>
    <row r="851" spans="1:14" x14ac:dyDescent="0.3">
      <c r="A851" t="s">
        <v>1897</v>
      </c>
      <c r="B851" t="s">
        <v>656</v>
      </c>
      <c r="C851" s="1">
        <v>45523</v>
      </c>
      <c r="E851" t="s">
        <v>39</v>
      </c>
      <c r="F851">
        <v>27</v>
      </c>
      <c r="G851" s="12">
        <v>1323</v>
      </c>
      <c r="H851" s="12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1050</v>
      </c>
      <c r="N851" t="b">
        <v>1</v>
      </c>
    </row>
    <row r="852" spans="1:14" x14ac:dyDescent="0.3">
      <c r="A852" t="s">
        <v>1898</v>
      </c>
      <c r="B852" t="s">
        <v>686</v>
      </c>
      <c r="C852" s="1">
        <v>45581</v>
      </c>
      <c r="E852" t="s">
        <v>15</v>
      </c>
      <c r="F852">
        <v>26</v>
      </c>
      <c r="G852" s="12">
        <v>494</v>
      </c>
      <c r="H852" s="1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1047</v>
      </c>
      <c r="N852" t="b">
        <v>1</v>
      </c>
    </row>
    <row r="853" spans="1:14" x14ac:dyDescent="0.3">
      <c r="A853" t="s">
        <v>1899</v>
      </c>
      <c r="B853" t="s">
        <v>564</v>
      </c>
      <c r="C853" s="1">
        <v>45656</v>
      </c>
      <c r="E853" t="s">
        <v>15</v>
      </c>
      <c r="F853">
        <v>3</v>
      </c>
      <c r="G853" s="12">
        <v>57</v>
      </c>
      <c r="H853" s="12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1047</v>
      </c>
      <c r="N853" t="b">
        <v>1</v>
      </c>
    </row>
    <row r="854" spans="1:14" x14ac:dyDescent="0.3">
      <c r="A854" t="s">
        <v>1900</v>
      </c>
      <c r="B854" t="s">
        <v>212</v>
      </c>
      <c r="C854" s="1">
        <v>45337</v>
      </c>
      <c r="E854" t="s">
        <v>15</v>
      </c>
      <c r="F854">
        <v>48</v>
      </c>
      <c r="G854" s="12">
        <v>0</v>
      </c>
      <c r="H854" s="12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1047</v>
      </c>
      <c r="N854" t="b">
        <v>1</v>
      </c>
    </row>
    <row r="855" spans="1:14" x14ac:dyDescent="0.3">
      <c r="A855" t="s">
        <v>1901</v>
      </c>
      <c r="B855" t="s">
        <v>526</v>
      </c>
      <c r="C855" s="1">
        <v>45261</v>
      </c>
      <c r="E855" t="s">
        <v>15</v>
      </c>
      <c r="F855">
        <v>13</v>
      </c>
      <c r="G855" s="12">
        <v>247</v>
      </c>
      <c r="H855" s="12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1047</v>
      </c>
      <c r="N855" t="b">
        <v>1</v>
      </c>
    </row>
    <row r="856" spans="1:14" x14ac:dyDescent="0.3">
      <c r="A856" t="s">
        <v>1902</v>
      </c>
      <c r="B856" t="s">
        <v>614</v>
      </c>
      <c r="C856" s="1">
        <v>45645</v>
      </c>
      <c r="E856" t="s">
        <v>39</v>
      </c>
      <c r="F856">
        <v>34</v>
      </c>
      <c r="G856" s="12">
        <v>1666</v>
      </c>
      <c r="H856" s="12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1050</v>
      </c>
      <c r="N856" t="b">
        <v>1</v>
      </c>
    </row>
    <row r="857" spans="1:14" x14ac:dyDescent="0.3">
      <c r="A857" t="s">
        <v>1903</v>
      </c>
      <c r="B857" t="s">
        <v>568</v>
      </c>
      <c r="C857" s="1">
        <v>45654</v>
      </c>
      <c r="E857" t="s">
        <v>32</v>
      </c>
      <c r="F857">
        <v>51</v>
      </c>
      <c r="G857" s="12">
        <v>0</v>
      </c>
      <c r="H857" s="12">
        <v>0</v>
      </c>
      <c r="I857" t="b">
        <v>1</v>
      </c>
      <c r="J857" t="b">
        <v>0</v>
      </c>
      <c r="K857" t="b">
        <v>0</v>
      </c>
      <c r="L857" t="b">
        <v>0</v>
      </c>
      <c r="M857" t="s">
        <v>1050</v>
      </c>
      <c r="N857" t="b">
        <v>1</v>
      </c>
    </row>
    <row r="858" spans="1:14" x14ac:dyDescent="0.3">
      <c r="A858" t="s">
        <v>1904</v>
      </c>
      <c r="B858" t="s">
        <v>78</v>
      </c>
      <c r="C858" s="1">
        <v>45367</v>
      </c>
      <c r="D858" s="1">
        <v>45403</v>
      </c>
      <c r="E858" t="s">
        <v>15</v>
      </c>
      <c r="F858">
        <v>47</v>
      </c>
      <c r="G858" s="12">
        <v>893</v>
      </c>
      <c r="H858" s="12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1047</v>
      </c>
      <c r="N858" t="b">
        <v>1</v>
      </c>
    </row>
    <row r="859" spans="1:14" x14ac:dyDescent="0.3">
      <c r="A859" t="s">
        <v>1905</v>
      </c>
      <c r="B859" t="s">
        <v>982</v>
      </c>
      <c r="C859" s="1">
        <v>45296</v>
      </c>
      <c r="E859" t="s">
        <v>32</v>
      </c>
      <c r="F859">
        <v>20</v>
      </c>
      <c r="G859" s="12">
        <v>3980</v>
      </c>
      <c r="H859" s="12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1050</v>
      </c>
      <c r="N859" t="b">
        <v>0</v>
      </c>
    </row>
    <row r="860" spans="1:14" x14ac:dyDescent="0.3">
      <c r="A860" t="s">
        <v>1906</v>
      </c>
      <c r="B860" t="s">
        <v>980</v>
      </c>
      <c r="C860" s="1">
        <v>45566</v>
      </c>
      <c r="D860" s="1">
        <v>45647</v>
      </c>
      <c r="E860" t="s">
        <v>39</v>
      </c>
      <c r="F860">
        <v>67</v>
      </c>
      <c r="G860" s="12">
        <v>3283</v>
      </c>
      <c r="H860" s="12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1047</v>
      </c>
      <c r="N860" t="b">
        <v>1</v>
      </c>
    </row>
    <row r="861" spans="1:14" x14ac:dyDescent="0.3">
      <c r="A861" t="s">
        <v>1907</v>
      </c>
      <c r="B861" t="s">
        <v>398</v>
      </c>
      <c r="C861" s="1">
        <v>45542</v>
      </c>
      <c r="E861" t="s">
        <v>32</v>
      </c>
      <c r="F861">
        <v>16</v>
      </c>
      <c r="G861" s="12">
        <v>3184</v>
      </c>
      <c r="H861" s="12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1050</v>
      </c>
      <c r="N861" t="b">
        <v>1</v>
      </c>
    </row>
    <row r="862" spans="1:14" x14ac:dyDescent="0.3">
      <c r="A862" t="s">
        <v>1908</v>
      </c>
      <c r="B862" t="s">
        <v>870</v>
      </c>
      <c r="C862" s="1">
        <v>45618</v>
      </c>
      <c r="E862" t="s">
        <v>32</v>
      </c>
      <c r="F862">
        <v>16</v>
      </c>
      <c r="G862" s="12">
        <v>3184</v>
      </c>
      <c r="H862" s="1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1047</v>
      </c>
      <c r="N862" t="b">
        <v>1</v>
      </c>
    </row>
    <row r="863" spans="1:14" x14ac:dyDescent="0.3">
      <c r="A863" t="s">
        <v>1909</v>
      </c>
      <c r="B863" t="s">
        <v>872</v>
      </c>
      <c r="C863" s="1">
        <v>45616</v>
      </c>
      <c r="E863" t="s">
        <v>39</v>
      </c>
      <c r="F863">
        <v>12</v>
      </c>
      <c r="G863" s="12">
        <v>588</v>
      </c>
      <c r="H863" s="12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1047</v>
      </c>
      <c r="N863" t="b">
        <v>0</v>
      </c>
    </row>
    <row r="864" spans="1:14" x14ac:dyDescent="0.3">
      <c r="A864" t="s">
        <v>1910</v>
      </c>
      <c r="B864" t="s">
        <v>780</v>
      </c>
      <c r="C864" s="1">
        <v>45399</v>
      </c>
      <c r="E864" t="s">
        <v>39</v>
      </c>
      <c r="F864">
        <v>16</v>
      </c>
      <c r="G864" s="12">
        <v>0</v>
      </c>
      <c r="H864" s="12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1047</v>
      </c>
      <c r="N864" t="b">
        <v>1</v>
      </c>
    </row>
    <row r="865" spans="1:14" x14ac:dyDescent="0.3">
      <c r="A865" t="s">
        <v>1911</v>
      </c>
      <c r="B865" t="s">
        <v>996</v>
      </c>
      <c r="C865" s="1">
        <v>45579</v>
      </c>
      <c r="E865" t="s">
        <v>32</v>
      </c>
      <c r="F865">
        <v>22</v>
      </c>
      <c r="G865" s="12">
        <v>4378</v>
      </c>
      <c r="H865" s="12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1047</v>
      </c>
      <c r="N865" t="b">
        <v>1</v>
      </c>
    </row>
    <row r="866" spans="1:14" x14ac:dyDescent="0.3">
      <c r="A866" t="s">
        <v>1912</v>
      </c>
      <c r="B866" t="s">
        <v>132</v>
      </c>
      <c r="C866" s="1">
        <v>45498</v>
      </c>
      <c r="E866" t="s">
        <v>32</v>
      </c>
      <c r="F866">
        <v>23</v>
      </c>
      <c r="G866" s="12">
        <v>0</v>
      </c>
      <c r="H866" s="12">
        <v>0</v>
      </c>
      <c r="I866" t="b">
        <v>1</v>
      </c>
      <c r="J866" t="b">
        <v>0</v>
      </c>
      <c r="K866" t="b">
        <v>0</v>
      </c>
      <c r="L866" t="b">
        <v>0</v>
      </c>
      <c r="M866" t="s">
        <v>1050</v>
      </c>
      <c r="N866" t="b">
        <v>1</v>
      </c>
    </row>
    <row r="867" spans="1:14" x14ac:dyDescent="0.3">
      <c r="A867" t="s">
        <v>1913</v>
      </c>
      <c r="B867" t="s">
        <v>224</v>
      </c>
      <c r="C867" s="1">
        <v>45619</v>
      </c>
      <c r="E867" t="s">
        <v>32</v>
      </c>
      <c r="F867">
        <v>31</v>
      </c>
      <c r="G867" s="12">
        <v>6169</v>
      </c>
      <c r="H867" s="12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1047</v>
      </c>
      <c r="N867" t="b">
        <v>1</v>
      </c>
    </row>
    <row r="868" spans="1:14" x14ac:dyDescent="0.3">
      <c r="A868" t="s">
        <v>1914</v>
      </c>
      <c r="B868" t="s">
        <v>612</v>
      </c>
      <c r="C868" s="1">
        <v>45639</v>
      </c>
      <c r="E868" t="s">
        <v>15</v>
      </c>
      <c r="F868">
        <v>21</v>
      </c>
      <c r="G868" s="12">
        <v>399</v>
      </c>
      <c r="H868" s="12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1050</v>
      </c>
      <c r="N868" t="b">
        <v>1</v>
      </c>
    </row>
    <row r="869" spans="1:14" x14ac:dyDescent="0.3">
      <c r="A869" t="s">
        <v>1915</v>
      </c>
      <c r="B869" t="s">
        <v>794</v>
      </c>
      <c r="C869" s="1">
        <v>45435</v>
      </c>
      <c r="E869" t="s">
        <v>32</v>
      </c>
      <c r="F869">
        <v>31</v>
      </c>
      <c r="G869" s="12">
        <v>6169</v>
      </c>
      <c r="H869" s="12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1050</v>
      </c>
      <c r="N869" t="b">
        <v>1</v>
      </c>
    </row>
    <row r="870" spans="1:14" x14ac:dyDescent="0.3">
      <c r="A870" t="s">
        <v>1916</v>
      </c>
      <c r="B870" t="s">
        <v>720</v>
      </c>
      <c r="C870" s="1">
        <v>45388</v>
      </c>
      <c r="D870" s="1">
        <v>45606</v>
      </c>
      <c r="E870" t="s">
        <v>32</v>
      </c>
      <c r="F870">
        <v>23</v>
      </c>
      <c r="G870" s="12">
        <v>4577</v>
      </c>
      <c r="H870" s="12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1047</v>
      </c>
      <c r="N870" t="b">
        <v>0</v>
      </c>
    </row>
    <row r="871" spans="1:14" x14ac:dyDescent="0.3">
      <c r="A871" t="s">
        <v>1917</v>
      </c>
      <c r="B871" t="s">
        <v>200</v>
      </c>
      <c r="C871" s="1">
        <v>45644</v>
      </c>
      <c r="D871" s="1">
        <v>45652</v>
      </c>
      <c r="E871" t="s">
        <v>15</v>
      </c>
      <c r="F871">
        <v>38</v>
      </c>
      <c r="G871" s="12">
        <v>722</v>
      </c>
      <c r="H871" s="12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1050</v>
      </c>
      <c r="N871" t="b">
        <v>1</v>
      </c>
    </row>
    <row r="872" spans="1:14" x14ac:dyDescent="0.3">
      <c r="A872" t="s">
        <v>1918</v>
      </c>
      <c r="B872" t="s">
        <v>546</v>
      </c>
      <c r="C872" s="1">
        <v>45423</v>
      </c>
      <c r="E872" t="s">
        <v>32</v>
      </c>
      <c r="F872">
        <v>31</v>
      </c>
      <c r="G872" s="12">
        <v>0</v>
      </c>
      <c r="H872" s="1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1047</v>
      </c>
      <c r="N872" t="b">
        <v>1</v>
      </c>
    </row>
    <row r="873" spans="1:14" x14ac:dyDescent="0.3">
      <c r="A873" t="s">
        <v>1919</v>
      </c>
      <c r="B873" t="s">
        <v>576</v>
      </c>
      <c r="C873" s="1">
        <v>45615</v>
      </c>
      <c r="E873" t="s">
        <v>39</v>
      </c>
      <c r="F873">
        <v>8</v>
      </c>
      <c r="G873" s="12">
        <v>0</v>
      </c>
      <c r="H873" s="12">
        <v>0</v>
      </c>
      <c r="I873" t="b">
        <v>1</v>
      </c>
      <c r="J873" t="b">
        <v>0</v>
      </c>
      <c r="K873" t="b">
        <v>0</v>
      </c>
      <c r="L873" t="b">
        <v>0</v>
      </c>
      <c r="M873" t="s">
        <v>1050</v>
      </c>
      <c r="N873" t="b">
        <v>1</v>
      </c>
    </row>
    <row r="874" spans="1:14" x14ac:dyDescent="0.3">
      <c r="A874" t="s">
        <v>1920</v>
      </c>
      <c r="B874" t="s">
        <v>592</v>
      </c>
      <c r="C874" s="1">
        <v>45476</v>
      </c>
      <c r="E874" t="s">
        <v>39</v>
      </c>
      <c r="F874">
        <v>64</v>
      </c>
      <c r="G874" s="12">
        <v>3136</v>
      </c>
      <c r="H874" s="12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1050</v>
      </c>
      <c r="N874" t="b">
        <v>1</v>
      </c>
    </row>
    <row r="875" spans="1:14" x14ac:dyDescent="0.3">
      <c r="A875" t="s">
        <v>1921</v>
      </c>
      <c r="B875" t="s">
        <v>812</v>
      </c>
      <c r="C875" s="1">
        <v>45491</v>
      </c>
      <c r="E875" t="s">
        <v>32</v>
      </c>
      <c r="F875">
        <v>6</v>
      </c>
      <c r="G875" s="12">
        <v>1194</v>
      </c>
      <c r="H875" s="12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1050</v>
      </c>
      <c r="N875" t="b">
        <v>0</v>
      </c>
    </row>
    <row r="876" spans="1:14" x14ac:dyDescent="0.3">
      <c r="A876" t="s">
        <v>1922</v>
      </c>
      <c r="B876" t="s">
        <v>652</v>
      </c>
      <c r="C876" s="1">
        <v>45509</v>
      </c>
      <c r="E876" t="s">
        <v>32</v>
      </c>
      <c r="F876">
        <v>14</v>
      </c>
      <c r="G876" s="12">
        <v>2786</v>
      </c>
      <c r="H876" s="12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1047</v>
      </c>
      <c r="N876" t="b">
        <v>1</v>
      </c>
    </row>
    <row r="877" spans="1:14" x14ac:dyDescent="0.3">
      <c r="A877" t="s">
        <v>1923</v>
      </c>
      <c r="B877" t="s">
        <v>414</v>
      </c>
      <c r="C877" s="1">
        <v>45577</v>
      </c>
      <c r="E877" t="s">
        <v>32</v>
      </c>
      <c r="F877">
        <v>6</v>
      </c>
      <c r="G877" s="12">
        <v>1194</v>
      </c>
      <c r="H877" s="12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1050</v>
      </c>
      <c r="N877" t="b">
        <v>1</v>
      </c>
    </row>
    <row r="878" spans="1:14" x14ac:dyDescent="0.3">
      <c r="A878" t="s">
        <v>1924</v>
      </c>
      <c r="B878" t="s">
        <v>398</v>
      </c>
      <c r="C878" s="1">
        <v>45488</v>
      </c>
      <c r="E878" t="s">
        <v>39</v>
      </c>
      <c r="F878">
        <v>36</v>
      </c>
      <c r="G878" s="12">
        <v>1764</v>
      </c>
      <c r="H878" s="12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1050</v>
      </c>
      <c r="N878" t="b">
        <v>1</v>
      </c>
    </row>
    <row r="879" spans="1:14" x14ac:dyDescent="0.3">
      <c r="A879" t="s">
        <v>1925</v>
      </c>
      <c r="B879" t="s">
        <v>10</v>
      </c>
      <c r="C879" s="1">
        <v>45585</v>
      </c>
      <c r="E879" t="s">
        <v>39</v>
      </c>
      <c r="F879">
        <v>9</v>
      </c>
      <c r="G879" s="12">
        <v>441</v>
      </c>
      <c r="H879" s="12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1047</v>
      </c>
      <c r="N879" t="b">
        <v>1</v>
      </c>
    </row>
    <row r="880" spans="1:14" x14ac:dyDescent="0.3">
      <c r="A880" t="s">
        <v>1926</v>
      </c>
      <c r="B880" t="s">
        <v>560</v>
      </c>
      <c r="C880" s="1">
        <v>45609</v>
      </c>
      <c r="E880" t="s">
        <v>39</v>
      </c>
      <c r="F880">
        <v>42</v>
      </c>
      <c r="G880" s="12">
        <v>2058</v>
      </c>
      <c r="H880" s="12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1047</v>
      </c>
      <c r="N880" t="b">
        <v>1</v>
      </c>
    </row>
    <row r="881" spans="1:14" x14ac:dyDescent="0.3">
      <c r="A881" t="s">
        <v>1927</v>
      </c>
      <c r="B881" t="s">
        <v>336</v>
      </c>
      <c r="C881" s="1">
        <v>45470</v>
      </c>
      <c r="E881" t="s">
        <v>15</v>
      </c>
      <c r="F881">
        <v>11</v>
      </c>
      <c r="G881" s="12">
        <v>209</v>
      </c>
      <c r="H881" s="12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1050</v>
      </c>
      <c r="N881" t="b">
        <v>1</v>
      </c>
    </row>
    <row r="882" spans="1:14" x14ac:dyDescent="0.3">
      <c r="A882" t="s">
        <v>1928</v>
      </c>
      <c r="B882" t="s">
        <v>49</v>
      </c>
      <c r="C882" s="1">
        <v>45653</v>
      </c>
      <c r="E882" t="s">
        <v>32</v>
      </c>
      <c r="F882">
        <v>59</v>
      </c>
      <c r="G882" s="12">
        <v>11741</v>
      </c>
      <c r="H882" s="1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1050</v>
      </c>
      <c r="N882" t="b">
        <v>0</v>
      </c>
    </row>
    <row r="883" spans="1:14" x14ac:dyDescent="0.3">
      <c r="A883" t="s">
        <v>1929</v>
      </c>
      <c r="B883" t="s">
        <v>970</v>
      </c>
      <c r="C883" s="1">
        <v>45477</v>
      </c>
      <c r="E883" t="s">
        <v>32</v>
      </c>
      <c r="F883">
        <v>55</v>
      </c>
      <c r="G883" s="12">
        <v>10945</v>
      </c>
      <c r="H883" s="12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1047</v>
      </c>
      <c r="N883" t="b">
        <v>1</v>
      </c>
    </row>
    <row r="884" spans="1:14" x14ac:dyDescent="0.3">
      <c r="A884" t="s">
        <v>1930</v>
      </c>
      <c r="B884" t="s">
        <v>126</v>
      </c>
      <c r="C884" s="1">
        <v>45598</v>
      </c>
      <c r="E884" t="s">
        <v>39</v>
      </c>
      <c r="F884">
        <v>10</v>
      </c>
      <c r="G884" s="12">
        <v>490</v>
      </c>
      <c r="H884" s="12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1050</v>
      </c>
      <c r="N884" t="b">
        <v>1</v>
      </c>
    </row>
    <row r="885" spans="1:14" x14ac:dyDescent="0.3">
      <c r="A885" t="s">
        <v>1931</v>
      </c>
      <c r="B885" t="s">
        <v>188</v>
      </c>
      <c r="C885" s="1">
        <v>45198</v>
      </c>
      <c r="D885" s="1">
        <v>45385</v>
      </c>
      <c r="E885" t="s">
        <v>39</v>
      </c>
      <c r="F885">
        <v>2</v>
      </c>
      <c r="G885" s="12">
        <v>98</v>
      </c>
      <c r="H885" s="12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1047</v>
      </c>
      <c r="N885" t="b">
        <v>1</v>
      </c>
    </row>
    <row r="886" spans="1:14" x14ac:dyDescent="0.3">
      <c r="A886" t="s">
        <v>1932</v>
      </c>
      <c r="B886" t="s">
        <v>268</v>
      </c>
      <c r="C886" s="1">
        <v>45456</v>
      </c>
      <c r="E886" t="s">
        <v>39</v>
      </c>
      <c r="F886">
        <v>17</v>
      </c>
      <c r="G886" s="12">
        <v>833</v>
      </c>
      <c r="H886" s="12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1047</v>
      </c>
      <c r="N886" t="b">
        <v>1</v>
      </c>
    </row>
    <row r="887" spans="1:14" x14ac:dyDescent="0.3">
      <c r="A887" t="s">
        <v>1933</v>
      </c>
      <c r="B887" t="s">
        <v>614</v>
      </c>
      <c r="C887" s="1">
        <v>45629</v>
      </c>
      <c r="D887" s="1">
        <v>45635</v>
      </c>
      <c r="E887" t="s">
        <v>32</v>
      </c>
      <c r="F887">
        <v>29</v>
      </c>
      <c r="G887" s="12">
        <v>0</v>
      </c>
      <c r="H887" s="12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1047</v>
      </c>
      <c r="N887" t="b">
        <v>1</v>
      </c>
    </row>
    <row r="888" spans="1:14" x14ac:dyDescent="0.3">
      <c r="A888" t="s">
        <v>1934</v>
      </c>
      <c r="B888" t="s">
        <v>770</v>
      </c>
      <c r="C888" s="1">
        <v>45543</v>
      </c>
      <c r="E888" t="s">
        <v>39</v>
      </c>
      <c r="F888">
        <v>33</v>
      </c>
      <c r="G888" s="12">
        <v>1617</v>
      </c>
      <c r="H888" s="12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1047</v>
      </c>
      <c r="N888" t="b">
        <v>1</v>
      </c>
    </row>
    <row r="889" spans="1:14" x14ac:dyDescent="0.3">
      <c r="A889" t="s">
        <v>1935</v>
      </c>
      <c r="B889" t="s">
        <v>528</v>
      </c>
      <c r="C889" s="1">
        <v>45552</v>
      </c>
      <c r="E889" t="s">
        <v>32</v>
      </c>
      <c r="F889">
        <v>73</v>
      </c>
      <c r="G889" s="12">
        <v>14527</v>
      </c>
      <c r="H889" s="12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1050</v>
      </c>
      <c r="N889" t="b">
        <v>1</v>
      </c>
    </row>
    <row r="890" spans="1:14" x14ac:dyDescent="0.3">
      <c r="A890" t="s">
        <v>1936</v>
      </c>
      <c r="B890" t="s">
        <v>66</v>
      </c>
      <c r="C890" s="1">
        <v>45623</v>
      </c>
      <c r="E890" t="s">
        <v>32</v>
      </c>
      <c r="F890">
        <v>22</v>
      </c>
      <c r="G890" s="12">
        <v>4378</v>
      </c>
      <c r="H890" s="12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1050</v>
      </c>
      <c r="N890" t="b">
        <v>0</v>
      </c>
    </row>
    <row r="891" spans="1:14" x14ac:dyDescent="0.3">
      <c r="A891" t="s">
        <v>1937</v>
      </c>
      <c r="B891" t="s">
        <v>110</v>
      </c>
      <c r="C891" s="1">
        <v>45107</v>
      </c>
      <c r="E891" t="s">
        <v>39</v>
      </c>
      <c r="F891">
        <v>46</v>
      </c>
      <c r="G891" s="12">
        <v>2254</v>
      </c>
      <c r="H891" s="12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1050</v>
      </c>
      <c r="N891" t="b">
        <v>0</v>
      </c>
    </row>
    <row r="892" spans="1:14" x14ac:dyDescent="0.3">
      <c r="A892" t="s">
        <v>1938</v>
      </c>
      <c r="B892" t="s">
        <v>930</v>
      </c>
      <c r="C892" s="1">
        <v>45451</v>
      </c>
      <c r="E892" t="s">
        <v>39</v>
      </c>
      <c r="F892">
        <v>49</v>
      </c>
      <c r="G892" s="12">
        <v>2401</v>
      </c>
      <c r="H892" s="1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1047</v>
      </c>
      <c r="N892" t="b">
        <v>1</v>
      </c>
    </row>
    <row r="893" spans="1:14" x14ac:dyDescent="0.3">
      <c r="A893" t="s">
        <v>1939</v>
      </c>
      <c r="B893" t="s">
        <v>920</v>
      </c>
      <c r="C893" s="1">
        <v>45606</v>
      </c>
      <c r="E893" t="s">
        <v>15</v>
      </c>
      <c r="F893">
        <v>21</v>
      </c>
      <c r="G893" s="12">
        <v>399</v>
      </c>
      <c r="H893" s="12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1047</v>
      </c>
      <c r="N893" t="b">
        <v>0</v>
      </c>
    </row>
    <row r="894" spans="1:14" x14ac:dyDescent="0.3">
      <c r="A894" t="s">
        <v>1940</v>
      </c>
      <c r="B894" t="s">
        <v>678</v>
      </c>
      <c r="C894" s="1">
        <v>45637</v>
      </c>
      <c r="D894" s="1">
        <v>45646</v>
      </c>
      <c r="E894" t="s">
        <v>15</v>
      </c>
      <c r="F894">
        <v>47</v>
      </c>
      <c r="G894" s="12">
        <v>893</v>
      </c>
      <c r="H894" s="12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1047</v>
      </c>
      <c r="N894" t="b">
        <v>1</v>
      </c>
    </row>
    <row r="895" spans="1:14" x14ac:dyDescent="0.3">
      <c r="A895" t="s">
        <v>1941</v>
      </c>
      <c r="B895" t="s">
        <v>356</v>
      </c>
      <c r="C895" s="1">
        <v>45631</v>
      </c>
      <c r="D895" s="1">
        <v>45635</v>
      </c>
      <c r="E895" t="s">
        <v>32</v>
      </c>
      <c r="F895">
        <v>48</v>
      </c>
      <c r="G895" s="12">
        <v>9552</v>
      </c>
      <c r="H895" s="12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1050</v>
      </c>
      <c r="N895" t="b">
        <v>1</v>
      </c>
    </row>
    <row r="896" spans="1:14" x14ac:dyDescent="0.3">
      <c r="A896" t="s">
        <v>1942</v>
      </c>
      <c r="B896" t="s">
        <v>544</v>
      </c>
      <c r="C896" s="1">
        <v>45550</v>
      </c>
      <c r="E896" t="s">
        <v>15</v>
      </c>
      <c r="F896">
        <v>37</v>
      </c>
      <c r="G896" s="12">
        <v>703</v>
      </c>
      <c r="H896" s="12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1047</v>
      </c>
      <c r="N896" t="b">
        <v>0</v>
      </c>
    </row>
    <row r="897" spans="1:14" x14ac:dyDescent="0.3">
      <c r="A897" t="s">
        <v>1943</v>
      </c>
      <c r="B897" t="s">
        <v>718</v>
      </c>
      <c r="C897" s="1">
        <v>45588</v>
      </c>
      <c r="E897" t="s">
        <v>39</v>
      </c>
      <c r="F897">
        <v>13</v>
      </c>
      <c r="G897" s="12">
        <v>0</v>
      </c>
      <c r="H897" s="12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1047</v>
      </c>
      <c r="N897" t="b">
        <v>1</v>
      </c>
    </row>
    <row r="898" spans="1:14" x14ac:dyDescent="0.3">
      <c r="A898" t="s">
        <v>1944</v>
      </c>
      <c r="B898" t="s">
        <v>256</v>
      </c>
      <c r="C898" s="1">
        <v>45413</v>
      </c>
      <c r="E898" t="s">
        <v>39</v>
      </c>
      <c r="F898">
        <v>4</v>
      </c>
      <c r="G898" s="12">
        <v>196</v>
      </c>
      <c r="H898" s="12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1050</v>
      </c>
      <c r="N898" t="b">
        <v>1</v>
      </c>
    </row>
    <row r="899" spans="1:14" x14ac:dyDescent="0.3">
      <c r="A899" t="s">
        <v>1945</v>
      </c>
      <c r="B899" t="s">
        <v>180</v>
      </c>
      <c r="C899" s="1">
        <v>45335</v>
      </c>
      <c r="E899" t="s">
        <v>39</v>
      </c>
      <c r="F899">
        <v>7</v>
      </c>
      <c r="G899" s="12">
        <v>343</v>
      </c>
      <c r="H899" s="12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1047</v>
      </c>
      <c r="N899" t="b">
        <v>1</v>
      </c>
    </row>
    <row r="900" spans="1:14" x14ac:dyDescent="0.3">
      <c r="A900" t="s">
        <v>1946</v>
      </c>
      <c r="B900" t="s">
        <v>516</v>
      </c>
      <c r="C900" s="1">
        <v>45609</v>
      </c>
      <c r="E900" t="s">
        <v>32</v>
      </c>
      <c r="F900">
        <v>3</v>
      </c>
      <c r="G900" s="12">
        <v>597</v>
      </c>
      <c r="H900" s="12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1047</v>
      </c>
      <c r="N900" t="b">
        <v>1</v>
      </c>
    </row>
    <row r="901" spans="1:14" x14ac:dyDescent="0.3">
      <c r="A901" t="s">
        <v>1947</v>
      </c>
      <c r="B901" t="s">
        <v>590</v>
      </c>
      <c r="C901" s="1">
        <v>45592</v>
      </c>
      <c r="E901" t="s">
        <v>39</v>
      </c>
      <c r="F901">
        <v>13</v>
      </c>
      <c r="G901" s="12">
        <v>637</v>
      </c>
      <c r="H901" s="12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1047</v>
      </c>
      <c r="N901" t="b">
        <v>1</v>
      </c>
    </row>
    <row r="902" spans="1:14" x14ac:dyDescent="0.3">
      <c r="A902" t="s">
        <v>1948</v>
      </c>
      <c r="B902" t="s">
        <v>438</v>
      </c>
      <c r="C902" s="1">
        <v>45442</v>
      </c>
      <c r="D902" s="1">
        <v>45640</v>
      </c>
      <c r="E902" t="s">
        <v>39</v>
      </c>
      <c r="F902">
        <v>19</v>
      </c>
      <c r="G902" s="12">
        <v>931</v>
      </c>
      <c r="H902" s="1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1047</v>
      </c>
      <c r="N902" t="b">
        <v>1</v>
      </c>
    </row>
    <row r="903" spans="1:14" x14ac:dyDescent="0.3">
      <c r="A903" t="s">
        <v>1949</v>
      </c>
      <c r="B903" t="s">
        <v>810</v>
      </c>
      <c r="C903" s="1">
        <v>45226</v>
      </c>
      <c r="E903" t="s">
        <v>39</v>
      </c>
      <c r="F903">
        <v>19</v>
      </c>
      <c r="G903" s="12">
        <v>931</v>
      </c>
      <c r="H903" s="12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1047</v>
      </c>
      <c r="N903" t="b">
        <v>0</v>
      </c>
    </row>
    <row r="904" spans="1:14" x14ac:dyDescent="0.3">
      <c r="A904" t="s">
        <v>1950</v>
      </c>
      <c r="B904" t="s">
        <v>528</v>
      </c>
      <c r="C904" s="1">
        <v>45629</v>
      </c>
      <c r="E904" t="s">
        <v>32</v>
      </c>
      <c r="F904">
        <v>15</v>
      </c>
      <c r="G904" s="12">
        <v>2985</v>
      </c>
      <c r="H904" s="12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1047</v>
      </c>
      <c r="N904" t="b">
        <v>0</v>
      </c>
    </row>
    <row r="905" spans="1:14" x14ac:dyDescent="0.3">
      <c r="A905" t="s">
        <v>1951</v>
      </c>
      <c r="B905" t="s">
        <v>604</v>
      </c>
      <c r="C905" s="1">
        <v>45639</v>
      </c>
      <c r="E905" t="s">
        <v>32</v>
      </c>
      <c r="F905">
        <v>19</v>
      </c>
      <c r="G905" s="12">
        <v>3781</v>
      </c>
      <c r="H905" s="12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1047</v>
      </c>
      <c r="N905" t="b">
        <v>1</v>
      </c>
    </row>
    <row r="906" spans="1:14" x14ac:dyDescent="0.3">
      <c r="A906" t="s">
        <v>1952</v>
      </c>
      <c r="B906" t="s">
        <v>278</v>
      </c>
      <c r="C906" s="1">
        <v>45169</v>
      </c>
      <c r="E906" t="s">
        <v>39</v>
      </c>
      <c r="F906">
        <v>19</v>
      </c>
      <c r="G906" s="12">
        <v>0</v>
      </c>
      <c r="H906" s="12">
        <v>0</v>
      </c>
      <c r="I906" t="b">
        <v>1</v>
      </c>
      <c r="J906" t="b">
        <v>0</v>
      </c>
      <c r="K906" t="b">
        <v>0</v>
      </c>
      <c r="L906" t="b">
        <v>0</v>
      </c>
      <c r="M906" t="s">
        <v>1050</v>
      </c>
      <c r="N906" t="b">
        <v>1</v>
      </c>
    </row>
    <row r="907" spans="1:14" x14ac:dyDescent="0.3">
      <c r="A907" t="s">
        <v>1953</v>
      </c>
      <c r="B907" t="s">
        <v>360</v>
      </c>
      <c r="C907" s="1">
        <v>45582</v>
      </c>
      <c r="E907" t="s">
        <v>32</v>
      </c>
      <c r="F907">
        <v>8</v>
      </c>
      <c r="G907" s="12">
        <v>0</v>
      </c>
      <c r="H907" s="12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1047</v>
      </c>
      <c r="N907" t="b">
        <v>1</v>
      </c>
    </row>
    <row r="908" spans="1:14" x14ac:dyDescent="0.3">
      <c r="A908" t="s">
        <v>1954</v>
      </c>
      <c r="B908" t="s">
        <v>144</v>
      </c>
      <c r="C908" s="1">
        <v>45653</v>
      </c>
      <c r="E908" t="s">
        <v>39</v>
      </c>
      <c r="F908">
        <v>7</v>
      </c>
      <c r="G908" s="12">
        <v>343</v>
      </c>
      <c r="H908" s="12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1050</v>
      </c>
      <c r="N908" t="b">
        <v>0</v>
      </c>
    </row>
    <row r="909" spans="1:14" x14ac:dyDescent="0.3">
      <c r="A909" t="s">
        <v>1955</v>
      </c>
      <c r="B909" t="s">
        <v>404</v>
      </c>
      <c r="C909" s="1">
        <v>45547</v>
      </c>
      <c r="E909" t="s">
        <v>15</v>
      </c>
      <c r="F909">
        <v>22</v>
      </c>
      <c r="G909" s="12">
        <v>0</v>
      </c>
      <c r="H909" s="12">
        <v>0</v>
      </c>
      <c r="I909" t="b">
        <v>1</v>
      </c>
      <c r="J909" t="b">
        <v>0</v>
      </c>
      <c r="K909" t="b">
        <v>0</v>
      </c>
      <c r="L909" t="b">
        <v>0</v>
      </c>
      <c r="M909" t="s">
        <v>1050</v>
      </c>
      <c r="N909" t="b">
        <v>1</v>
      </c>
    </row>
    <row r="910" spans="1:14" x14ac:dyDescent="0.3">
      <c r="A910" t="s">
        <v>1956</v>
      </c>
      <c r="B910" t="s">
        <v>382</v>
      </c>
      <c r="C910" s="1">
        <v>45568</v>
      </c>
      <c r="E910" t="s">
        <v>32</v>
      </c>
      <c r="F910">
        <v>42</v>
      </c>
      <c r="G910" s="12">
        <v>0</v>
      </c>
      <c r="H910" s="12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1047</v>
      </c>
      <c r="N910" t="b">
        <v>1</v>
      </c>
    </row>
    <row r="911" spans="1:14" x14ac:dyDescent="0.3">
      <c r="A911" t="s">
        <v>1957</v>
      </c>
      <c r="B911" t="s">
        <v>818</v>
      </c>
      <c r="C911" s="1">
        <v>45399</v>
      </c>
      <c r="E911" t="s">
        <v>15</v>
      </c>
      <c r="F911">
        <v>34</v>
      </c>
      <c r="G911" s="12">
        <v>646</v>
      </c>
      <c r="H911" s="12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1050</v>
      </c>
      <c r="N911" t="b">
        <v>0</v>
      </c>
    </row>
    <row r="912" spans="1:14" x14ac:dyDescent="0.3">
      <c r="A912" t="s">
        <v>1958</v>
      </c>
      <c r="B912" t="s">
        <v>660</v>
      </c>
      <c r="C912" s="1">
        <v>45417</v>
      </c>
      <c r="E912" t="s">
        <v>32</v>
      </c>
      <c r="F912">
        <v>15</v>
      </c>
      <c r="G912" s="12">
        <v>2985</v>
      </c>
      <c r="H912" s="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1047</v>
      </c>
      <c r="N912" t="b">
        <v>1</v>
      </c>
    </row>
    <row r="913" spans="1:14" x14ac:dyDescent="0.3">
      <c r="A913" t="s">
        <v>1959</v>
      </c>
      <c r="B913" t="s">
        <v>480</v>
      </c>
      <c r="C913" s="1">
        <v>45611</v>
      </c>
      <c r="E913" t="s">
        <v>15</v>
      </c>
      <c r="F913">
        <v>80</v>
      </c>
      <c r="G913" s="12">
        <v>1520</v>
      </c>
      <c r="H913" s="12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1047</v>
      </c>
      <c r="N913" t="b">
        <v>1</v>
      </c>
    </row>
    <row r="914" spans="1:14" x14ac:dyDescent="0.3">
      <c r="A914" t="s">
        <v>1960</v>
      </c>
      <c r="B914" t="s">
        <v>730</v>
      </c>
      <c r="C914" s="1">
        <v>45502</v>
      </c>
      <c r="E914" t="s">
        <v>15</v>
      </c>
      <c r="F914">
        <v>41</v>
      </c>
      <c r="G914" s="12">
        <v>779</v>
      </c>
      <c r="H914" s="12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1047</v>
      </c>
      <c r="N914" t="b">
        <v>0</v>
      </c>
    </row>
    <row r="915" spans="1:14" x14ac:dyDescent="0.3">
      <c r="A915" t="s">
        <v>1961</v>
      </c>
      <c r="B915" t="s">
        <v>144</v>
      </c>
      <c r="C915" s="1">
        <v>45495</v>
      </c>
      <c r="E915" t="s">
        <v>15</v>
      </c>
      <c r="F915">
        <v>29</v>
      </c>
      <c r="G915" s="12">
        <v>0</v>
      </c>
      <c r="H915" s="12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1047</v>
      </c>
      <c r="N915" t="b">
        <v>0</v>
      </c>
    </row>
    <row r="916" spans="1:14" x14ac:dyDescent="0.3">
      <c r="A916" t="s">
        <v>1962</v>
      </c>
      <c r="B916" t="s">
        <v>918</v>
      </c>
      <c r="C916" s="1">
        <v>45642</v>
      </c>
      <c r="E916" t="s">
        <v>15</v>
      </c>
      <c r="F916">
        <v>36</v>
      </c>
      <c r="G916" s="12">
        <v>684</v>
      </c>
      <c r="H916" s="12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1050</v>
      </c>
      <c r="N916" t="b">
        <v>1</v>
      </c>
    </row>
    <row r="917" spans="1:14" x14ac:dyDescent="0.3">
      <c r="A917" t="s">
        <v>1963</v>
      </c>
      <c r="B917" t="s">
        <v>740</v>
      </c>
      <c r="C917" s="1">
        <v>45503</v>
      </c>
      <c r="E917" t="s">
        <v>39</v>
      </c>
      <c r="F917">
        <v>58</v>
      </c>
      <c r="G917" s="12">
        <v>2842</v>
      </c>
      <c r="H917" s="12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1050</v>
      </c>
      <c r="N917" t="b">
        <v>1</v>
      </c>
    </row>
    <row r="918" spans="1:14" x14ac:dyDescent="0.3">
      <c r="A918" t="s">
        <v>1964</v>
      </c>
      <c r="B918" t="s">
        <v>512</v>
      </c>
      <c r="C918" s="1">
        <v>45312</v>
      </c>
      <c r="E918" t="s">
        <v>39</v>
      </c>
      <c r="F918">
        <v>27</v>
      </c>
      <c r="G918" s="12">
        <v>1323</v>
      </c>
      <c r="H918" s="12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1047</v>
      </c>
      <c r="N918" t="b">
        <v>1</v>
      </c>
    </row>
    <row r="919" spans="1:14" x14ac:dyDescent="0.3">
      <c r="A919" t="s">
        <v>1965</v>
      </c>
      <c r="B919" t="s">
        <v>786</v>
      </c>
      <c r="C919" s="1">
        <v>45589</v>
      </c>
      <c r="E919" t="s">
        <v>15</v>
      </c>
      <c r="F919">
        <v>35</v>
      </c>
      <c r="G919" s="12">
        <v>665</v>
      </c>
      <c r="H919" s="12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1047</v>
      </c>
      <c r="N919" t="b">
        <v>1</v>
      </c>
    </row>
    <row r="920" spans="1:14" x14ac:dyDescent="0.3">
      <c r="A920" t="s">
        <v>1966</v>
      </c>
      <c r="B920" t="s">
        <v>588</v>
      </c>
      <c r="C920" s="1">
        <v>45641</v>
      </c>
      <c r="E920" t="s">
        <v>39</v>
      </c>
      <c r="F920">
        <v>9</v>
      </c>
      <c r="G920" s="12">
        <v>441</v>
      </c>
      <c r="H920" s="12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1050</v>
      </c>
      <c r="N920" t="b">
        <v>1</v>
      </c>
    </row>
    <row r="921" spans="1:14" x14ac:dyDescent="0.3">
      <c r="A921" t="s">
        <v>1967</v>
      </c>
      <c r="B921" t="s">
        <v>666</v>
      </c>
      <c r="C921" s="1">
        <v>45548</v>
      </c>
      <c r="E921" t="s">
        <v>32</v>
      </c>
      <c r="F921">
        <v>14</v>
      </c>
      <c r="G921" s="12">
        <v>2786</v>
      </c>
      <c r="H921" s="12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1047</v>
      </c>
      <c r="N921" t="b">
        <v>1</v>
      </c>
    </row>
    <row r="922" spans="1:14" x14ac:dyDescent="0.3">
      <c r="A922" t="s">
        <v>1968</v>
      </c>
      <c r="B922" t="s">
        <v>414</v>
      </c>
      <c r="C922" s="1">
        <v>45483</v>
      </c>
      <c r="E922" t="s">
        <v>32</v>
      </c>
      <c r="F922">
        <v>16</v>
      </c>
      <c r="G922" s="12">
        <v>3184</v>
      </c>
      <c r="H922" s="1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1047</v>
      </c>
      <c r="N922" t="b">
        <v>1</v>
      </c>
    </row>
    <row r="923" spans="1:14" x14ac:dyDescent="0.3">
      <c r="A923" t="s">
        <v>1969</v>
      </c>
      <c r="B923" t="s">
        <v>290</v>
      </c>
      <c r="C923" s="1">
        <v>45522</v>
      </c>
      <c r="E923" t="s">
        <v>15</v>
      </c>
      <c r="F923">
        <v>93</v>
      </c>
      <c r="G923" s="12">
        <v>1767</v>
      </c>
      <c r="H923" s="12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1050</v>
      </c>
      <c r="N923" t="b">
        <v>1</v>
      </c>
    </row>
    <row r="924" spans="1:14" x14ac:dyDescent="0.3">
      <c r="A924" t="s">
        <v>1970</v>
      </c>
      <c r="B924" t="s">
        <v>234</v>
      </c>
      <c r="C924" s="1">
        <v>45645</v>
      </c>
      <c r="E924" t="s">
        <v>39</v>
      </c>
      <c r="F924">
        <v>17</v>
      </c>
      <c r="G924" s="12">
        <v>833</v>
      </c>
      <c r="H924" s="12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1047</v>
      </c>
      <c r="N924" t="b">
        <v>1</v>
      </c>
    </row>
    <row r="925" spans="1:14" x14ac:dyDescent="0.3">
      <c r="A925" t="s">
        <v>1971</v>
      </c>
      <c r="B925" t="s">
        <v>506</v>
      </c>
      <c r="C925" s="1">
        <v>45607</v>
      </c>
      <c r="E925" t="s">
        <v>15</v>
      </c>
      <c r="F925">
        <v>15</v>
      </c>
      <c r="G925" s="12">
        <v>285</v>
      </c>
      <c r="H925" s="12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1047</v>
      </c>
      <c r="N925" t="b">
        <v>1</v>
      </c>
    </row>
    <row r="926" spans="1:14" x14ac:dyDescent="0.3">
      <c r="A926" t="s">
        <v>1972</v>
      </c>
      <c r="B926" t="s">
        <v>426</v>
      </c>
      <c r="C926" s="1">
        <v>45560</v>
      </c>
      <c r="E926" t="s">
        <v>32</v>
      </c>
      <c r="F926">
        <v>53</v>
      </c>
      <c r="G926" s="12">
        <v>10547</v>
      </c>
      <c r="H926" s="12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1050</v>
      </c>
      <c r="N926" t="b">
        <v>1</v>
      </c>
    </row>
    <row r="927" spans="1:14" x14ac:dyDescent="0.3">
      <c r="A927" t="s">
        <v>1973</v>
      </c>
      <c r="B927" t="s">
        <v>914</v>
      </c>
      <c r="C927" s="1">
        <v>45611</v>
      </c>
      <c r="E927" t="s">
        <v>15</v>
      </c>
      <c r="F927">
        <v>42</v>
      </c>
      <c r="G927" s="12">
        <v>798</v>
      </c>
      <c r="H927" s="12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1050</v>
      </c>
      <c r="N927" t="b">
        <v>1</v>
      </c>
    </row>
    <row r="928" spans="1:14" x14ac:dyDescent="0.3">
      <c r="A928" t="s">
        <v>1974</v>
      </c>
      <c r="B928" t="s">
        <v>918</v>
      </c>
      <c r="C928" s="1">
        <v>45648</v>
      </c>
      <c r="E928" t="s">
        <v>15</v>
      </c>
      <c r="F928">
        <v>32</v>
      </c>
      <c r="G928" s="12">
        <v>608</v>
      </c>
      <c r="H928" s="12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1050</v>
      </c>
      <c r="N928" t="b">
        <v>1</v>
      </c>
    </row>
    <row r="929" spans="1:14" x14ac:dyDescent="0.3">
      <c r="A929" t="s">
        <v>1975</v>
      </c>
      <c r="B929" t="s">
        <v>550</v>
      </c>
      <c r="C929" s="1">
        <v>45054</v>
      </c>
      <c r="E929" t="s">
        <v>39</v>
      </c>
      <c r="F929">
        <v>23</v>
      </c>
      <c r="G929" s="12">
        <v>1127</v>
      </c>
      <c r="H929" s="12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1050</v>
      </c>
      <c r="N929" t="b">
        <v>1</v>
      </c>
    </row>
    <row r="930" spans="1:14" x14ac:dyDescent="0.3">
      <c r="A930" t="s">
        <v>1976</v>
      </c>
      <c r="B930" t="s">
        <v>916</v>
      </c>
      <c r="C930" s="1">
        <v>45442</v>
      </c>
      <c r="E930" t="s">
        <v>15</v>
      </c>
      <c r="F930">
        <v>13</v>
      </c>
      <c r="G930" s="12">
        <v>247</v>
      </c>
      <c r="H930" s="12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1047</v>
      </c>
      <c r="N930" t="b">
        <v>1</v>
      </c>
    </row>
    <row r="931" spans="1:14" x14ac:dyDescent="0.3">
      <c r="A931" t="s">
        <v>1977</v>
      </c>
      <c r="B931" t="s">
        <v>542</v>
      </c>
      <c r="C931" s="1">
        <v>45410</v>
      </c>
      <c r="E931" t="s">
        <v>32</v>
      </c>
      <c r="F931">
        <v>14</v>
      </c>
      <c r="G931" s="12">
        <v>2786</v>
      </c>
      <c r="H931" s="12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1047</v>
      </c>
      <c r="N931" t="b">
        <v>1</v>
      </c>
    </row>
    <row r="932" spans="1:14" x14ac:dyDescent="0.3">
      <c r="A932" t="s">
        <v>1978</v>
      </c>
      <c r="B932" t="s">
        <v>68</v>
      </c>
      <c r="C932" s="1">
        <v>45522</v>
      </c>
      <c r="E932" t="s">
        <v>32</v>
      </c>
      <c r="F932">
        <v>9</v>
      </c>
      <c r="G932" s="12">
        <v>1791</v>
      </c>
      <c r="H932" s="1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1050</v>
      </c>
      <c r="N932" t="b">
        <v>1</v>
      </c>
    </row>
    <row r="933" spans="1:14" x14ac:dyDescent="0.3">
      <c r="A933" t="s">
        <v>1979</v>
      </c>
      <c r="B933" t="s">
        <v>370</v>
      </c>
      <c r="C933" s="1">
        <v>45622</v>
      </c>
      <c r="E933" t="s">
        <v>39</v>
      </c>
      <c r="F933">
        <v>21</v>
      </c>
      <c r="G933" s="12">
        <v>1029</v>
      </c>
      <c r="H933" s="12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1047</v>
      </c>
      <c r="N933" t="b">
        <v>0</v>
      </c>
    </row>
    <row r="934" spans="1:14" x14ac:dyDescent="0.3">
      <c r="A934" t="s">
        <v>1980</v>
      </c>
      <c r="B934" t="s">
        <v>45</v>
      </c>
      <c r="C934" s="1">
        <v>45409</v>
      </c>
      <c r="E934" t="s">
        <v>32</v>
      </c>
      <c r="F934">
        <v>23</v>
      </c>
      <c r="G934" s="12">
        <v>0</v>
      </c>
      <c r="H934" s="12">
        <v>0</v>
      </c>
      <c r="I934" t="b">
        <v>1</v>
      </c>
      <c r="J934" t="b">
        <v>0</v>
      </c>
      <c r="K934" t="b">
        <v>0</v>
      </c>
      <c r="L934" t="b">
        <v>0</v>
      </c>
      <c r="M934" t="s">
        <v>1050</v>
      </c>
      <c r="N934" t="b">
        <v>1</v>
      </c>
    </row>
    <row r="935" spans="1:14" x14ac:dyDescent="0.3">
      <c r="A935" t="s">
        <v>1981</v>
      </c>
      <c r="B935" t="s">
        <v>392</v>
      </c>
      <c r="C935" s="1">
        <v>45586</v>
      </c>
      <c r="D935" s="1">
        <v>45650</v>
      </c>
      <c r="E935" t="s">
        <v>15</v>
      </c>
      <c r="F935">
        <v>22</v>
      </c>
      <c r="G935" s="12">
        <v>418</v>
      </c>
      <c r="H935" s="12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1050</v>
      </c>
      <c r="N935" t="b">
        <v>1</v>
      </c>
    </row>
    <row r="936" spans="1:14" x14ac:dyDescent="0.3">
      <c r="A936" t="s">
        <v>1982</v>
      </c>
      <c r="B936" t="s">
        <v>860</v>
      </c>
      <c r="C936" s="1">
        <v>45041</v>
      </c>
      <c r="D936" s="1">
        <v>45304</v>
      </c>
      <c r="E936" t="s">
        <v>32</v>
      </c>
      <c r="F936">
        <v>19</v>
      </c>
      <c r="G936" s="12">
        <v>0</v>
      </c>
      <c r="H936" s="12">
        <v>0</v>
      </c>
      <c r="I936" t="b">
        <v>1</v>
      </c>
      <c r="J936" t="b">
        <v>0</v>
      </c>
      <c r="K936" t="b">
        <v>0</v>
      </c>
      <c r="L936" t="b">
        <v>1</v>
      </c>
      <c r="M936" t="s">
        <v>1050</v>
      </c>
      <c r="N936" t="b">
        <v>1</v>
      </c>
    </row>
    <row r="937" spans="1:14" x14ac:dyDescent="0.3">
      <c r="A937" t="s">
        <v>1983</v>
      </c>
      <c r="B937" t="s">
        <v>940</v>
      </c>
      <c r="C937" s="1">
        <v>45618</v>
      </c>
      <c r="E937" t="s">
        <v>15</v>
      </c>
      <c r="F937">
        <v>25</v>
      </c>
      <c r="G937" s="12">
        <v>475</v>
      </c>
      <c r="H937" s="12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1050</v>
      </c>
      <c r="N937" t="b">
        <v>0</v>
      </c>
    </row>
    <row r="938" spans="1:14" x14ac:dyDescent="0.3">
      <c r="A938" t="s">
        <v>1984</v>
      </c>
      <c r="B938" t="s">
        <v>260</v>
      </c>
      <c r="C938" s="1">
        <v>45296</v>
      </c>
      <c r="E938" t="s">
        <v>39</v>
      </c>
      <c r="F938">
        <v>32</v>
      </c>
      <c r="G938" s="12">
        <v>0</v>
      </c>
      <c r="H938" s="12">
        <v>0</v>
      </c>
      <c r="I938" t="b">
        <v>1</v>
      </c>
      <c r="J938" t="b">
        <v>0</v>
      </c>
      <c r="K938" t="b">
        <v>0</v>
      </c>
      <c r="L938" t="b">
        <v>0</v>
      </c>
      <c r="M938" t="s">
        <v>1050</v>
      </c>
      <c r="N938" t="b">
        <v>1</v>
      </c>
    </row>
    <row r="939" spans="1:14" x14ac:dyDescent="0.3">
      <c r="A939" t="s">
        <v>1985</v>
      </c>
      <c r="B939" t="s">
        <v>702</v>
      </c>
      <c r="C939" s="1">
        <v>45445</v>
      </c>
      <c r="E939" t="s">
        <v>15</v>
      </c>
      <c r="F939">
        <v>15</v>
      </c>
      <c r="G939" s="12">
        <v>285</v>
      </c>
      <c r="H939" s="12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1050</v>
      </c>
      <c r="N939" t="b">
        <v>1</v>
      </c>
    </row>
    <row r="940" spans="1:14" x14ac:dyDescent="0.3">
      <c r="A940" t="s">
        <v>1986</v>
      </c>
      <c r="B940" t="s">
        <v>562</v>
      </c>
      <c r="C940" s="1">
        <v>45590</v>
      </c>
      <c r="E940" t="s">
        <v>32</v>
      </c>
      <c r="F940">
        <v>23</v>
      </c>
      <c r="G940" s="12">
        <v>4577</v>
      </c>
      <c r="H940" s="12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1047</v>
      </c>
      <c r="N940" t="b">
        <v>1</v>
      </c>
    </row>
    <row r="941" spans="1:14" x14ac:dyDescent="0.3">
      <c r="A941" t="s">
        <v>1987</v>
      </c>
      <c r="B941" t="s">
        <v>456</v>
      </c>
      <c r="C941" s="1">
        <v>45320</v>
      </c>
      <c r="E941" t="s">
        <v>32</v>
      </c>
      <c r="F941">
        <v>13</v>
      </c>
      <c r="G941" s="12">
        <v>2587</v>
      </c>
      <c r="H941" s="12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1047</v>
      </c>
      <c r="N941" t="b">
        <v>1</v>
      </c>
    </row>
    <row r="942" spans="1:14" x14ac:dyDescent="0.3">
      <c r="A942" t="s">
        <v>1988</v>
      </c>
      <c r="B942" t="s">
        <v>466</v>
      </c>
      <c r="C942" s="1">
        <v>45338</v>
      </c>
      <c r="E942" t="s">
        <v>32</v>
      </c>
      <c r="F942">
        <v>58</v>
      </c>
      <c r="G942" s="12">
        <v>0</v>
      </c>
      <c r="H942" s="1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1050</v>
      </c>
      <c r="N942" t="b">
        <v>1</v>
      </c>
    </row>
    <row r="943" spans="1:14" x14ac:dyDescent="0.3">
      <c r="A943" t="s">
        <v>1989</v>
      </c>
      <c r="B943" t="s">
        <v>488</v>
      </c>
      <c r="C943" s="1">
        <v>45559</v>
      </c>
      <c r="E943" t="s">
        <v>15</v>
      </c>
      <c r="F943">
        <v>28</v>
      </c>
      <c r="G943" s="12">
        <v>532</v>
      </c>
      <c r="H943" s="12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1047</v>
      </c>
      <c r="N943" t="b">
        <v>1</v>
      </c>
    </row>
    <row r="944" spans="1:14" x14ac:dyDescent="0.3">
      <c r="A944" t="s">
        <v>1990</v>
      </c>
      <c r="B944" t="s">
        <v>698</v>
      </c>
      <c r="C944" s="1">
        <v>45202</v>
      </c>
      <c r="E944" t="s">
        <v>32</v>
      </c>
      <c r="F944">
        <v>65</v>
      </c>
      <c r="G944" s="12">
        <v>12935</v>
      </c>
      <c r="H944" s="12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1047</v>
      </c>
      <c r="N944" t="b">
        <v>1</v>
      </c>
    </row>
    <row r="945" spans="1:14" x14ac:dyDescent="0.3">
      <c r="A945" t="s">
        <v>1991</v>
      </c>
      <c r="B945" t="s">
        <v>912</v>
      </c>
      <c r="C945" s="1">
        <v>45131</v>
      </c>
      <c r="E945" t="s">
        <v>39</v>
      </c>
      <c r="F945">
        <v>7</v>
      </c>
      <c r="G945" s="12">
        <v>343</v>
      </c>
      <c r="H945" s="12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1047</v>
      </c>
      <c r="N945" t="b">
        <v>1</v>
      </c>
    </row>
    <row r="946" spans="1:14" x14ac:dyDescent="0.3">
      <c r="A946" t="s">
        <v>1992</v>
      </c>
      <c r="B946" t="s">
        <v>470</v>
      </c>
      <c r="C946" s="1">
        <v>45132</v>
      </c>
      <c r="E946" t="s">
        <v>32</v>
      </c>
      <c r="F946">
        <v>24</v>
      </c>
      <c r="G946" s="12">
        <v>0</v>
      </c>
      <c r="H946" s="12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1047</v>
      </c>
      <c r="N946" t="b">
        <v>1</v>
      </c>
    </row>
    <row r="947" spans="1:14" x14ac:dyDescent="0.3">
      <c r="A947" t="s">
        <v>1993</v>
      </c>
      <c r="B947" t="s">
        <v>354</v>
      </c>
      <c r="C947" s="1">
        <v>45652</v>
      </c>
      <c r="E947" t="s">
        <v>32</v>
      </c>
      <c r="F947">
        <v>13</v>
      </c>
      <c r="G947" s="12">
        <v>2587</v>
      </c>
      <c r="H947" s="12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1047</v>
      </c>
      <c r="N947" t="b">
        <v>1</v>
      </c>
    </row>
    <row r="948" spans="1:14" x14ac:dyDescent="0.3">
      <c r="A948" t="s">
        <v>1994</v>
      </c>
      <c r="B948" t="s">
        <v>218</v>
      </c>
      <c r="C948" s="1">
        <v>45427</v>
      </c>
      <c r="E948" t="s">
        <v>15</v>
      </c>
      <c r="F948">
        <v>95</v>
      </c>
      <c r="G948" s="12">
        <v>1805</v>
      </c>
      <c r="H948" s="12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1047</v>
      </c>
      <c r="N948" t="b">
        <v>1</v>
      </c>
    </row>
    <row r="949" spans="1:14" x14ac:dyDescent="0.3">
      <c r="A949" t="s">
        <v>1995</v>
      </c>
      <c r="B949" t="s">
        <v>812</v>
      </c>
      <c r="C949" s="1">
        <v>45377</v>
      </c>
      <c r="E949" t="s">
        <v>39</v>
      </c>
      <c r="F949">
        <v>30</v>
      </c>
      <c r="G949" s="12">
        <v>1470</v>
      </c>
      <c r="H949" s="12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1050</v>
      </c>
      <c r="N949" t="b">
        <v>1</v>
      </c>
    </row>
    <row r="950" spans="1:14" x14ac:dyDescent="0.3">
      <c r="A950" t="s">
        <v>1996</v>
      </c>
      <c r="B950" t="s">
        <v>340</v>
      </c>
      <c r="C950" s="1">
        <v>45634</v>
      </c>
      <c r="E950" t="s">
        <v>32</v>
      </c>
      <c r="F950">
        <v>13</v>
      </c>
      <c r="G950" s="12">
        <v>2587</v>
      </c>
      <c r="H950" s="12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1050</v>
      </c>
      <c r="N950" t="b">
        <v>1</v>
      </c>
    </row>
    <row r="951" spans="1:14" x14ac:dyDescent="0.3">
      <c r="A951" t="s">
        <v>1997</v>
      </c>
      <c r="B951" t="s">
        <v>184</v>
      </c>
      <c r="C951" s="1">
        <v>45233</v>
      </c>
      <c r="E951" t="s">
        <v>15</v>
      </c>
      <c r="F951">
        <v>33</v>
      </c>
      <c r="G951" s="12">
        <v>627</v>
      </c>
      <c r="H951" s="12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1047</v>
      </c>
      <c r="N951" t="b">
        <v>0</v>
      </c>
    </row>
    <row r="952" spans="1:14" x14ac:dyDescent="0.3">
      <c r="A952" t="s">
        <v>1998</v>
      </c>
      <c r="B952" t="s">
        <v>218</v>
      </c>
      <c r="C952" s="1">
        <v>45278</v>
      </c>
      <c r="E952" t="s">
        <v>32</v>
      </c>
      <c r="F952">
        <v>9</v>
      </c>
      <c r="G952" s="12">
        <v>0</v>
      </c>
      <c r="H952" s="1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1050</v>
      </c>
      <c r="N952" t="b">
        <v>1</v>
      </c>
    </row>
    <row r="953" spans="1:14" x14ac:dyDescent="0.3">
      <c r="A953" t="s">
        <v>1999</v>
      </c>
      <c r="B953" t="s">
        <v>650</v>
      </c>
      <c r="C953" s="1">
        <v>45642</v>
      </c>
      <c r="E953" t="s">
        <v>32</v>
      </c>
      <c r="F953">
        <v>5</v>
      </c>
      <c r="G953" s="12">
        <v>995</v>
      </c>
      <c r="H953" s="12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1047</v>
      </c>
      <c r="N953" t="b">
        <v>1</v>
      </c>
    </row>
    <row r="954" spans="1:14" x14ac:dyDescent="0.3">
      <c r="A954" t="s">
        <v>2000</v>
      </c>
      <c r="B954" t="s">
        <v>640</v>
      </c>
      <c r="C954" s="1">
        <v>45491</v>
      </c>
      <c r="E954" t="s">
        <v>15</v>
      </c>
      <c r="F954">
        <v>11</v>
      </c>
      <c r="G954" s="12">
        <v>209</v>
      </c>
      <c r="H954" s="12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1047</v>
      </c>
      <c r="N954" t="b">
        <v>1</v>
      </c>
    </row>
    <row r="955" spans="1:14" x14ac:dyDescent="0.3">
      <c r="A955" t="s">
        <v>2001</v>
      </c>
      <c r="B955" t="s">
        <v>396</v>
      </c>
      <c r="C955" s="1">
        <v>45452</v>
      </c>
      <c r="E955" t="s">
        <v>32</v>
      </c>
      <c r="F955">
        <v>55</v>
      </c>
      <c r="G955" s="12">
        <v>10945</v>
      </c>
      <c r="H955" s="12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1050</v>
      </c>
      <c r="N955" t="b">
        <v>1</v>
      </c>
    </row>
    <row r="956" spans="1:14" x14ac:dyDescent="0.3">
      <c r="A956" t="s">
        <v>2002</v>
      </c>
      <c r="B956" t="s">
        <v>166</v>
      </c>
      <c r="C956" s="1">
        <v>45511</v>
      </c>
      <c r="E956" t="s">
        <v>32</v>
      </c>
      <c r="F956">
        <v>45</v>
      </c>
      <c r="G956" s="12">
        <v>8955</v>
      </c>
      <c r="H956" s="12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1050</v>
      </c>
      <c r="N956" t="b">
        <v>1</v>
      </c>
    </row>
    <row r="957" spans="1:14" x14ac:dyDescent="0.3">
      <c r="A957" t="s">
        <v>2003</v>
      </c>
      <c r="B957" t="s">
        <v>758</v>
      </c>
      <c r="C957" s="1">
        <v>45593</v>
      </c>
      <c r="D957" s="1">
        <v>45642</v>
      </c>
      <c r="E957" t="s">
        <v>15</v>
      </c>
      <c r="F957">
        <v>18</v>
      </c>
      <c r="G957" s="12">
        <v>342</v>
      </c>
      <c r="H957" s="12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1050</v>
      </c>
      <c r="N957" t="b">
        <v>1</v>
      </c>
    </row>
    <row r="958" spans="1:14" x14ac:dyDescent="0.3">
      <c r="A958" t="s">
        <v>2004</v>
      </c>
      <c r="B958" t="s">
        <v>514</v>
      </c>
      <c r="C958" s="1">
        <v>45511</v>
      </c>
      <c r="E958" t="s">
        <v>15</v>
      </c>
      <c r="F958">
        <v>18</v>
      </c>
      <c r="G958" s="12">
        <v>342</v>
      </c>
      <c r="H958" s="12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1047</v>
      </c>
      <c r="N958" t="b">
        <v>0</v>
      </c>
    </row>
    <row r="959" spans="1:14" x14ac:dyDescent="0.3">
      <c r="A959" t="s">
        <v>2005</v>
      </c>
      <c r="B959" t="s">
        <v>260</v>
      </c>
      <c r="C959" s="1">
        <v>45235</v>
      </c>
      <c r="E959" t="s">
        <v>39</v>
      </c>
      <c r="F959">
        <v>19</v>
      </c>
      <c r="G959" s="12">
        <v>931</v>
      </c>
      <c r="H959" s="12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1047</v>
      </c>
      <c r="N959" t="b">
        <v>0</v>
      </c>
    </row>
    <row r="960" spans="1:14" x14ac:dyDescent="0.3">
      <c r="A960" t="s">
        <v>2006</v>
      </c>
      <c r="B960" t="s">
        <v>976</v>
      </c>
      <c r="C960" s="1">
        <v>45324</v>
      </c>
      <c r="E960" t="s">
        <v>39</v>
      </c>
      <c r="F960">
        <v>54</v>
      </c>
      <c r="G960" s="12">
        <v>2646</v>
      </c>
      <c r="H960" s="12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1047</v>
      </c>
      <c r="N960" t="b">
        <v>0</v>
      </c>
    </row>
    <row r="961" spans="1:14" x14ac:dyDescent="0.3">
      <c r="A961" t="s">
        <v>2007</v>
      </c>
      <c r="B961" t="s">
        <v>790</v>
      </c>
      <c r="C961" s="1">
        <v>45612</v>
      </c>
      <c r="D961" s="1">
        <v>45616</v>
      </c>
      <c r="E961" t="s">
        <v>15</v>
      </c>
      <c r="F961">
        <v>34</v>
      </c>
      <c r="G961" s="12">
        <v>646</v>
      </c>
      <c r="H961" s="12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1047</v>
      </c>
      <c r="N961" t="b">
        <v>1</v>
      </c>
    </row>
    <row r="962" spans="1:14" x14ac:dyDescent="0.3">
      <c r="A962" t="s">
        <v>2008</v>
      </c>
      <c r="B962" t="s">
        <v>978</v>
      </c>
      <c r="C962" s="1">
        <v>45553</v>
      </c>
      <c r="E962" t="s">
        <v>32</v>
      </c>
      <c r="F962">
        <v>5</v>
      </c>
      <c r="G962" s="12">
        <v>995</v>
      </c>
      <c r="H962" s="1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1050</v>
      </c>
      <c r="N962" t="b">
        <v>1</v>
      </c>
    </row>
    <row r="963" spans="1:14" x14ac:dyDescent="0.3">
      <c r="A963" t="s">
        <v>2009</v>
      </c>
      <c r="B963" t="s">
        <v>734</v>
      </c>
      <c r="C963" s="1">
        <v>45591</v>
      </c>
      <c r="E963" t="s">
        <v>39</v>
      </c>
      <c r="F963">
        <v>29</v>
      </c>
      <c r="G963" s="12">
        <v>1421</v>
      </c>
      <c r="H963" s="12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1047</v>
      </c>
      <c r="N963" t="b">
        <v>0</v>
      </c>
    </row>
    <row r="964" spans="1:14" x14ac:dyDescent="0.3">
      <c r="A964" t="s">
        <v>2010</v>
      </c>
      <c r="B964" t="s">
        <v>466</v>
      </c>
      <c r="C964" s="1">
        <v>45433</v>
      </c>
      <c r="E964" t="s">
        <v>15</v>
      </c>
      <c r="F964">
        <v>20</v>
      </c>
      <c r="G964" s="12">
        <v>0</v>
      </c>
      <c r="H964" s="12">
        <v>0</v>
      </c>
      <c r="I964" t="b">
        <v>1</v>
      </c>
      <c r="J964" t="b">
        <v>0</v>
      </c>
      <c r="K964" t="b">
        <v>0</v>
      </c>
      <c r="L964" t="b">
        <v>0</v>
      </c>
      <c r="M964" t="s">
        <v>1050</v>
      </c>
      <c r="N964" t="b">
        <v>1</v>
      </c>
    </row>
    <row r="965" spans="1:14" x14ac:dyDescent="0.3">
      <c r="A965" t="s">
        <v>2011</v>
      </c>
      <c r="B965" t="s">
        <v>766</v>
      </c>
      <c r="C965" s="1">
        <v>45452</v>
      </c>
      <c r="E965" t="s">
        <v>39</v>
      </c>
      <c r="F965">
        <v>105</v>
      </c>
      <c r="G965" s="12">
        <v>5145</v>
      </c>
      <c r="H965" s="12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1047</v>
      </c>
      <c r="N965" t="b">
        <v>1</v>
      </c>
    </row>
    <row r="966" spans="1:14" x14ac:dyDescent="0.3">
      <c r="A966" t="s">
        <v>2012</v>
      </c>
      <c r="B966" t="s">
        <v>562</v>
      </c>
      <c r="C966" s="1">
        <v>45444</v>
      </c>
      <c r="E966" t="s">
        <v>39</v>
      </c>
      <c r="F966">
        <v>23</v>
      </c>
      <c r="G966" s="12">
        <v>1127</v>
      </c>
      <c r="H966" s="12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1050</v>
      </c>
      <c r="N966" t="b">
        <v>0</v>
      </c>
    </row>
    <row r="967" spans="1:14" x14ac:dyDescent="0.3">
      <c r="A967" t="s">
        <v>2013</v>
      </c>
      <c r="B967" t="s">
        <v>876</v>
      </c>
      <c r="C967" s="1">
        <v>45322</v>
      </c>
      <c r="E967" t="s">
        <v>15</v>
      </c>
      <c r="F967">
        <v>25</v>
      </c>
      <c r="G967" s="12">
        <v>0</v>
      </c>
      <c r="H967" s="12">
        <v>0</v>
      </c>
      <c r="I967" t="b">
        <v>1</v>
      </c>
      <c r="J967" t="b">
        <v>0</v>
      </c>
      <c r="K967" t="b">
        <v>0</v>
      </c>
      <c r="L967" t="b">
        <v>0</v>
      </c>
      <c r="M967" t="s">
        <v>1050</v>
      </c>
      <c r="N967" t="b">
        <v>0</v>
      </c>
    </row>
    <row r="968" spans="1:14" x14ac:dyDescent="0.3">
      <c r="A968" t="s">
        <v>2014</v>
      </c>
      <c r="B968" t="s">
        <v>782</v>
      </c>
      <c r="C968" s="1">
        <v>45010</v>
      </c>
      <c r="E968" t="s">
        <v>32</v>
      </c>
      <c r="F968">
        <v>9</v>
      </c>
      <c r="G968" s="12">
        <v>1791</v>
      </c>
      <c r="H968" s="12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1050</v>
      </c>
      <c r="N968" t="b">
        <v>1</v>
      </c>
    </row>
    <row r="969" spans="1:14" x14ac:dyDescent="0.3">
      <c r="A969" t="s">
        <v>2015</v>
      </c>
      <c r="B969" t="s">
        <v>558</v>
      </c>
      <c r="C969" s="1">
        <v>45637</v>
      </c>
      <c r="D969" s="1">
        <v>45638</v>
      </c>
      <c r="E969" t="s">
        <v>32</v>
      </c>
      <c r="F969">
        <v>14</v>
      </c>
      <c r="G969" s="12">
        <v>2786</v>
      </c>
      <c r="H969" s="12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1047</v>
      </c>
      <c r="N969" t="b">
        <v>1</v>
      </c>
    </row>
    <row r="970" spans="1:14" x14ac:dyDescent="0.3">
      <c r="A970" t="s">
        <v>2016</v>
      </c>
      <c r="B970" t="s">
        <v>328</v>
      </c>
      <c r="C970" s="1">
        <v>45563</v>
      </c>
      <c r="E970" t="s">
        <v>39</v>
      </c>
      <c r="F970">
        <v>31</v>
      </c>
      <c r="G970" s="12">
        <v>0</v>
      </c>
      <c r="H970" s="12">
        <v>0</v>
      </c>
      <c r="I970" t="b">
        <v>1</v>
      </c>
      <c r="J970" t="b">
        <v>0</v>
      </c>
      <c r="K970" t="b">
        <v>0</v>
      </c>
      <c r="L970" t="b">
        <v>0</v>
      </c>
      <c r="M970" t="s">
        <v>1050</v>
      </c>
      <c r="N970" t="b">
        <v>1</v>
      </c>
    </row>
    <row r="971" spans="1:14" x14ac:dyDescent="0.3">
      <c r="A971" t="s">
        <v>2017</v>
      </c>
      <c r="B971" t="s">
        <v>822</v>
      </c>
      <c r="C971" s="1">
        <v>45397</v>
      </c>
      <c r="D971" s="1">
        <v>45482</v>
      </c>
      <c r="E971" t="s">
        <v>39</v>
      </c>
      <c r="F971">
        <v>7</v>
      </c>
      <c r="G971" s="12">
        <v>343</v>
      </c>
      <c r="H971" s="12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1050</v>
      </c>
      <c r="N971" t="b">
        <v>0</v>
      </c>
    </row>
    <row r="972" spans="1:14" x14ac:dyDescent="0.3">
      <c r="A972" t="s">
        <v>2018</v>
      </c>
      <c r="B972" t="s">
        <v>330</v>
      </c>
      <c r="C972" s="1">
        <v>45526</v>
      </c>
      <c r="E972" t="s">
        <v>15</v>
      </c>
      <c r="F972">
        <v>30</v>
      </c>
      <c r="G972" s="12">
        <v>570</v>
      </c>
      <c r="H972" s="1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1047</v>
      </c>
      <c r="N972" t="b">
        <v>1</v>
      </c>
    </row>
    <row r="973" spans="1:14" x14ac:dyDescent="0.3">
      <c r="A973" t="s">
        <v>2019</v>
      </c>
      <c r="B973" t="s">
        <v>504</v>
      </c>
      <c r="C973" s="1">
        <v>45524</v>
      </c>
      <c r="E973" t="s">
        <v>15</v>
      </c>
      <c r="F973">
        <v>18</v>
      </c>
      <c r="G973" s="12">
        <v>342</v>
      </c>
      <c r="H973" s="12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1047</v>
      </c>
      <c r="N973" t="b">
        <v>0</v>
      </c>
    </row>
    <row r="974" spans="1:14" x14ac:dyDescent="0.3">
      <c r="A974" t="s">
        <v>2020</v>
      </c>
      <c r="B974" t="s">
        <v>214</v>
      </c>
      <c r="C974" s="1">
        <v>45652</v>
      </c>
      <c r="E974" t="s">
        <v>15</v>
      </c>
      <c r="F974">
        <v>57</v>
      </c>
      <c r="G974" s="12">
        <v>1083</v>
      </c>
      <c r="H974" s="12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1050</v>
      </c>
      <c r="N974" t="b">
        <v>1</v>
      </c>
    </row>
    <row r="975" spans="1:14" x14ac:dyDescent="0.3">
      <c r="A975" t="s">
        <v>2021</v>
      </c>
      <c r="B975" t="s">
        <v>452</v>
      </c>
      <c r="C975" s="1">
        <v>45523</v>
      </c>
      <c r="E975" t="s">
        <v>39</v>
      </c>
      <c r="F975">
        <v>21</v>
      </c>
      <c r="G975" s="12">
        <v>1029</v>
      </c>
      <c r="H975" s="12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1047</v>
      </c>
      <c r="N975" t="b">
        <v>1</v>
      </c>
    </row>
    <row r="976" spans="1:14" x14ac:dyDescent="0.3">
      <c r="A976" t="s">
        <v>2022</v>
      </c>
      <c r="B976" t="s">
        <v>212</v>
      </c>
      <c r="C976" s="1">
        <v>45553</v>
      </c>
      <c r="E976" t="s">
        <v>32</v>
      </c>
      <c r="F976">
        <v>48</v>
      </c>
      <c r="G976" s="12">
        <v>9552</v>
      </c>
      <c r="H976" s="12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1047</v>
      </c>
      <c r="N976" t="b">
        <v>0</v>
      </c>
    </row>
    <row r="977" spans="1:14" x14ac:dyDescent="0.3">
      <c r="A977" t="s">
        <v>2023</v>
      </c>
      <c r="B977" t="s">
        <v>932</v>
      </c>
      <c r="C977" s="1">
        <v>45533</v>
      </c>
      <c r="E977" t="s">
        <v>15</v>
      </c>
      <c r="F977">
        <v>25</v>
      </c>
      <c r="G977" s="12">
        <v>0</v>
      </c>
      <c r="H977" s="12">
        <v>0</v>
      </c>
      <c r="I977" t="b">
        <v>1</v>
      </c>
      <c r="J977" t="b">
        <v>0</v>
      </c>
      <c r="K977" t="b">
        <v>0</v>
      </c>
      <c r="L977" t="b">
        <v>0</v>
      </c>
      <c r="M977" t="s">
        <v>1050</v>
      </c>
      <c r="N977" t="b">
        <v>1</v>
      </c>
    </row>
    <row r="978" spans="1:14" x14ac:dyDescent="0.3">
      <c r="A978" t="s">
        <v>2024</v>
      </c>
      <c r="B978" t="s">
        <v>360</v>
      </c>
      <c r="C978" s="1">
        <v>45584</v>
      </c>
      <c r="E978" t="s">
        <v>32</v>
      </c>
      <c r="F978">
        <v>83</v>
      </c>
      <c r="G978" s="12">
        <v>16517</v>
      </c>
      <c r="H978" s="12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1047</v>
      </c>
      <c r="N978" t="b">
        <v>1</v>
      </c>
    </row>
    <row r="979" spans="1:14" x14ac:dyDescent="0.3">
      <c r="A979" t="s">
        <v>2025</v>
      </c>
      <c r="B979" t="s">
        <v>764</v>
      </c>
      <c r="C979" s="1">
        <v>45514</v>
      </c>
      <c r="E979" t="s">
        <v>15</v>
      </c>
      <c r="F979">
        <v>69</v>
      </c>
      <c r="G979" s="12">
        <v>1311</v>
      </c>
      <c r="H979" s="12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1047</v>
      </c>
      <c r="N979" t="b">
        <v>1</v>
      </c>
    </row>
    <row r="980" spans="1:14" x14ac:dyDescent="0.3">
      <c r="A980" t="s">
        <v>2026</v>
      </c>
      <c r="B980" t="s">
        <v>752</v>
      </c>
      <c r="C980" s="1">
        <v>45403</v>
      </c>
      <c r="E980" t="s">
        <v>32</v>
      </c>
      <c r="F980">
        <v>42</v>
      </c>
      <c r="G980" s="12">
        <v>8358</v>
      </c>
      <c r="H980" s="12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1050</v>
      </c>
      <c r="N980" t="b">
        <v>1</v>
      </c>
    </row>
    <row r="981" spans="1:14" x14ac:dyDescent="0.3">
      <c r="A981" t="s">
        <v>2027</v>
      </c>
      <c r="B981" t="s">
        <v>116</v>
      </c>
      <c r="C981" s="1">
        <v>45535</v>
      </c>
      <c r="E981" t="s">
        <v>32</v>
      </c>
      <c r="F981">
        <v>14</v>
      </c>
      <c r="G981" s="12">
        <v>0</v>
      </c>
      <c r="H981" s="12">
        <v>0</v>
      </c>
      <c r="I981" t="b">
        <v>1</v>
      </c>
      <c r="J981" t="b">
        <v>0</v>
      </c>
      <c r="K981" t="b">
        <v>0</v>
      </c>
      <c r="L981" t="b">
        <v>0</v>
      </c>
      <c r="M981" t="s">
        <v>1050</v>
      </c>
      <c r="N981" t="b">
        <v>1</v>
      </c>
    </row>
    <row r="982" spans="1:14" x14ac:dyDescent="0.3">
      <c r="A982" t="s">
        <v>2028</v>
      </c>
      <c r="B982" t="s">
        <v>774</v>
      </c>
      <c r="C982" s="1">
        <v>45534</v>
      </c>
      <c r="E982" t="s">
        <v>32</v>
      </c>
      <c r="F982">
        <v>11</v>
      </c>
      <c r="G982" s="12">
        <v>2189</v>
      </c>
      <c r="H982" s="1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1047</v>
      </c>
      <c r="N982" t="b">
        <v>1</v>
      </c>
    </row>
    <row r="983" spans="1:14" x14ac:dyDescent="0.3">
      <c r="A983" t="s">
        <v>2029</v>
      </c>
      <c r="B983" t="s">
        <v>416</v>
      </c>
      <c r="C983" s="1">
        <v>45491</v>
      </c>
      <c r="E983" t="s">
        <v>39</v>
      </c>
      <c r="F983">
        <v>5</v>
      </c>
      <c r="G983" s="12">
        <v>245</v>
      </c>
      <c r="H983" s="12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1047</v>
      </c>
      <c r="N983" t="b">
        <v>1</v>
      </c>
    </row>
    <row r="984" spans="1:14" x14ac:dyDescent="0.3">
      <c r="A984" t="s">
        <v>2030</v>
      </c>
      <c r="B984" t="s">
        <v>816</v>
      </c>
      <c r="C984" s="1">
        <v>45534</v>
      </c>
      <c r="E984" t="s">
        <v>39</v>
      </c>
      <c r="F984">
        <v>33</v>
      </c>
      <c r="G984" s="12">
        <v>1617</v>
      </c>
      <c r="H984" s="12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1047</v>
      </c>
      <c r="N984" t="b">
        <v>0</v>
      </c>
    </row>
    <row r="985" spans="1:14" x14ac:dyDescent="0.3">
      <c r="A985" t="s">
        <v>2031</v>
      </c>
      <c r="B985" t="s">
        <v>196</v>
      </c>
      <c r="C985" s="1">
        <v>45621</v>
      </c>
      <c r="D985" s="1">
        <v>45624</v>
      </c>
      <c r="E985" t="s">
        <v>15</v>
      </c>
      <c r="F985">
        <v>38</v>
      </c>
      <c r="G985" s="12">
        <v>722</v>
      </c>
      <c r="H985" s="12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1050</v>
      </c>
      <c r="N985" t="b">
        <v>1</v>
      </c>
    </row>
    <row r="986" spans="1:14" x14ac:dyDescent="0.3">
      <c r="A986" t="s">
        <v>2032</v>
      </c>
      <c r="B986" t="s">
        <v>344</v>
      </c>
      <c r="C986" s="1">
        <v>45445</v>
      </c>
      <c r="E986" t="s">
        <v>32</v>
      </c>
      <c r="F986">
        <v>70</v>
      </c>
      <c r="G986" s="12">
        <v>13930</v>
      </c>
      <c r="H986" s="12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1050</v>
      </c>
      <c r="N986" t="b">
        <v>1</v>
      </c>
    </row>
    <row r="987" spans="1:14" x14ac:dyDescent="0.3">
      <c r="A987" t="s">
        <v>2033</v>
      </c>
      <c r="B987" t="s">
        <v>324</v>
      </c>
      <c r="C987" s="1">
        <v>45480</v>
      </c>
      <c r="E987" t="s">
        <v>15</v>
      </c>
      <c r="F987">
        <v>86</v>
      </c>
      <c r="G987" s="12">
        <v>1634</v>
      </c>
      <c r="H987" s="12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1047</v>
      </c>
      <c r="N987" t="b">
        <v>1</v>
      </c>
    </row>
    <row r="988" spans="1:14" x14ac:dyDescent="0.3">
      <c r="A988" t="s">
        <v>2034</v>
      </c>
      <c r="B988" t="s">
        <v>1012</v>
      </c>
      <c r="C988" s="1">
        <v>45416</v>
      </c>
      <c r="D988" s="1">
        <v>45575</v>
      </c>
      <c r="E988" t="s">
        <v>15</v>
      </c>
      <c r="F988">
        <v>10</v>
      </c>
      <c r="G988" s="12">
        <v>190</v>
      </c>
      <c r="H988" s="12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1050</v>
      </c>
      <c r="N988" t="b">
        <v>1</v>
      </c>
    </row>
    <row r="989" spans="1:14" x14ac:dyDescent="0.3">
      <c r="A989" t="s">
        <v>2035</v>
      </c>
      <c r="B989" t="s">
        <v>36</v>
      </c>
      <c r="C989" s="1">
        <v>45593</v>
      </c>
      <c r="E989" t="s">
        <v>39</v>
      </c>
      <c r="F989">
        <v>11</v>
      </c>
      <c r="G989" s="12">
        <v>539</v>
      </c>
      <c r="H989" s="12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1050</v>
      </c>
      <c r="N989" t="b">
        <v>1</v>
      </c>
    </row>
    <row r="990" spans="1:14" x14ac:dyDescent="0.3">
      <c r="A990" t="s">
        <v>2036</v>
      </c>
      <c r="B990" t="s">
        <v>586</v>
      </c>
      <c r="C990" s="1">
        <v>45503</v>
      </c>
      <c r="E990" t="s">
        <v>32</v>
      </c>
      <c r="F990">
        <v>21</v>
      </c>
      <c r="G990" s="12">
        <v>4179</v>
      </c>
      <c r="H990" s="12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1050</v>
      </c>
      <c r="N990" t="b">
        <v>1</v>
      </c>
    </row>
    <row r="991" spans="1:14" x14ac:dyDescent="0.3">
      <c r="A991" t="s">
        <v>2037</v>
      </c>
      <c r="B991" t="s">
        <v>272</v>
      </c>
      <c r="C991" s="1">
        <v>45437</v>
      </c>
      <c r="E991" t="s">
        <v>32</v>
      </c>
      <c r="F991">
        <v>15</v>
      </c>
      <c r="G991" s="12">
        <v>2985</v>
      </c>
      <c r="H991" s="12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1050</v>
      </c>
      <c r="N991" t="b">
        <v>1</v>
      </c>
    </row>
    <row r="992" spans="1:14" x14ac:dyDescent="0.3">
      <c r="A992" t="s">
        <v>2038</v>
      </c>
      <c r="B992" t="s">
        <v>494</v>
      </c>
      <c r="C992" s="1">
        <v>45396</v>
      </c>
      <c r="E992" t="s">
        <v>39</v>
      </c>
      <c r="F992">
        <v>20</v>
      </c>
      <c r="G992" s="12">
        <v>0</v>
      </c>
      <c r="H992" s="1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1047</v>
      </c>
      <c r="N992" t="b">
        <v>1</v>
      </c>
    </row>
    <row r="993" spans="1:14" x14ac:dyDescent="0.3">
      <c r="A993" t="s">
        <v>2039</v>
      </c>
      <c r="B993" t="s">
        <v>644</v>
      </c>
      <c r="C993" s="1">
        <v>45602</v>
      </c>
      <c r="E993" t="s">
        <v>15</v>
      </c>
      <c r="F993">
        <v>16</v>
      </c>
      <c r="G993" s="12">
        <v>304</v>
      </c>
      <c r="H993" s="12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1047</v>
      </c>
      <c r="N993" t="b">
        <v>1</v>
      </c>
    </row>
    <row r="994" spans="1:14" x14ac:dyDescent="0.3">
      <c r="A994" t="s">
        <v>2040</v>
      </c>
      <c r="B994" t="s">
        <v>932</v>
      </c>
      <c r="C994" s="1">
        <v>45557</v>
      </c>
      <c r="E994" t="s">
        <v>39</v>
      </c>
      <c r="F994">
        <v>25</v>
      </c>
      <c r="G994" s="12">
        <v>1225</v>
      </c>
      <c r="H994" s="12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1047</v>
      </c>
      <c r="N994" t="b">
        <v>1</v>
      </c>
    </row>
    <row r="995" spans="1:14" x14ac:dyDescent="0.3">
      <c r="A995" t="s">
        <v>2041</v>
      </c>
      <c r="B995" t="s">
        <v>78</v>
      </c>
      <c r="C995" s="1">
        <v>45181</v>
      </c>
      <c r="E995" t="s">
        <v>15</v>
      </c>
      <c r="F995">
        <v>26</v>
      </c>
      <c r="G995" s="12">
        <v>494</v>
      </c>
      <c r="H995" s="12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1047</v>
      </c>
      <c r="N995" t="b">
        <v>1</v>
      </c>
    </row>
    <row r="996" spans="1:14" x14ac:dyDescent="0.3">
      <c r="A996" t="s">
        <v>2042</v>
      </c>
      <c r="B996" t="s">
        <v>698</v>
      </c>
      <c r="C996" s="1">
        <v>45418</v>
      </c>
      <c r="E996" t="s">
        <v>15</v>
      </c>
      <c r="F996">
        <v>41</v>
      </c>
      <c r="G996" s="12">
        <v>779</v>
      </c>
      <c r="H996" s="12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1047</v>
      </c>
      <c r="N996" t="b">
        <v>1</v>
      </c>
    </row>
    <row r="997" spans="1:14" x14ac:dyDescent="0.3">
      <c r="A997" t="s">
        <v>2043</v>
      </c>
      <c r="B997" t="s">
        <v>904</v>
      </c>
      <c r="C997" s="1">
        <v>45426</v>
      </c>
      <c r="E997" t="s">
        <v>32</v>
      </c>
      <c r="F997">
        <v>45</v>
      </c>
      <c r="G997" s="12">
        <v>0</v>
      </c>
      <c r="H997" s="12">
        <v>0</v>
      </c>
      <c r="I997" t="b">
        <v>1</v>
      </c>
      <c r="J997" t="b">
        <v>0</v>
      </c>
      <c r="K997" t="b">
        <v>0</v>
      </c>
      <c r="L997" t="b">
        <v>0</v>
      </c>
      <c r="M997" t="s">
        <v>1050</v>
      </c>
      <c r="N997" t="b">
        <v>1</v>
      </c>
    </row>
    <row r="998" spans="1:14" x14ac:dyDescent="0.3">
      <c r="A998" t="s">
        <v>2044</v>
      </c>
      <c r="B998" t="s">
        <v>368</v>
      </c>
      <c r="C998" s="1">
        <v>45137</v>
      </c>
      <c r="E998" t="s">
        <v>15</v>
      </c>
      <c r="F998">
        <v>34</v>
      </c>
      <c r="G998" s="12">
        <v>0</v>
      </c>
      <c r="H998" s="12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1047</v>
      </c>
      <c r="N998" t="b">
        <v>1</v>
      </c>
    </row>
    <row r="999" spans="1:14" x14ac:dyDescent="0.3">
      <c r="A999" t="s">
        <v>2045</v>
      </c>
      <c r="B999" t="s">
        <v>456</v>
      </c>
      <c r="C999" s="1">
        <v>45256</v>
      </c>
      <c r="E999" t="s">
        <v>15</v>
      </c>
      <c r="F999">
        <v>11</v>
      </c>
      <c r="G999" s="12">
        <v>209</v>
      </c>
      <c r="H999" s="12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1050</v>
      </c>
      <c r="N999" t="b">
        <v>0</v>
      </c>
    </row>
    <row r="1000" spans="1:14" x14ac:dyDescent="0.3">
      <c r="A1000" t="s">
        <v>2046</v>
      </c>
      <c r="B1000" t="s">
        <v>654</v>
      </c>
      <c r="C1000" s="1">
        <v>45653</v>
      </c>
      <c r="E1000" t="s">
        <v>32</v>
      </c>
      <c r="F1000">
        <v>18</v>
      </c>
      <c r="G1000" s="12">
        <v>3582</v>
      </c>
      <c r="H1000" s="12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1047</v>
      </c>
      <c r="N1000" t="b">
        <v>1</v>
      </c>
    </row>
    <row r="1001" spans="1:14" x14ac:dyDescent="0.3">
      <c r="A1001" t="s">
        <v>2047</v>
      </c>
      <c r="B1001" t="s">
        <v>1018</v>
      </c>
      <c r="C1001" s="1">
        <v>45416</v>
      </c>
      <c r="D1001" s="1">
        <v>45564</v>
      </c>
      <c r="E1001" t="s">
        <v>32</v>
      </c>
      <c r="F1001">
        <v>39</v>
      </c>
      <c r="G1001" s="12">
        <v>0</v>
      </c>
      <c r="H1001" s="12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1050</v>
      </c>
      <c r="N1001" t="b">
        <v>1</v>
      </c>
    </row>
    <row r="1002" spans="1:14" x14ac:dyDescent="0.3">
      <c r="A1002" t="s">
        <v>2048</v>
      </c>
      <c r="B1002" t="s">
        <v>982</v>
      </c>
      <c r="C1002" s="1">
        <v>45119</v>
      </c>
      <c r="E1002" t="s">
        <v>15</v>
      </c>
      <c r="F1002">
        <v>20</v>
      </c>
      <c r="G1002" s="12">
        <v>380</v>
      </c>
      <c r="H1002" s="1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1050</v>
      </c>
      <c r="N1002" t="b">
        <v>0</v>
      </c>
    </row>
    <row r="1003" spans="1:14" x14ac:dyDescent="0.3">
      <c r="A1003" t="s">
        <v>2049</v>
      </c>
      <c r="B1003" t="s">
        <v>360</v>
      </c>
      <c r="C1003" s="1">
        <v>45501</v>
      </c>
      <c r="E1003" t="s">
        <v>39</v>
      </c>
      <c r="F1003">
        <v>10</v>
      </c>
      <c r="G1003" s="12">
        <v>490</v>
      </c>
      <c r="H1003" s="12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1047</v>
      </c>
      <c r="N1003" t="b">
        <v>0</v>
      </c>
    </row>
    <row r="1004" spans="1:14" x14ac:dyDescent="0.3">
      <c r="A1004" t="s">
        <v>2050</v>
      </c>
      <c r="B1004" t="s">
        <v>806</v>
      </c>
      <c r="C1004" s="1">
        <v>45657</v>
      </c>
      <c r="E1004" t="s">
        <v>32</v>
      </c>
      <c r="F1004">
        <v>3</v>
      </c>
      <c r="G1004" s="12">
        <v>0</v>
      </c>
      <c r="H1004" s="12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1047</v>
      </c>
      <c r="N1004" t="b">
        <v>1</v>
      </c>
    </row>
    <row r="1005" spans="1:14" x14ac:dyDescent="0.3">
      <c r="A1005" t="s">
        <v>2051</v>
      </c>
      <c r="B1005" t="s">
        <v>328</v>
      </c>
      <c r="C1005" s="1">
        <v>45595</v>
      </c>
      <c r="E1005" t="s">
        <v>15</v>
      </c>
      <c r="F1005">
        <v>30</v>
      </c>
      <c r="G1005" s="12">
        <v>0</v>
      </c>
      <c r="H1005" s="12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1047</v>
      </c>
      <c r="N1005" t="b">
        <v>1</v>
      </c>
    </row>
    <row r="1006" spans="1:14" x14ac:dyDescent="0.3">
      <c r="A1006" t="s">
        <v>2052</v>
      </c>
      <c r="B1006" t="s">
        <v>740</v>
      </c>
      <c r="C1006" s="1">
        <v>45545</v>
      </c>
      <c r="E1006" t="s">
        <v>39</v>
      </c>
      <c r="F1006">
        <v>26</v>
      </c>
      <c r="G1006" s="12">
        <v>1274</v>
      </c>
      <c r="H1006" s="12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1050</v>
      </c>
      <c r="N1006" t="b">
        <v>1</v>
      </c>
    </row>
    <row r="1007" spans="1:14" x14ac:dyDescent="0.3">
      <c r="A1007" t="s">
        <v>2053</v>
      </c>
      <c r="B1007" t="s">
        <v>566</v>
      </c>
      <c r="C1007" s="1">
        <v>45575</v>
      </c>
      <c r="E1007" t="s">
        <v>32</v>
      </c>
      <c r="F1007">
        <v>11</v>
      </c>
      <c r="G1007" s="12">
        <v>0</v>
      </c>
      <c r="H1007" s="12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1047</v>
      </c>
      <c r="N1007" t="b">
        <v>1</v>
      </c>
    </row>
    <row r="1008" spans="1:14" x14ac:dyDescent="0.3">
      <c r="A1008" t="s">
        <v>2054</v>
      </c>
      <c r="B1008" t="s">
        <v>656</v>
      </c>
      <c r="C1008" s="1">
        <v>45408</v>
      </c>
      <c r="E1008" t="s">
        <v>15</v>
      </c>
      <c r="F1008">
        <v>31</v>
      </c>
      <c r="G1008" s="12">
        <v>589</v>
      </c>
      <c r="H1008" s="12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1047</v>
      </c>
      <c r="N1008" t="b">
        <v>1</v>
      </c>
    </row>
    <row r="1009" spans="1:14" x14ac:dyDescent="0.3">
      <c r="A1009" t="s">
        <v>2055</v>
      </c>
      <c r="B1009" t="s">
        <v>524</v>
      </c>
      <c r="C1009" s="1">
        <v>45608</v>
      </c>
      <c r="E1009" t="s">
        <v>32</v>
      </c>
      <c r="F1009">
        <v>17</v>
      </c>
      <c r="G1009" s="12">
        <v>3383</v>
      </c>
      <c r="H1009" s="12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1050</v>
      </c>
      <c r="N1009" t="b">
        <v>1</v>
      </c>
    </row>
    <row r="1010" spans="1:14" x14ac:dyDescent="0.3">
      <c r="A1010" t="s">
        <v>2056</v>
      </c>
      <c r="B1010" t="s">
        <v>466</v>
      </c>
      <c r="C1010" s="1">
        <v>45642</v>
      </c>
      <c r="E1010" t="s">
        <v>39</v>
      </c>
      <c r="F1010">
        <v>35</v>
      </c>
      <c r="G1010" s="12">
        <v>1715</v>
      </c>
      <c r="H1010" s="12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1050</v>
      </c>
      <c r="N1010" t="b">
        <v>1</v>
      </c>
    </row>
    <row r="1011" spans="1:14" x14ac:dyDescent="0.3">
      <c r="A1011" t="s">
        <v>2057</v>
      </c>
      <c r="B1011" t="s">
        <v>568</v>
      </c>
      <c r="C1011" s="1">
        <v>45648</v>
      </c>
      <c r="E1011" t="s">
        <v>32</v>
      </c>
      <c r="F1011">
        <v>51</v>
      </c>
      <c r="G1011" s="12">
        <v>10149</v>
      </c>
      <c r="H1011" s="12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1050</v>
      </c>
      <c r="N1011" t="b">
        <v>0</v>
      </c>
    </row>
    <row r="1012" spans="1:14" x14ac:dyDescent="0.3">
      <c r="A1012" t="s">
        <v>2058</v>
      </c>
      <c r="B1012" t="s">
        <v>978</v>
      </c>
      <c r="C1012" s="1">
        <v>45474</v>
      </c>
      <c r="E1012" t="s">
        <v>32</v>
      </c>
      <c r="F1012">
        <v>26</v>
      </c>
      <c r="G1012" s="12">
        <v>5174</v>
      </c>
      <c r="H1012" s="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1050</v>
      </c>
      <c r="N1012" t="b">
        <v>0</v>
      </c>
    </row>
    <row r="1013" spans="1:14" x14ac:dyDescent="0.3">
      <c r="A1013" t="s">
        <v>2059</v>
      </c>
      <c r="B1013" t="s">
        <v>562</v>
      </c>
      <c r="C1013" s="1">
        <v>45603</v>
      </c>
      <c r="E1013" t="s">
        <v>32</v>
      </c>
      <c r="F1013">
        <v>50</v>
      </c>
      <c r="G1013" s="12">
        <v>0</v>
      </c>
      <c r="H1013" s="12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1050</v>
      </c>
      <c r="N1013" t="b">
        <v>1</v>
      </c>
    </row>
    <row r="1014" spans="1:14" x14ac:dyDescent="0.3">
      <c r="A1014" t="s">
        <v>2060</v>
      </c>
      <c r="B1014" t="s">
        <v>534</v>
      </c>
      <c r="C1014" s="1">
        <v>45390</v>
      </c>
      <c r="D1014" s="1">
        <v>45509</v>
      </c>
      <c r="E1014" t="s">
        <v>32</v>
      </c>
      <c r="F1014">
        <v>19</v>
      </c>
      <c r="G1014" s="12">
        <v>3781</v>
      </c>
      <c r="H1014" s="12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1050</v>
      </c>
      <c r="N1014" t="b">
        <v>1</v>
      </c>
    </row>
    <row r="1015" spans="1:14" x14ac:dyDescent="0.3">
      <c r="A1015" t="s">
        <v>2061</v>
      </c>
      <c r="B1015" t="s">
        <v>228</v>
      </c>
      <c r="C1015" s="1">
        <v>45220</v>
      </c>
      <c r="E1015" t="s">
        <v>15</v>
      </c>
      <c r="F1015">
        <v>49</v>
      </c>
      <c r="G1015" s="12">
        <v>931</v>
      </c>
      <c r="H1015" s="12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1047</v>
      </c>
      <c r="N1015" t="b">
        <v>1</v>
      </c>
    </row>
    <row r="1016" spans="1:14" x14ac:dyDescent="0.3">
      <c r="A1016" t="s">
        <v>2062</v>
      </c>
      <c r="B1016" t="s">
        <v>506</v>
      </c>
      <c r="C1016" s="1">
        <v>45600</v>
      </c>
      <c r="E1016" t="s">
        <v>15</v>
      </c>
      <c r="F1016">
        <v>15</v>
      </c>
      <c r="G1016" s="12">
        <v>285</v>
      </c>
      <c r="H1016" s="12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1047</v>
      </c>
      <c r="N1016" t="b">
        <v>1</v>
      </c>
    </row>
    <row r="1017" spans="1:14" x14ac:dyDescent="0.3">
      <c r="A1017" t="s">
        <v>2063</v>
      </c>
      <c r="B1017" t="s">
        <v>848</v>
      </c>
      <c r="C1017" s="1">
        <v>45492</v>
      </c>
      <c r="E1017" t="s">
        <v>39</v>
      </c>
      <c r="F1017">
        <v>6</v>
      </c>
      <c r="G1017" s="12">
        <v>294</v>
      </c>
      <c r="H1017" s="12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1050</v>
      </c>
      <c r="N1017" t="b">
        <v>0</v>
      </c>
    </row>
    <row r="1018" spans="1:14" x14ac:dyDescent="0.3">
      <c r="A1018" t="s">
        <v>2064</v>
      </c>
      <c r="B1018" t="s">
        <v>74</v>
      </c>
      <c r="C1018" s="1">
        <v>45517</v>
      </c>
      <c r="E1018" t="s">
        <v>39</v>
      </c>
      <c r="F1018">
        <v>86</v>
      </c>
      <c r="G1018" s="12">
        <v>0</v>
      </c>
      <c r="H1018" s="12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1047</v>
      </c>
      <c r="N1018" t="b">
        <v>1</v>
      </c>
    </row>
    <row r="1019" spans="1:14" x14ac:dyDescent="0.3">
      <c r="A1019" t="s">
        <v>2065</v>
      </c>
      <c r="B1019" t="s">
        <v>33</v>
      </c>
      <c r="C1019" s="1">
        <v>45538</v>
      </c>
      <c r="E1019" t="s">
        <v>15</v>
      </c>
      <c r="F1019">
        <v>17</v>
      </c>
      <c r="G1019" s="12">
        <v>323</v>
      </c>
      <c r="H1019" s="12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1050</v>
      </c>
      <c r="N1019" t="b">
        <v>1</v>
      </c>
    </row>
    <row r="1020" spans="1:14" x14ac:dyDescent="0.3">
      <c r="A1020" t="s">
        <v>2066</v>
      </c>
      <c r="B1020" t="s">
        <v>290</v>
      </c>
      <c r="C1020" s="1">
        <v>45496</v>
      </c>
      <c r="E1020" t="s">
        <v>39</v>
      </c>
      <c r="F1020">
        <v>93</v>
      </c>
      <c r="G1020" s="12">
        <v>4557</v>
      </c>
      <c r="H1020" s="12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1050</v>
      </c>
      <c r="N1020" t="b">
        <v>1</v>
      </c>
    </row>
    <row r="1021" spans="1:14" x14ac:dyDescent="0.3">
      <c r="A1021" t="s">
        <v>2067</v>
      </c>
      <c r="B1021" t="s">
        <v>548</v>
      </c>
      <c r="C1021" s="1">
        <v>45620</v>
      </c>
      <c r="E1021" t="s">
        <v>39</v>
      </c>
      <c r="F1021">
        <v>25</v>
      </c>
      <c r="G1021" s="12">
        <v>1225</v>
      </c>
      <c r="H1021" s="12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1047</v>
      </c>
      <c r="N1021" t="b">
        <v>1</v>
      </c>
    </row>
    <row r="1022" spans="1:14" x14ac:dyDescent="0.3">
      <c r="A1022" t="s">
        <v>2068</v>
      </c>
      <c r="B1022" t="s">
        <v>146</v>
      </c>
      <c r="C1022" s="1">
        <v>45610</v>
      </c>
      <c r="E1022" t="s">
        <v>39</v>
      </c>
      <c r="F1022">
        <v>39</v>
      </c>
      <c r="G1022" s="12">
        <v>1911</v>
      </c>
      <c r="H1022" s="1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1050</v>
      </c>
      <c r="N1022" t="b">
        <v>1</v>
      </c>
    </row>
    <row r="1023" spans="1:14" x14ac:dyDescent="0.3">
      <c r="A1023" t="s">
        <v>2069</v>
      </c>
      <c r="B1023" t="s">
        <v>770</v>
      </c>
      <c r="C1023" s="1">
        <v>45391</v>
      </c>
      <c r="E1023" t="s">
        <v>15</v>
      </c>
      <c r="F1023">
        <v>44</v>
      </c>
      <c r="G1023" s="12">
        <v>836</v>
      </c>
      <c r="H1023" s="12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1047</v>
      </c>
      <c r="N1023" t="b">
        <v>1</v>
      </c>
    </row>
    <row r="1024" spans="1:14" x14ac:dyDescent="0.3">
      <c r="A1024" t="s">
        <v>2070</v>
      </c>
      <c r="B1024" t="s">
        <v>368</v>
      </c>
      <c r="C1024" s="1">
        <v>45394</v>
      </c>
      <c r="E1024" t="s">
        <v>32</v>
      </c>
      <c r="F1024">
        <v>34</v>
      </c>
      <c r="G1024" s="12">
        <v>6766</v>
      </c>
      <c r="H1024" s="12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1050</v>
      </c>
      <c r="N1024" t="b">
        <v>1</v>
      </c>
    </row>
    <row r="1025" spans="1:14" x14ac:dyDescent="0.3">
      <c r="A1025" t="s">
        <v>2071</v>
      </c>
      <c r="B1025" t="s">
        <v>968</v>
      </c>
      <c r="C1025" s="1">
        <v>45555</v>
      </c>
      <c r="E1025" t="s">
        <v>15</v>
      </c>
      <c r="F1025">
        <v>32</v>
      </c>
      <c r="G1025" s="12">
        <v>0</v>
      </c>
      <c r="H1025" s="12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1047</v>
      </c>
      <c r="N1025" t="b">
        <v>1</v>
      </c>
    </row>
    <row r="1026" spans="1:14" x14ac:dyDescent="0.3">
      <c r="A1026" t="s">
        <v>2072</v>
      </c>
      <c r="B1026" t="s">
        <v>522</v>
      </c>
      <c r="C1026" s="1">
        <v>45315</v>
      </c>
      <c r="E1026" t="s">
        <v>32</v>
      </c>
      <c r="F1026">
        <v>11</v>
      </c>
      <c r="G1026" s="12">
        <v>2189</v>
      </c>
      <c r="H1026" s="12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1050</v>
      </c>
      <c r="N1026" t="b">
        <v>1</v>
      </c>
    </row>
    <row r="1027" spans="1:14" x14ac:dyDescent="0.3">
      <c r="A1027" t="s">
        <v>2073</v>
      </c>
      <c r="B1027" t="s">
        <v>942</v>
      </c>
      <c r="C1027" s="1">
        <v>45627</v>
      </c>
      <c r="D1027" s="1">
        <v>45641</v>
      </c>
      <c r="E1027" t="s">
        <v>39</v>
      </c>
      <c r="F1027">
        <v>3</v>
      </c>
      <c r="G1027" s="12">
        <v>0</v>
      </c>
      <c r="H1027" s="12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1050</v>
      </c>
      <c r="N1027" t="b">
        <v>1</v>
      </c>
    </row>
    <row r="1028" spans="1:14" x14ac:dyDescent="0.3">
      <c r="A1028" t="s">
        <v>2074</v>
      </c>
      <c r="B1028" t="s">
        <v>980</v>
      </c>
      <c r="C1028" s="1">
        <v>45651</v>
      </c>
      <c r="E1028" t="s">
        <v>15</v>
      </c>
      <c r="F1028">
        <v>67</v>
      </c>
      <c r="G1028" s="12">
        <v>1273</v>
      </c>
      <c r="H1028" s="12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1050</v>
      </c>
      <c r="N1028" t="b">
        <v>1</v>
      </c>
    </row>
    <row r="1029" spans="1:14" x14ac:dyDescent="0.3">
      <c r="A1029" t="s">
        <v>2075</v>
      </c>
      <c r="B1029" t="s">
        <v>608</v>
      </c>
      <c r="C1029" s="1">
        <v>45411</v>
      </c>
      <c r="E1029" t="s">
        <v>32</v>
      </c>
      <c r="F1029">
        <v>30</v>
      </c>
      <c r="G1029" s="12">
        <v>5970</v>
      </c>
      <c r="H1029" s="12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1047</v>
      </c>
      <c r="N1029" t="b">
        <v>1</v>
      </c>
    </row>
    <row r="1030" spans="1:14" x14ac:dyDescent="0.3">
      <c r="A1030" t="s">
        <v>2076</v>
      </c>
      <c r="B1030" t="s">
        <v>242</v>
      </c>
      <c r="C1030" s="1">
        <v>45650</v>
      </c>
      <c r="E1030" t="s">
        <v>39</v>
      </c>
      <c r="F1030">
        <v>40</v>
      </c>
      <c r="G1030" s="12">
        <v>1960</v>
      </c>
      <c r="H1030" s="12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1047</v>
      </c>
      <c r="N1030" t="b">
        <v>1</v>
      </c>
    </row>
    <row r="1031" spans="1:14" x14ac:dyDescent="0.3">
      <c r="A1031" t="s">
        <v>2077</v>
      </c>
      <c r="B1031" t="s">
        <v>1022</v>
      </c>
      <c r="C1031" s="1">
        <v>45357</v>
      </c>
      <c r="E1031" t="s">
        <v>39</v>
      </c>
      <c r="F1031">
        <v>14</v>
      </c>
      <c r="G1031" s="12">
        <v>686</v>
      </c>
      <c r="H1031" s="12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1047</v>
      </c>
      <c r="N1031" t="b">
        <v>1</v>
      </c>
    </row>
    <row r="1032" spans="1:14" x14ac:dyDescent="0.3">
      <c r="A1032" t="s">
        <v>2078</v>
      </c>
      <c r="B1032" t="s">
        <v>376</v>
      </c>
      <c r="C1032" s="1">
        <v>45615</v>
      </c>
      <c r="E1032" t="s">
        <v>32</v>
      </c>
      <c r="F1032">
        <v>55</v>
      </c>
      <c r="G1032" s="12">
        <v>10945</v>
      </c>
      <c r="H1032" s="1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1047</v>
      </c>
      <c r="N1032" t="b">
        <v>1</v>
      </c>
    </row>
    <row r="1033" spans="1:14" x14ac:dyDescent="0.3">
      <c r="A1033" t="s">
        <v>2079</v>
      </c>
      <c r="B1033" t="s">
        <v>614</v>
      </c>
      <c r="C1033" s="1">
        <v>45642</v>
      </c>
      <c r="E1033" t="s">
        <v>39</v>
      </c>
      <c r="F1033">
        <v>27</v>
      </c>
      <c r="G1033" s="12">
        <v>1323</v>
      </c>
      <c r="H1033" s="12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1047</v>
      </c>
      <c r="N1033" t="b">
        <v>0</v>
      </c>
    </row>
    <row r="1034" spans="1:14" x14ac:dyDescent="0.3">
      <c r="A1034" t="s">
        <v>2080</v>
      </c>
      <c r="B1034" t="s">
        <v>638</v>
      </c>
      <c r="C1034" s="1">
        <v>45636</v>
      </c>
      <c r="E1034" t="s">
        <v>39</v>
      </c>
      <c r="F1034">
        <v>19</v>
      </c>
      <c r="G1034" s="12">
        <v>931</v>
      </c>
      <c r="H1034" s="12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1050</v>
      </c>
      <c r="N1034" t="b">
        <v>1</v>
      </c>
    </row>
    <row r="1035" spans="1:14" x14ac:dyDescent="0.3">
      <c r="A1035" t="s">
        <v>2081</v>
      </c>
      <c r="B1035" t="s">
        <v>756</v>
      </c>
      <c r="C1035" s="1">
        <v>45004</v>
      </c>
      <c r="E1035" t="s">
        <v>39</v>
      </c>
      <c r="F1035">
        <v>8</v>
      </c>
      <c r="G1035" s="12">
        <v>392</v>
      </c>
      <c r="H1035" s="12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1050</v>
      </c>
      <c r="N1035" t="b">
        <v>1</v>
      </c>
    </row>
    <row r="1036" spans="1:14" x14ac:dyDescent="0.3">
      <c r="A1036" t="s">
        <v>2082</v>
      </c>
      <c r="B1036" t="s">
        <v>118</v>
      </c>
      <c r="C1036" s="1">
        <v>45606</v>
      </c>
      <c r="E1036" t="s">
        <v>15</v>
      </c>
      <c r="F1036">
        <v>2</v>
      </c>
      <c r="G1036" s="12">
        <v>0</v>
      </c>
      <c r="H1036" s="12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1050</v>
      </c>
      <c r="N1036" t="b">
        <v>0</v>
      </c>
    </row>
    <row r="1037" spans="1:14" x14ac:dyDescent="0.3">
      <c r="A1037" t="s">
        <v>2083</v>
      </c>
      <c r="B1037" t="s">
        <v>492</v>
      </c>
      <c r="C1037" s="1">
        <v>45654</v>
      </c>
      <c r="E1037" t="s">
        <v>39</v>
      </c>
      <c r="F1037">
        <v>5</v>
      </c>
      <c r="G1037" s="12">
        <v>245</v>
      </c>
      <c r="H1037" s="12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1047</v>
      </c>
      <c r="N1037" t="b">
        <v>0</v>
      </c>
    </row>
    <row r="1038" spans="1:14" x14ac:dyDescent="0.3">
      <c r="A1038" t="s">
        <v>2084</v>
      </c>
      <c r="B1038" t="s">
        <v>566</v>
      </c>
      <c r="C1038" s="1">
        <v>45587</v>
      </c>
      <c r="E1038" t="s">
        <v>15</v>
      </c>
      <c r="F1038">
        <v>11</v>
      </c>
      <c r="G1038" s="12">
        <v>209</v>
      </c>
      <c r="H1038" s="12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1047</v>
      </c>
      <c r="N1038" t="b">
        <v>0</v>
      </c>
    </row>
    <row r="1039" spans="1:14" x14ac:dyDescent="0.3">
      <c r="A1039" t="s">
        <v>2085</v>
      </c>
      <c r="B1039" t="s">
        <v>412</v>
      </c>
      <c r="C1039" s="1">
        <v>45356</v>
      </c>
      <c r="E1039" t="s">
        <v>15</v>
      </c>
      <c r="F1039">
        <v>19</v>
      </c>
      <c r="G1039" s="12">
        <v>361</v>
      </c>
      <c r="H1039" s="12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1047</v>
      </c>
      <c r="N1039" t="b">
        <v>1</v>
      </c>
    </row>
    <row r="1040" spans="1:14" x14ac:dyDescent="0.3">
      <c r="A1040" t="s">
        <v>2086</v>
      </c>
      <c r="B1040" t="s">
        <v>484</v>
      </c>
      <c r="C1040" s="1">
        <v>45657</v>
      </c>
      <c r="E1040" t="s">
        <v>15</v>
      </c>
      <c r="F1040">
        <v>54</v>
      </c>
      <c r="G1040" s="12">
        <v>1026</v>
      </c>
      <c r="H1040" s="12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1050</v>
      </c>
      <c r="N1040" t="b">
        <v>0</v>
      </c>
    </row>
    <row r="1041" spans="1:14" x14ac:dyDescent="0.3">
      <c r="A1041" t="s">
        <v>2087</v>
      </c>
      <c r="B1041" t="s">
        <v>956</v>
      </c>
      <c r="C1041" s="1">
        <v>45474</v>
      </c>
      <c r="E1041" t="s">
        <v>15</v>
      </c>
      <c r="F1041">
        <v>12</v>
      </c>
      <c r="G1041" s="12">
        <v>228</v>
      </c>
      <c r="H1041" s="12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1047</v>
      </c>
      <c r="N1041" t="b">
        <v>1</v>
      </c>
    </row>
    <row r="1042" spans="1:14" x14ac:dyDescent="0.3">
      <c r="A1042" t="s">
        <v>2088</v>
      </c>
      <c r="B1042" t="s">
        <v>378</v>
      </c>
      <c r="C1042" s="1">
        <v>45644</v>
      </c>
      <c r="E1042" t="s">
        <v>39</v>
      </c>
      <c r="F1042">
        <v>70</v>
      </c>
      <c r="G1042" s="12">
        <v>3430</v>
      </c>
      <c r="H1042" s="1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1050</v>
      </c>
      <c r="N1042" t="b">
        <v>1</v>
      </c>
    </row>
    <row r="1043" spans="1:14" x14ac:dyDescent="0.3">
      <c r="A1043" t="s">
        <v>2089</v>
      </c>
      <c r="B1043" t="s">
        <v>824</v>
      </c>
      <c r="C1043" s="1">
        <v>45393</v>
      </c>
      <c r="E1043" t="s">
        <v>15</v>
      </c>
      <c r="F1043">
        <v>17</v>
      </c>
      <c r="G1043" s="12">
        <v>323</v>
      </c>
      <c r="H1043" s="12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1047</v>
      </c>
      <c r="N1043" t="b">
        <v>1</v>
      </c>
    </row>
    <row r="1044" spans="1:14" x14ac:dyDescent="0.3">
      <c r="A1044" t="s">
        <v>2090</v>
      </c>
      <c r="B1044" t="s">
        <v>870</v>
      </c>
      <c r="C1044" s="1">
        <v>45656</v>
      </c>
      <c r="E1044" t="s">
        <v>32</v>
      </c>
      <c r="F1044">
        <v>6</v>
      </c>
      <c r="G1044" s="12">
        <v>1194</v>
      </c>
      <c r="H1044" s="12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1047</v>
      </c>
      <c r="N1044" t="b">
        <v>0</v>
      </c>
    </row>
    <row r="1045" spans="1:14" x14ac:dyDescent="0.3">
      <c r="A1045" t="s">
        <v>2091</v>
      </c>
      <c r="B1045" t="s">
        <v>240</v>
      </c>
      <c r="C1045" s="1">
        <v>45038</v>
      </c>
      <c r="E1045" t="s">
        <v>39</v>
      </c>
      <c r="F1045">
        <v>44</v>
      </c>
      <c r="G1045" s="12">
        <v>2156</v>
      </c>
      <c r="H1045" s="12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1050</v>
      </c>
      <c r="N1045" t="b">
        <v>1</v>
      </c>
    </row>
    <row r="1046" spans="1:14" x14ac:dyDescent="0.3">
      <c r="A1046" t="s">
        <v>2092</v>
      </c>
      <c r="B1046" t="s">
        <v>760</v>
      </c>
      <c r="C1046" s="1">
        <v>45454</v>
      </c>
      <c r="E1046" t="s">
        <v>15</v>
      </c>
      <c r="F1046">
        <v>21</v>
      </c>
      <c r="G1046" s="12">
        <v>399</v>
      </c>
      <c r="H1046" s="12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1050</v>
      </c>
      <c r="N1046" t="b">
        <v>1</v>
      </c>
    </row>
    <row r="1047" spans="1:14" x14ac:dyDescent="0.3">
      <c r="A1047" t="s">
        <v>2093</v>
      </c>
      <c r="B1047" t="s">
        <v>984</v>
      </c>
      <c r="C1047" s="1">
        <v>45374</v>
      </c>
      <c r="E1047" t="s">
        <v>32</v>
      </c>
      <c r="F1047">
        <v>14</v>
      </c>
      <c r="G1047" s="12">
        <v>2786</v>
      </c>
      <c r="H1047" s="12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1047</v>
      </c>
      <c r="N1047" t="b">
        <v>1</v>
      </c>
    </row>
    <row r="1048" spans="1:14" x14ac:dyDescent="0.3">
      <c r="A1048" t="s">
        <v>2094</v>
      </c>
      <c r="B1048" t="s">
        <v>370</v>
      </c>
      <c r="C1048" s="1">
        <v>45619</v>
      </c>
      <c r="E1048" t="s">
        <v>15</v>
      </c>
      <c r="F1048">
        <v>19</v>
      </c>
      <c r="G1048" s="12">
        <v>361</v>
      </c>
      <c r="H1048" s="12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1047</v>
      </c>
      <c r="N1048" t="b">
        <v>1</v>
      </c>
    </row>
    <row r="1049" spans="1:14" x14ac:dyDescent="0.3">
      <c r="A1049" t="s">
        <v>2095</v>
      </c>
      <c r="B1049" t="s">
        <v>562</v>
      </c>
      <c r="C1049" s="1">
        <v>45613</v>
      </c>
      <c r="E1049" t="s">
        <v>32</v>
      </c>
      <c r="F1049">
        <v>42</v>
      </c>
      <c r="G1049" s="12">
        <v>0</v>
      </c>
      <c r="H1049" s="12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1050</v>
      </c>
      <c r="N1049" t="b">
        <v>0</v>
      </c>
    </row>
    <row r="1050" spans="1:14" x14ac:dyDescent="0.3">
      <c r="A1050" t="s">
        <v>2096</v>
      </c>
      <c r="B1050" t="s">
        <v>49</v>
      </c>
      <c r="C1050" s="1">
        <v>45640</v>
      </c>
      <c r="E1050" t="s">
        <v>39</v>
      </c>
      <c r="F1050">
        <v>59</v>
      </c>
      <c r="G1050" s="12">
        <v>2891</v>
      </c>
      <c r="H1050" s="12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1047</v>
      </c>
      <c r="N1050" t="b">
        <v>1</v>
      </c>
    </row>
    <row r="1051" spans="1:14" x14ac:dyDescent="0.3">
      <c r="A1051" t="s">
        <v>2097</v>
      </c>
      <c r="B1051" t="s">
        <v>358</v>
      </c>
      <c r="C1051" s="1">
        <v>45480</v>
      </c>
      <c r="E1051" t="s">
        <v>15</v>
      </c>
      <c r="F1051">
        <v>25</v>
      </c>
      <c r="G1051" s="12">
        <v>0</v>
      </c>
      <c r="H1051" s="12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1050</v>
      </c>
      <c r="N1051" t="b">
        <v>1</v>
      </c>
    </row>
    <row r="1052" spans="1:14" x14ac:dyDescent="0.3">
      <c r="A1052" t="s">
        <v>2098</v>
      </c>
      <c r="B1052" t="s">
        <v>312</v>
      </c>
      <c r="C1052" s="1">
        <v>45581</v>
      </c>
      <c r="E1052" t="s">
        <v>39</v>
      </c>
      <c r="F1052">
        <v>13</v>
      </c>
      <c r="G1052" s="12">
        <v>0</v>
      </c>
      <c r="H1052" s="1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1050</v>
      </c>
      <c r="N1052" t="b">
        <v>1</v>
      </c>
    </row>
    <row r="1053" spans="1:14" x14ac:dyDescent="0.3">
      <c r="A1053" t="s">
        <v>2099</v>
      </c>
      <c r="B1053" t="s">
        <v>716</v>
      </c>
      <c r="C1053" s="1">
        <v>45485</v>
      </c>
      <c r="E1053" t="s">
        <v>39</v>
      </c>
      <c r="F1053">
        <v>35</v>
      </c>
      <c r="G1053" s="12">
        <v>1715</v>
      </c>
      <c r="H1053" s="12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1047</v>
      </c>
      <c r="N1053" t="b">
        <v>1</v>
      </c>
    </row>
    <row r="1054" spans="1:14" x14ac:dyDescent="0.3">
      <c r="A1054" t="s">
        <v>2100</v>
      </c>
      <c r="B1054" t="s">
        <v>190</v>
      </c>
      <c r="C1054" s="1">
        <v>45422</v>
      </c>
      <c r="E1054" t="s">
        <v>15</v>
      </c>
      <c r="F1054">
        <v>56</v>
      </c>
      <c r="G1054" s="12">
        <v>1064</v>
      </c>
      <c r="H1054" s="12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1047</v>
      </c>
      <c r="N1054" t="b">
        <v>0</v>
      </c>
    </row>
    <row r="1055" spans="1:14" x14ac:dyDescent="0.3">
      <c r="A1055" t="s">
        <v>2101</v>
      </c>
      <c r="B1055" t="s">
        <v>1010</v>
      </c>
      <c r="C1055" s="1">
        <v>45654</v>
      </c>
      <c r="E1055" t="s">
        <v>32</v>
      </c>
      <c r="F1055">
        <v>47</v>
      </c>
      <c r="G1055" s="12">
        <v>9353</v>
      </c>
      <c r="H1055" s="12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1047</v>
      </c>
      <c r="N1055" t="b">
        <v>1</v>
      </c>
    </row>
    <row r="1056" spans="1:14" x14ac:dyDescent="0.3">
      <c r="A1056" t="s">
        <v>2102</v>
      </c>
      <c r="B1056" t="s">
        <v>240</v>
      </c>
      <c r="C1056" s="1">
        <v>45556</v>
      </c>
      <c r="E1056" t="s">
        <v>39</v>
      </c>
      <c r="F1056">
        <v>23</v>
      </c>
      <c r="G1056" s="12">
        <v>1127</v>
      </c>
      <c r="H1056" s="12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1050</v>
      </c>
      <c r="N1056" t="b">
        <v>1</v>
      </c>
    </row>
    <row r="1057" spans="1:14" x14ac:dyDescent="0.3">
      <c r="A1057" t="s">
        <v>2103</v>
      </c>
      <c r="B1057" t="s">
        <v>306</v>
      </c>
      <c r="C1057" s="1">
        <v>45551</v>
      </c>
      <c r="E1057" t="s">
        <v>32</v>
      </c>
      <c r="F1057">
        <v>19</v>
      </c>
      <c r="G1057" s="12">
        <v>3781</v>
      </c>
      <c r="H1057" s="12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1050</v>
      </c>
      <c r="N1057" t="b">
        <v>1</v>
      </c>
    </row>
    <row r="1058" spans="1:14" x14ac:dyDescent="0.3">
      <c r="A1058" t="s">
        <v>2104</v>
      </c>
      <c r="B1058" t="s">
        <v>616</v>
      </c>
      <c r="C1058" s="1">
        <v>45331</v>
      </c>
      <c r="E1058" t="s">
        <v>15</v>
      </c>
      <c r="F1058">
        <v>18</v>
      </c>
      <c r="G1058" s="12">
        <v>342</v>
      </c>
      <c r="H1058" s="12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1047</v>
      </c>
      <c r="N1058" t="b">
        <v>1</v>
      </c>
    </row>
    <row r="1059" spans="1:14" x14ac:dyDescent="0.3">
      <c r="A1059" t="s">
        <v>2105</v>
      </c>
      <c r="B1059" t="s">
        <v>348</v>
      </c>
      <c r="C1059" s="1">
        <v>45462</v>
      </c>
      <c r="E1059" t="s">
        <v>32</v>
      </c>
      <c r="F1059">
        <v>16</v>
      </c>
      <c r="G1059" s="12">
        <v>3184</v>
      </c>
      <c r="H1059" s="12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1050</v>
      </c>
      <c r="N1059" t="b">
        <v>1</v>
      </c>
    </row>
    <row r="1060" spans="1:14" x14ac:dyDescent="0.3">
      <c r="A1060" t="s">
        <v>2106</v>
      </c>
      <c r="B1060" t="s">
        <v>78</v>
      </c>
      <c r="C1060" s="1">
        <v>45125</v>
      </c>
      <c r="E1060" t="s">
        <v>15</v>
      </c>
      <c r="F1060">
        <v>26</v>
      </c>
      <c r="G1060" s="12">
        <v>0</v>
      </c>
      <c r="H1060" s="12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1050</v>
      </c>
      <c r="N1060" t="b">
        <v>1</v>
      </c>
    </row>
    <row r="1061" spans="1:14" x14ac:dyDescent="0.3">
      <c r="A1061" t="s">
        <v>2107</v>
      </c>
      <c r="B1061" t="s">
        <v>954</v>
      </c>
      <c r="C1061" s="1">
        <v>45627</v>
      </c>
      <c r="E1061" t="s">
        <v>15</v>
      </c>
      <c r="F1061">
        <v>29</v>
      </c>
      <c r="G1061" s="12">
        <v>551</v>
      </c>
      <c r="H1061" s="12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1047</v>
      </c>
      <c r="N1061" t="b">
        <v>1</v>
      </c>
    </row>
    <row r="1062" spans="1:14" x14ac:dyDescent="0.3">
      <c r="A1062" t="s">
        <v>2108</v>
      </c>
      <c r="B1062" t="s">
        <v>422</v>
      </c>
      <c r="C1062" s="1">
        <v>45248</v>
      </c>
      <c r="D1062" s="1">
        <v>45466</v>
      </c>
      <c r="E1062" t="s">
        <v>15</v>
      </c>
      <c r="F1062">
        <v>2</v>
      </c>
      <c r="G1062" s="12">
        <v>38</v>
      </c>
      <c r="H1062" s="1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1050</v>
      </c>
      <c r="N1062" t="b">
        <v>0</v>
      </c>
    </row>
    <row r="1063" spans="1:14" x14ac:dyDescent="0.3">
      <c r="A1063" t="s">
        <v>2109</v>
      </c>
      <c r="B1063" t="s">
        <v>212</v>
      </c>
      <c r="C1063" s="1">
        <v>45626</v>
      </c>
      <c r="E1063" t="s">
        <v>32</v>
      </c>
      <c r="F1063">
        <v>48</v>
      </c>
      <c r="G1063" s="12">
        <v>9552</v>
      </c>
      <c r="H1063" s="12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1050</v>
      </c>
      <c r="N1063" t="b">
        <v>1</v>
      </c>
    </row>
    <row r="1064" spans="1:14" x14ac:dyDescent="0.3">
      <c r="A1064" t="s">
        <v>2110</v>
      </c>
      <c r="B1064" t="s">
        <v>660</v>
      </c>
      <c r="C1064" s="1">
        <v>45329</v>
      </c>
      <c r="E1064" t="s">
        <v>39</v>
      </c>
      <c r="F1064">
        <v>56</v>
      </c>
      <c r="G1064" s="12">
        <v>2744</v>
      </c>
      <c r="H1064" s="12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1050</v>
      </c>
      <c r="N1064" t="b">
        <v>1</v>
      </c>
    </row>
    <row r="1065" spans="1:14" x14ac:dyDescent="0.3">
      <c r="A1065" t="s">
        <v>2111</v>
      </c>
      <c r="B1065" t="s">
        <v>866</v>
      </c>
      <c r="C1065" s="1">
        <v>45455</v>
      </c>
      <c r="D1065" s="1">
        <v>45649</v>
      </c>
      <c r="E1065" t="s">
        <v>32</v>
      </c>
      <c r="F1065">
        <v>23</v>
      </c>
      <c r="G1065" s="12">
        <v>0</v>
      </c>
      <c r="H1065" s="12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1047</v>
      </c>
      <c r="N1065" t="b">
        <v>0</v>
      </c>
    </row>
    <row r="1066" spans="1:14" x14ac:dyDescent="0.3">
      <c r="A1066" t="s">
        <v>2112</v>
      </c>
      <c r="B1066" t="s">
        <v>1026</v>
      </c>
      <c r="C1066" s="1">
        <v>45614</v>
      </c>
      <c r="E1066" t="s">
        <v>32</v>
      </c>
      <c r="F1066">
        <v>18</v>
      </c>
      <c r="G1066" s="12">
        <v>3582</v>
      </c>
      <c r="H1066" s="12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1047</v>
      </c>
      <c r="N1066" t="b">
        <v>1</v>
      </c>
    </row>
    <row r="1067" spans="1:14" x14ac:dyDescent="0.3">
      <c r="A1067" t="s">
        <v>2113</v>
      </c>
      <c r="B1067" t="s">
        <v>124</v>
      </c>
      <c r="C1067" s="1">
        <v>45586</v>
      </c>
      <c r="E1067" t="s">
        <v>15</v>
      </c>
      <c r="F1067">
        <v>5</v>
      </c>
      <c r="G1067" s="12">
        <v>95</v>
      </c>
      <c r="H1067" s="12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1050</v>
      </c>
      <c r="N1067" t="b">
        <v>0</v>
      </c>
    </row>
    <row r="1068" spans="1:14" x14ac:dyDescent="0.3">
      <c r="A1068" t="s">
        <v>2114</v>
      </c>
      <c r="B1068" t="s">
        <v>346</v>
      </c>
      <c r="C1068" s="1">
        <v>45526</v>
      </c>
      <c r="E1068" t="s">
        <v>39</v>
      </c>
      <c r="F1068">
        <v>24</v>
      </c>
      <c r="G1068" s="12">
        <v>1176</v>
      </c>
      <c r="H1068" s="12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1047</v>
      </c>
      <c r="N1068" t="b">
        <v>1</v>
      </c>
    </row>
    <row r="1069" spans="1:14" x14ac:dyDescent="0.3">
      <c r="A1069" t="s">
        <v>2115</v>
      </c>
      <c r="B1069" t="s">
        <v>1000</v>
      </c>
      <c r="C1069" s="1">
        <v>45561</v>
      </c>
      <c r="D1069" s="1">
        <v>45639</v>
      </c>
      <c r="E1069" t="s">
        <v>15</v>
      </c>
      <c r="F1069">
        <v>53</v>
      </c>
      <c r="G1069" s="12">
        <v>1007</v>
      </c>
      <c r="H1069" s="12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1050</v>
      </c>
      <c r="N1069" t="b">
        <v>1</v>
      </c>
    </row>
    <row r="1070" spans="1:14" x14ac:dyDescent="0.3">
      <c r="A1070" t="s">
        <v>2116</v>
      </c>
      <c r="B1070" t="s">
        <v>964</v>
      </c>
      <c r="C1070" s="1">
        <v>45601</v>
      </c>
      <c r="E1070" t="s">
        <v>39</v>
      </c>
      <c r="F1070">
        <v>10</v>
      </c>
      <c r="G1070" s="12">
        <v>490</v>
      </c>
      <c r="H1070" s="12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1047</v>
      </c>
      <c r="N1070" t="b">
        <v>1</v>
      </c>
    </row>
    <row r="1071" spans="1:14" x14ac:dyDescent="0.3">
      <c r="A1071" t="s">
        <v>2117</v>
      </c>
      <c r="B1071" t="s">
        <v>746</v>
      </c>
      <c r="C1071" s="1">
        <v>45636</v>
      </c>
      <c r="E1071" t="s">
        <v>39</v>
      </c>
      <c r="F1071">
        <v>87</v>
      </c>
      <c r="G1071" s="12">
        <v>4263</v>
      </c>
      <c r="H1071" s="12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1050</v>
      </c>
      <c r="N1071" t="b">
        <v>1</v>
      </c>
    </row>
    <row r="1072" spans="1:14" x14ac:dyDescent="0.3">
      <c r="A1072" t="s">
        <v>2118</v>
      </c>
      <c r="B1072" t="s">
        <v>494</v>
      </c>
      <c r="C1072" s="1">
        <v>45476</v>
      </c>
      <c r="E1072" t="s">
        <v>15</v>
      </c>
      <c r="F1072">
        <v>20</v>
      </c>
      <c r="G1072" s="12">
        <v>380</v>
      </c>
      <c r="H1072" s="1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1047</v>
      </c>
      <c r="N1072" t="b">
        <v>1</v>
      </c>
    </row>
    <row r="1073" spans="1:14" x14ac:dyDescent="0.3">
      <c r="A1073" t="s">
        <v>2119</v>
      </c>
      <c r="B1073" t="s">
        <v>516</v>
      </c>
      <c r="C1073" s="1">
        <v>45374</v>
      </c>
      <c r="E1073" t="s">
        <v>39</v>
      </c>
      <c r="F1073">
        <v>38</v>
      </c>
      <c r="G1073" s="12">
        <v>1862</v>
      </c>
      <c r="H1073" s="12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1050</v>
      </c>
      <c r="N1073" t="b">
        <v>1</v>
      </c>
    </row>
    <row r="1074" spans="1:14" x14ac:dyDescent="0.3">
      <c r="A1074" t="s">
        <v>2120</v>
      </c>
      <c r="B1074" t="s">
        <v>502</v>
      </c>
      <c r="C1074" s="1">
        <v>45316</v>
      </c>
      <c r="E1074" t="s">
        <v>39</v>
      </c>
      <c r="F1074">
        <v>18</v>
      </c>
      <c r="G1074" s="12">
        <v>882</v>
      </c>
      <c r="H1074" s="12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1050</v>
      </c>
      <c r="N1074" t="b">
        <v>1</v>
      </c>
    </row>
    <row r="1075" spans="1:14" x14ac:dyDescent="0.3">
      <c r="A1075" t="s">
        <v>2121</v>
      </c>
      <c r="B1075" t="s">
        <v>648</v>
      </c>
      <c r="C1075" s="1">
        <v>45259</v>
      </c>
      <c r="E1075" t="s">
        <v>32</v>
      </c>
      <c r="F1075">
        <v>15</v>
      </c>
      <c r="G1075" s="12">
        <v>2985</v>
      </c>
      <c r="H1075" s="12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1047</v>
      </c>
      <c r="N1075" t="b">
        <v>1</v>
      </c>
    </row>
    <row r="1076" spans="1:14" x14ac:dyDescent="0.3">
      <c r="A1076" t="s">
        <v>2122</v>
      </c>
      <c r="B1076" t="s">
        <v>444</v>
      </c>
      <c r="C1076" s="1">
        <v>45447</v>
      </c>
      <c r="E1076" t="s">
        <v>39</v>
      </c>
      <c r="F1076">
        <v>9</v>
      </c>
      <c r="G1076" s="12">
        <v>0</v>
      </c>
      <c r="H1076" s="12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1047</v>
      </c>
      <c r="N1076" t="b">
        <v>1</v>
      </c>
    </row>
    <row r="1077" spans="1:14" x14ac:dyDescent="0.3">
      <c r="A1077" t="s">
        <v>2123</v>
      </c>
      <c r="B1077" t="s">
        <v>840</v>
      </c>
      <c r="C1077" s="1">
        <v>45581</v>
      </c>
      <c r="E1077" t="s">
        <v>32</v>
      </c>
      <c r="F1077">
        <v>59</v>
      </c>
      <c r="G1077" s="12">
        <v>0</v>
      </c>
      <c r="H1077" s="12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1050</v>
      </c>
      <c r="N1077" t="b">
        <v>1</v>
      </c>
    </row>
    <row r="1078" spans="1:14" x14ac:dyDescent="0.3">
      <c r="A1078" t="s">
        <v>2124</v>
      </c>
      <c r="B1078" t="s">
        <v>440</v>
      </c>
      <c r="C1078" s="1">
        <v>45639</v>
      </c>
      <c r="E1078" t="s">
        <v>39</v>
      </c>
      <c r="F1078">
        <v>50</v>
      </c>
      <c r="G1078" s="12">
        <v>2450</v>
      </c>
      <c r="H1078" s="12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1047</v>
      </c>
      <c r="N1078" t="b">
        <v>1</v>
      </c>
    </row>
    <row r="1079" spans="1:14" x14ac:dyDescent="0.3">
      <c r="A1079" t="s">
        <v>2125</v>
      </c>
      <c r="B1079" t="s">
        <v>664</v>
      </c>
      <c r="C1079" s="1">
        <v>45524</v>
      </c>
      <c r="E1079" t="s">
        <v>32</v>
      </c>
      <c r="F1079">
        <v>21</v>
      </c>
      <c r="G1079" s="12">
        <v>4179</v>
      </c>
      <c r="H1079" s="12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1047</v>
      </c>
      <c r="N1079" t="b">
        <v>1</v>
      </c>
    </row>
    <row r="1080" spans="1:14" x14ac:dyDescent="0.3">
      <c r="A1080" t="s">
        <v>2126</v>
      </c>
      <c r="B1080" t="s">
        <v>1026</v>
      </c>
      <c r="C1080" s="1">
        <v>45631</v>
      </c>
      <c r="E1080" t="s">
        <v>39</v>
      </c>
      <c r="F1080">
        <v>18</v>
      </c>
      <c r="G1080" s="12">
        <v>882</v>
      </c>
      <c r="H1080" s="12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1047</v>
      </c>
      <c r="N1080" t="b">
        <v>0</v>
      </c>
    </row>
    <row r="1081" spans="1:14" x14ac:dyDescent="0.3">
      <c r="A1081" t="s">
        <v>2127</v>
      </c>
      <c r="B1081" t="s">
        <v>378</v>
      </c>
      <c r="C1081" s="1">
        <v>45278</v>
      </c>
      <c r="E1081" t="s">
        <v>32</v>
      </c>
      <c r="F1081">
        <v>70</v>
      </c>
      <c r="G1081" s="12">
        <v>13930</v>
      </c>
      <c r="H1081" s="12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1050</v>
      </c>
      <c r="N1081" t="b">
        <v>1</v>
      </c>
    </row>
    <row r="1082" spans="1:14" x14ac:dyDescent="0.3">
      <c r="A1082" t="s">
        <v>2128</v>
      </c>
      <c r="B1082" t="s">
        <v>832</v>
      </c>
      <c r="C1082" s="1">
        <v>45452</v>
      </c>
      <c r="E1082" t="s">
        <v>32</v>
      </c>
      <c r="F1082">
        <v>7</v>
      </c>
      <c r="G1082" s="12">
        <v>1393</v>
      </c>
      <c r="H1082" s="1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1050</v>
      </c>
      <c r="N1082" t="b">
        <v>1</v>
      </c>
    </row>
    <row r="1083" spans="1:14" x14ac:dyDescent="0.3">
      <c r="A1083" t="s">
        <v>2129</v>
      </c>
      <c r="B1083" t="s">
        <v>586</v>
      </c>
      <c r="C1083" s="1">
        <v>45562</v>
      </c>
      <c r="E1083" t="s">
        <v>15</v>
      </c>
      <c r="F1083">
        <v>30</v>
      </c>
      <c r="G1083" s="12">
        <v>570</v>
      </c>
      <c r="H1083" s="12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1047</v>
      </c>
      <c r="N1083" t="b">
        <v>1</v>
      </c>
    </row>
    <row r="1084" spans="1:14" x14ac:dyDescent="0.3">
      <c r="A1084" t="s">
        <v>2130</v>
      </c>
      <c r="B1084" t="s">
        <v>786</v>
      </c>
      <c r="C1084" s="1">
        <v>45634</v>
      </c>
      <c r="E1084" t="s">
        <v>32</v>
      </c>
      <c r="F1084">
        <v>22</v>
      </c>
      <c r="G1084" s="12">
        <v>4378</v>
      </c>
      <c r="H1084" s="12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1050</v>
      </c>
      <c r="N1084" t="b">
        <v>1</v>
      </c>
    </row>
    <row r="1085" spans="1:14" x14ac:dyDescent="0.3">
      <c r="A1085" t="s">
        <v>2131</v>
      </c>
      <c r="B1085" t="s">
        <v>146</v>
      </c>
      <c r="C1085" s="1">
        <v>45643</v>
      </c>
      <c r="E1085" t="s">
        <v>39</v>
      </c>
      <c r="F1085">
        <v>47</v>
      </c>
      <c r="G1085" s="12">
        <v>0</v>
      </c>
      <c r="H1085" s="12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1047</v>
      </c>
      <c r="N1085" t="b">
        <v>0</v>
      </c>
    </row>
    <row r="1086" spans="1:14" x14ac:dyDescent="0.3">
      <c r="A1086" t="s">
        <v>2132</v>
      </c>
      <c r="B1086" t="s">
        <v>870</v>
      </c>
      <c r="C1086" s="1">
        <v>45637</v>
      </c>
      <c r="E1086" t="s">
        <v>15</v>
      </c>
      <c r="F1086">
        <v>16</v>
      </c>
      <c r="G1086" s="12">
        <v>304</v>
      </c>
      <c r="H1086" s="12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1050</v>
      </c>
      <c r="N1086" t="b">
        <v>1</v>
      </c>
    </row>
    <row r="1087" spans="1:14" x14ac:dyDescent="0.3">
      <c r="A1087" t="s">
        <v>2133</v>
      </c>
      <c r="B1087" t="s">
        <v>1008</v>
      </c>
      <c r="C1087" s="1">
        <v>45513</v>
      </c>
      <c r="E1087" t="s">
        <v>15</v>
      </c>
      <c r="F1087">
        <v>36</v>
      </c>
      <c r="G1087" s="12">
        <v>684</v>
      </c>
      <c r="H1087" s="12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1047</v>
      </c>
      <c r="N1087" t="b">
        <v>1</v>
      </c>
    </row>
    <row r="1088" spans="1:14" x14ac:dyDescent="0.3">
      <c r="A1088" t="s">
        <v>2134</v>
      </c>
      <c r="B1088" t="s">
        <v>730</v>
      </c>
      <c r="C1088" s="1">
        <v>45615</v>
      </c>
      <c r="E1088" t="s">
        <v>32</v>
      </c>
      <c r="F1088">
        <v>41</v>
      </c>
      <c r="G1088" s="12">
        <v>8159</v>
      </c>
      <c r="H1088" s="12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1050</v>
      </c>
      <c r="N1088" t="b">
        <v>0</v>
      </c>
    </row>
    <row r="1089" spans="1:14" x14ac:dyDescent="0.3">
      <c r="A1089" t="s">
        <v>2135</v>
      </c>
      <c r="B1089" t="s">
        <v>364</v>
      </c>
      <c r="C1089" s="1">
        <v>45556</v>
      </c>
      <c r="E1089" t="s">
        <v>32</v>
      </c>
      <c r="F1089">
        <v>32</v>
      </c>
      <c r="G1089" s="12">
        <v>6368</v>
      </c>
      <c r="H1089" s="12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1047</v>
      </c>
      <c r="N1089" t="b">
        <v>1</v>
      </c>
    </row>
    <row r="1090" spans="1:14" x14ac:dyDescent="0.3">
      <c r="A1090" t="s">
        <v>2136</v>
      </c>
      <c r="B1090" t="s">
        <v>122</v>
      </c>
      <c r="C1090" s="1">
        <v>45245</v>
      </c>
      <c r="E1090" t="s">
        <v>15</v>
      </c>
      <c r="F1090">
        <v>14</v>
      </c>
      <c r="G1090" s="12">
        <v>266</v>
      </c>
      <c r="H1090" s="12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1047</v>
      </c>
      <c r="N1090" t="b">
        <v>1</v>
      </c>
    </row>
    <row r="1091" spans="1:14" x14ac:dyDescent="0.3">
      <c r="A1091" t="s">
        <v>2137</v>
      </c>
      <c r="B1091" t="s">
        <v>804</v>
      </c>
      <c r="C1091" s="1">
        <v>45202</v>
      </c>
      <c r="E1091" t="s">
        <v>32</v>
      </c>
      <c r="F1091">
        <v>31</v>
      </c>
      <c r="G1091" s="12">
        <v>0</v>
      </c>
      <c r="H1091" s="12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1047</v>
      </c>
      <c r="N1091" t="b">
        <v>0</v>
      </c>
    </row>
    <row r="1092" spans="1:14" x14ac:dyDescent="0.3">
      <c r="A1092" t="s">
        <v>2138</v>
      </c>
      <c r="B1092" t="s">
        <v>492</v>
      </c>
      <c r="C1092" s="1">
        <v>45635</v>
      </c>
      <c r="D1092" s="1">
        <v>45647</v>
      </c>
      <c r="E1092" t="s">
        <v>39</v>
      </c>
      <c r="F1092">
        <v>77</v>
      </c>
      <c r="G1092" s="12">
        <v>3773</v>
      </c>
      <c r="H1092" s="1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1050</v>
      </c>
      <c r="N1092" t="b">
        <v>1</v>
      </c>
    </row>
    <row r="1093" spans="1:14" x14ac:dyDescent="0.3">
      <c r="A1093" t="s">
        <v>2139</v>
      </c>
      <c r="B1093" t="s">
        <v>230</v>
      </c>
      <c r="C1093" s="1">
        <v>45610</v>
      </c>
      <c r="E1093" t="s">
        <v>32</v>
      </c>
      <c r="F1093">
        <v>24</v>
      </c>
      <c r="G1093" s="12">
        <v>0</v>
      </c>
      <c r="H1093" s="12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1050</v>
      </c>
      <c r="N1093" t="b">
        <v>1</v>
      </c>
    </row>
    <row r="1094" spans="1:14" x14ac:dyDescent="0.3">
      <c r="A1094" t="s">
        <v>2140</v>
      </c>
      <c r="B1094" t="s">
        <v>336</v>
      </c>
      <c r="C1094" s="1">
        <v>45559</v>
      </c>
      <c r="E1094" t="s">
        <v>32</v>
      </c>
      <c r="F1094">
        <v>64</v>
      </c>
      <c r="G1094" s="12">
        <v>12736</v>
      </c>
      <c r="H1094" s="12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1050</v>
      </c>
      <c r="N1094" t="b">
        <v>1</v>
      </c>
    </row>
    <row r="1095" spans="1:14" x14ac:dyDescent="0.3">
      <c r="A1095" t="s">
        <v>2141</v>
      </c>
      <c r="B1095" t="s">
        <v>970</v>
      </c>
      <c r="C1095" s="1">
        <v>45416</v>
      </c>
      <c r="E1095" t="s">
        <v>32</v>
      </c>
      <c r="F1095">
        <v>13</v>
      </c>
      <c r="G1095" s="12">
        <v>2587</v>
      </c>
      <c r="H1095" s="12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1050</v>
      </c>
      <c r="N1095" t="b">
        <v>1</v>
      </c>
    </row>
    <row r="1096" spans="1:14" x14ac:dyDescent="0.3">
      <c r="A1096" t="s">
        <v>2142</v>
      </c>
      <c r="B1096" t="s">
        <v>120</v>
      </c>
      <c r="C1096" s="1">
        <v>45560</v>
      </c>
      <c r="E1096" t="s">
        <v>15</v>
      </c>
      <c r="F1096">
        <v>67</v>
      </c>
      <c r="G1096" s="12">
        <v>0</v>
      </c>
      <c r="H1096" s="12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1050</v>
      </c>
      <c r="N1096" t="b">
        <v>1</v>
      </c>
    </row>
    <row r="1097" spans="1:14" x14ac:dyDescent="0.3">
      <c r="A1097" t="s">
        <v>2143</v>
      </c>
      <c r="B1097" t="s">
        <v>896</v>
      </c>
      <c r="C1097" s="1">
        <v>45460</v>
      </c>
      <c r="E1097" t="s">
        <v>39</v>
      </c>
      <c r="F1097">
        <v>24</v>
      </c>
      <c r="G1097" s="12">
        <v>1176</v>
      </c>
      <c r="H1097" s="12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1047</v>
      </c>
      <c r="N1097" t="b">
        <v>1</v>
      </c>
    </row>
    <row r="1098" spans="1:14" x14ac:dyDescent="0.3">
      <c r="A1098" t="s">
        <v>2144</v>
      </c>
      <c r="B1098" t="s">
        <v>408</v>
      </c>
      <c r="C1098" s="1">
        <v>45626</v>
      </c>
      <c r="E1098" t="s">
        <v>15</v>
      </c>
      <c r="F1098">
        <v>18</v>
      </c>
      <c r="G1098" s="12">
        <v>342</v>
      </c>
      <c r="H1098" s="12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1047</v>
      </c>
      <c r="N1098" t="b">
        <v>1</v>
      </c>
    </row>
    <row r="1099" spans="1:14" x14ac:dyDescent="0.3">
      <c r="A1099" t="s">
        <v>2145</v>
      </c>
      <c r="B1099" t="s">
        <v>750</v>
      </c>
      <c r="C1099" s="1">
        <v>45648</v>
      </c>
      <c r="E1099" t="s">
        <v>39</v>
      </c>
      <c r="F1099">
        <v>30</v>
      </c>
      <c r="G1099" s="12">
        <v>0</v>
      </c>
      <c r="H1099" s="12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1047</v>
      </c>
      <c r="N1099" t="b">
        <v>1</v>
      </c>
    </row>
    <row r="1100" spans="1:14" x14ac:dyDescent="0.3">
      <c r="A1100" t="s">
        <v>2146</v>
      </c>
      <c r="B1100" t="s">
        <v>910</v>
      </c>
      <c r="C1100" s="1">
        <v>45643</v>
      </c>
      <c r="E1100" t="s">
        <v>15</v>
      </c>
      <c r="F1100">
        <v>5</v>
      </c>
      <c r="G1100" s="12">
        <v>95</v>
      </c>
      <c r="H1100" s="12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1047</v>
      </c>
      <c r="N1100" t="b">
        <v>0</v>
      </c>
    </row>
    <row r="1101" spans="1:14" x14ac:dyDescent="0.3">
      <c r="A1101" t="s">
        <v>2147</v>
      </c>
      <c r="B1101" t="s">
        <v>472</v>
      </c>
      <c r="C1101" s="1">
        <v>45536</v>
      </c>
      <c r="D1101" s="1">
        <v>45586</v>
      </c>
      <c r="E1101" t="s">
        <v>32</v>
      </c>
      <c r="F1101">
        <v>15</v>
      </c>
      <c r="G1101" s="12">
        <v>2985</v>
      </c>
      <c r="H1101" s="12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1050</v>
      </c>
      <c r="N1101" t="b">
        <v>1</v>
      </c>
    </row>
    <row r="1102" spans="1:14" x14ac:dyDescent="0.3">
      <c r="A1102" t="s">
        <v>2148</v>
      </c>
      <c r="B1102" t="s">
        <v>758</v>
      </c>
      <c r="C1102" s="1">
        <v>45597</v>
      </c>
      <c r="E1102" t="s">
        <v>39</v>
      </c>
      <c r="F1102">
        <v>33</v>
      </c>
      <c r="G1102" s="12">
        <v>1617</v>
      </c>
      <c r="H1102" s="1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1050</v>
      </c>
      <c r="N1102" t="b">
        <v>1</v>
      </c>
    </row>
    <row r="1103" spans="1:14" x14ac:dyDescent="0.3">
      <c r="A1103" t="s">
        <v>2149</v>
      </c>
      <c r="B1103" t="s">
        <v>474</v>
      </c>
      <c r="C1103" s="1">
        <v>45322</v>
      </c>
      <c r="E1103" t="s">
        <v>32</v>
      </c>
      <c r="F1103">
        <v>5</v>
      </c>
      <c r="G1103" s="12">
        <v>995</v>
      </c>
      <c r="H1103" s="12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1047</v>
      </c>
      <c r="N1103" t="b">
        <v>1</v>
      </c>
    </row>
    <row r="1104" spans="1:14" x14ac:dyDescent="0.3">
      <c r="A1104" t="s">
        <v>2150</v>
      </c>
      <c r="B1104" t="s">
        <v>516</v>
      </c>
      <c r="C1104" s="1">
        <v>45388</v>
      </c>
      <c r="E1104" t="s">
        <v>15</v>
      </c>
      <c r="F1104">
        <v>72</v>
      </c>
      <c r="G1104" s="12">
        <v>1368</v>
      </c>
      <c r="H1104" s="12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1050</v>
      </c>
      <c r="N1104" t="b">
        <v>1</v>
      </c>
    </row>
    <row r="1105" spans="1:14" x14ac:dyDescent="0.3">
      <c r="A1105" t="s">
        <v>2151</v>
      </c>
      <c r="B1105" t="s">
        <v>892</v>
      </c>
      <c r="C1105" s="1">
        <v>45446</v>
      </c>
      <c r="E1105" t="s">
        <v>39</v>
      </c>
      <c r="F1105">
        <v>23</v>
      </c>
      <c r="G1105" s="12">
        <v>1127</v>
      </c>
      <c r="H1105" s="12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1047</v>
      </c>
      <c r="N1105" t="b">
        <v>1</v>
      </c>
    </row>
    <row r="1106" spans="1:14" x14ac:dyDescent="0.3">
      <c r="A1106" t="s">
        <v>2152</v>
      </c>
      <c r="B1106" t="s">
        <v>324</v>
      </c>
      <c r="C1106" s="1">
        <v>45452</v>
      </c>
      <c r="E1106" t="s">
        <v>15</v>
      </c>
      <c r="F1106">
        <v>86</v>
      </c>
      <c r="G1106" s="12">
        <v>0</v>
      </c>
      <c r="H1106" s="12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1047</v>
      </c>
      <c r="N1106" t="b">
        <v>1</v>
      </c>
    </row>
    <row r="1107" spans="1:14" x14ac:dyDescent="0.3">
      <c r="A1107" t="s">
        <v>2153</v>
      </c>
      <c r="B1107" t="s">
        <v>102</v>
      </c>
      <c r="C1107" s="1">
        <v>45074</v>
      </c>
      <c r="E1107" t="s">
        <v>15</v>
      </c>
      <c r="F1107">
        <v>30</v>
      </c>
      <c r="G1107" s="12">
        <v>570</v>
      </c>
      <c r="H1107" s="12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1050</v>
      </c>
      <c r="N1107" t="b">
        <v>1</v>
      </c>
    </row>
    <row r="1108" spans="1:14" x14ac:dyDescent="0.3">
      <c r="A1108" t="s">
        <v>2154</v>
      </c>
      <c r="B1108" t="s">
        <v>702</v>
      </c>
      <c r="C1108" s="1">
        <v>45598</v>
      </c>
      <c r="E1108" t="s">
        <v>15</v>
      </c>
      <c r="F1108">
        <v>10</v>
      </c>
      <c r="G1108" s="12">
        <v>190</v>
      </c>
      <c r="H1108" s="12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1047</v>
      </c>
      <c r="N1108" t="b">
        <v>1</v>
      </c>
    </row>
    <row r="1109" spans="1:14" x14ac:dyDescent="0.3">
      <c r="A1109" t="s">
        <v>2155</v>
      </c>
      <c r="B1109" t="s">
        <v>170</v>
      </c>
      <c r="C1109" s="1">
        <v>45651</v>
      </c>
      <c r="E1109" t="s">
        <v>39</v>
      </c>
      <c r="F1109">
        <v>20</v>
      </c>
      <c r="G1109" s="12">
        <v>980</v>
      </c>
      <c r="H1109" s="12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1050</v>
      </c>
      <c r="N1109" t="b">
        <v>0</v>
      </c>
    </row>
    <row r="1110" spans="1:14" x14ac:dyDescent="0.3">
      <c r="A1110" t="s">
        <v>2156</v>
      </c>
      <c r="B1110" t="s">
        <v>944</v>
      </c>
      <c r="C1110" s="1">
        <v>45647</v>
      </c>
      <c r="E1110" t="s">
        <v>32</v>
      </c>
      <c r="F1110">
        <v>7</v>
      </c>
      <c r="G1110" s="12">
        <v>1393</v>
      </c>
      <c r="H1110" s="12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1047</v>
      </c>
      <c r="N1110" t="b">
        <v>0</v>
      </c>
    </row>
    <row r="1111" spans="1:14" x14ac:dyDescent="0.3">
      <c r="A1111" t="s">
        <v>2157</v>
      </c>
      <c r="B1111" t="s">
        <v>494</v>
      </c>
      <c r="C1111" s="1">
        <v>45498</v>
      </c>
      <c r="E1111" t="s">
        <v>39</v>
      </c>
      <c r="F1111">
        <v>31</v>
      </c>
      <c r="G1111" s="12">
        <v>1519</v>
      </c>
      <c r="H1111" s="12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1050</v>
      </c>
      <c r="N1111" t="b">
        <v>1</v>
      </c>
    </row>
    <row r="1112" spans="1:14" x14ac:dyDescent="0.3">
      <c r="A1112" t="s">
        <v>2158</v>
      </c>
      <c r="B1112" t="s">
        <v>422</v>
      </c>
      <c r="C1112" s="1">
        <v>45402</v>
      </c>
      <c r="E1112" t="s">
        <v>15</v>
      </c>
      <c r="F1112">
        <v>65</v>
      </c>
      <c r="G1112" s="12">
        <v>0</v>
      </c>
      <c r="H1112" s="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1047</v>
      </c>
      <c r="N1112" t="b">
        <v>1</v>
      </c>
    </row>
    <row r="1113" spans="1:14" x14ac:dyDescent="0.3">
      <c r="A1113" t="s">
        <v>2159</v>
      </c>
      <c r="B1113" t="s">
        <v>464</v>
      </c>
      <c r="C1113" s="1">
        <v>45616</v>
      </c>
      <c r="E1113" t="s">
        <v>15</v>
      </c>
      <c r="F1113">
        <v>15</v>
      </c>
      <c r="G1113" s="12">
        <v>285</v>
      </c>
      <c r="H1113" s="12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1050</v>
      </c>
      <c r="N1113" t="b">
        <v>0</v>
      </c>
    </row>
    <row r="1114" spans="1:14" x14ac:dyDescent="0.3">
      <c r="A1114" t="s">
        <v>2160</v>
      </c>
      <c r="B1114" t="s">
        <v>896</v>
      </c>
      <c r="C1114" s="1">
        <v>45615</v>
      </c>
      <c r="E1114" t="s">
        <v>15</v>
      </c>
      <c r="F1114">
        <v>24</v>
      </c>
      <c r="G1114" s="12">
        <v>456</v>
      </c>
      <c r="H1114" s="12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1050</v>
      </c>
      <c r="N1114" t="b">
        <v>1</v>
      </c>
    </row>
    <row r="1115" spans="1:14" x14ac:dyDescent="0.3">
      <c r="A1115" t="s">
        <v>2161</v>
      </c>
      <c r="B1115" t="s">
        <v>450</v>
      </c>
      <c r="C1115" s="1">
        <v>45640</v>
      </c>
      <c r="D1115" s="1">
        <v>45651</v>
      </c>
      <c r="E1115" t="s">
        <v>32</v>
      </c>
      <c r="F1115">
        <v>24</v>
      </c>
      <c r="G1115" s="12">
        <v>0</v>
      </c>
      <c r="H1115" s="12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1047</v>
      </c>
      <c r="N1115" t="b">
        <v>0</v>
      </c>
    </row>
    <row r="1116" spans="1:14" x14ac:dyDescent="0.3">
      <c r="A1116" t="s">
        <v>2162</v>
      </c>
      <c r="B1116" t="s">
        <v>66</v>
      </c>
      <c r="C1116" s="1">
        <v>45539</v>
      </c>
      <c r="E1116" t="s">
        <v>39</v>
      </c>
      <c r="F1116">
        <v>6</v>
      </c>
      <c r="G1116" s="12">
        <v>0</v>
      </c>
      <c r="H1116" s="12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1050</v>
      </c>
      <c r="N1116" t="b">
        <v>1</v>
      </c>
    </row>
    <row r="1117" spans="1:14" x14ac:dyDescent="0.3">
      <c r="A1117" t="s">
        <v>2163</v>
      </c>
      <c r="B1117" t="s">
        <v>144</v>
      </c>
      <c r="C1117" s="1">
        <v>45630</v>
      </c>
      <c r="E1117" t="s">
        <v>39</v>
      </c>
      <c r="F1117">
        <v>41</v>
      </c>
      <c r="G1117" s="12">
        <v>2009</v>
      </c>
      <c r="H1117" s="12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1047</v>
      </c>
      <c r="N1117" t="b">
        <v>1</v>
      </c>
    </row>
    <row r="1118" spans="1:14" x14ac:dyDescent="0.3">
      <c r="A1118" t="s">
        <v>2164</v>
      </c>
      <c r="B1118" t="s">
        <v>174</v>
      </c>
      <c r="C1118" s="1">
        <v>45578</v>
      </c>
      <c r="E1118" t="s">
        <v>32</v>
      </c>
      <c r="F1118">
        <v>22</v>
      </c>
      <c r="G1118" s="12">
        <v>4378</v>
      </c>
      <c r="H1118" s="12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1050</v>
      </c>
      <c r="N1118" t="b">
        <v>1</v>
      </c>
    </row>
    <row r="1119" spans="1:14" x14ac:dyDescent="0.3">
      <c r="A1119" t="s">
        <v>2165</v>
      </c>
      <c r="B1119" t="s">
        <v>506</v>
      </c>
      <c r="C1119" s="1">
        <v>45572</v>
      </c>
      <c r="E1119" t="s">
        <v>15</v>
      </c>
      <c r="F1119">
        <v>55</v>
      </c>
      <c r="G1119" s="12">
        <v>1045</v>
      </c>
      <c r="H1119" s="12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1047</v>
      </c>
      <c r="N1119" t="b">
        <v>1</v>
      </c>
    </row>
    <row r="1120" spans="1:14" x14ac:dyDescent="0.3">
      <c r="A1120" t="s">
        <v>2166</v>
      </c>
      <c r="B1120" t="s">
        <v>280</v>
      </c>
      <c r="C1120" s="1">
        <v>45437</v>
      </c>
      <c r="E1120" t="s">
        <v>32</v>
      </c>
      <c r="F1120">
        <v>7</v>
      </c>
      <c r="G1120" s="12">
        <v>1393</v>
      </c>
      <c r="H1120" s="12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1047</v>
      </c>
      <c r="N1120" t="b">
        <v>1</v>
      </c>
    </row>
    <row r="1121" spans="1:14" x14ac:dyDescent="0.3">
      <c r="A1121" t="s">
        <v>2167</v>
      </c>
      <c r="B1121" t="s">
        <v>730</v>
      </c>
      <c r="C1121" s="1">
        <v>45569</v>
      </c>
      <c r="E1121" t="s">
        <v>32</v>
      </c>
      <c r="F1121">
        <v>41</v>
      </c>
      <c r="G1121" s="12">
        <v>8159</v>
      </c>
      <c r="H1121" s="12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1050</v>
      </c>
      <c r="N1121" t="b">
        <v>1</v>
      </c>
    </row>
    <row r="1122" spans="1:14" x14ac:dyDescent="0.3">
      <c r="A1122" t="s">
        <v>2168</v>
      </c>
      <c r="B1122" t="s">
        <v>656</v>
      </c>
      <c r="C1122" s="1">
        <v>45406</v>
      </c>
      <c r="D1122" s="1">
        <v>45542</v>
      </c>
      <c r="E1122" t="s">
        <v>39</v>
      </c>
      <c r="F1122">
        <v>41</v>
      </c>
      <c r="G1122" s="12">
        <v>2009</v>
      </c>
      <c r="H1122" s="1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1047</v>
      </c>
      <c r="N1122" t="b">
        <v>1</v>
      </c>
    </row>
    <row r="1123" spans="1:14" x14ac:dyDescent="0.3">
      <c r="A1123" t="s">
        <v>2169</v>
      </c>
      <c r="B1123" t="s">
        <v>510</v>
      </c>
      <c r="C1123" s="1">
        <v>45535</v>
      </c>
      <c r="E1123" t="s">
        <v>32</v>
      </c>
      <c r="F1123">
        <v>55</v>
      </c>
      <c r="G1123" s="12">
        <v>0</v>
      </c>
      <c r="H1123" s="12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1050</v>
      </c>
      <c r="N1123" t="b">
        <v>1</v>
      </c>
    </row>
    <row r="1124" spans="1:14" x14ac:dyDescent="0.3">
      <c r="A1124" t="s">
        <v>2170</v>
      </c>
      <c r="B1124" t="s">
        <v>616</v>
      </c>
      <c r="C1124" s="1">
        <v>45581</v>
      </c>
      <c r="D1124" s="1">
        <v>45634</v>
      </c>
      <c r="E1124" t="s">
        <v>39</v>
      </c>
      <c r="F1124">
        <v>31</v>
      </c>
      <c r="G1124" s="12">
        <v>1519</v>
      </c>
      <c r="H1124" s="12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1050</v>
      </c>
      <c r="N1124" t="b">
        <v>1</v>
      </c>
    </row>
    <row r="1125" spans="1:14" x14ac:dyDescent="0.3">
      <c r="A1125" t="s">
        <v>2171</v>
      </c>
      <c r="B1125" t="s">
        <v>1012</v>
      </c>
      <c r="C1125" s="1">
        <v>45463</v>
      </c>
      <c r="E1125" t="s">
        <v>39</v>
      </c>
      <c r="F1125">
        <v>19</v>
      </c>
      <c r="G1125" s="12">
        <v>931</v>
      </c>
      <c r="H1125" s="12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1047</v>
      </c>
      <c r="N1125" t="b">
        <v>1</v>
      </c>
    </row>
    <row r="1126" spans="1:14" x14ac:dyDescent="0.3">
      <c r="A1126" t="s">
        <v>2172</v>
      </c>
      <c r="B1126" t="s">
        <v>63</v>
      </c>
      <c r="C1126" s="1">
        <v>45605</v>
      </c>
      <c r="E1126" t="s">
        <v>32</v>
      </c>
      <c r="F1126">
        <v>18</v>
      </c>
      <c r="G1126" s="12">
        <v>3582</v>
      </c>
      <c r="H1126" s="12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1050</v>
      </c>
      <c r="N1126" t="b">
        <v>1</v>
      </c>
    </row>
    <row r="1127" spans="1:14" x14ac:dyDescent="0.3">
      <c r="A1127" t="s">
        <v>2173</v>
      </c>
      <c r="B1127" t="s">
        <v>774</v>
      </c>
      <c r="C1127" s="1">
        <v>45588</v>
      </c>
      <c r="D1127" s="1">
        <v>45595</v>
      </c>
      <c r="E1127" t="s">
        <v>39</v>
      </c>
      <c r="F1127">
        <v>50</v>
      </c>
      <c r="G1127" s="12">
        <v>2450</v>
      </c>
      <c r="H1127" s="12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1050</v>
      </c>
      <c r="N1127" t="b">
        <v>0</v>
      </c>
    </row>
    <row r="1128" spans="1:14" x14ac:dyDescent="0.3">
      <c r="A1128" t="s">
        <v>2174</v>
      </c>
      <c r="B1128" t="s">
        <v>622</v>
      </c>
      <c r="C1128" s="1">
        <v>45156</v>
      </c>
      <c r="E1128" t="s">
        <v>32</v>
      </c>
      <c r="F1128">
        <v>5</v>
      </c>
      <c r="G1128" s="12">
        <v>995</v>
      </c>
      <c r="H1128" s="12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1047</v>
      </c>
      <c r="N1128" t="b">
        <v>1</v>
      </c>
    </row>
    <row r="1129" spans="1:14" x14ac:dyDescent="0.3">
      <c r="A1129" t="s">
        <v>2175</v>
      </c>
      <c r="B1129" t="s">
        <v>702</v>
      </c>
      <c r="C1129" s="1">
        <v>45524</v>
      </c>
      <c r="E1129" t="s">
        <v>32</v>
      </c>
      <c r="F1129">
        <v>28</v>
      </c>
      <c r="G1129" s="12">
        <v>0</v>
      </c>
      <c r="H1129" s="12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1047</v>
      </c>
      <c r="N1129" t="b">
        <v>1</v>
      </c>
    </row>
    <row r="1130" spans="1:14" x14ac:dyDescent="0.3">
      <c r="A1130" t="s">
        <v>2176</v>
      </c>
      <c r="B1130" t="s">
        <v>322</v>
      </c>
      <c r="C1130" s="1">
        <v>45505</v>
      </c>
      <c r="E1130" t="s">
        <v>15</v>
      </c>
      <c r="F1130">
        <v>24</v>
      </c>
      <c r="G1130" s="12">
        <v>456</v>
      </c>
      <c r="H1130" s="12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1047</v>
      </c>
      <c r="N1130" t="b">
        <v>1</v>
      </c>
    </row>
    <row r="1131" spans="1:14" x14ac:dyDescent="0.3">
      <c r="A1131" t="s">
        <v>2177</v>
      </c>
      <c r="B1131" t="s">
        <v>546</v>
      </c>
      <c r="C1131" s="1">
        <v>45156</v>
      </c>
      <c r="E1131" t="s">
        <v>39</v>
      </c>
      <c r="F1131">
        <v>31</v>
      </c>
      <c r="G1131" s="12">
        <v>1519</v>
      </c>
      <c r="H1131" s="12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1050</v>
      </c>
      <c r="N1131" t="b">
        <v>1</v>
      </c>
    </row>
    <row r="1132" spans="1:14" x14ac:dyDescent="0.3">
      <c r="A1132" t="s">
        <v>2178</v>
      </c>
      <c r="B1132" t="s">
        <v>164</v>
      </c>
      <c r="C1132" s="1">
        <v>45634</v>
      </c>
      <c r="E1132" t="s">
        <v>39</v>
      </c>
      <c r="F1132">
        <v>8</v>
      </c>
      <c r="G1132" s="12">
        <v>392</v>
      </c>
      <c r="H1132" s="1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1050</v>
      </c>
      <c r="N1132" t="b">
        <v>0</v>
      </c>
    </row>
    <row r="1133" spans="1:14" x14ac:dyDescent="0.3">
      <c r="A1133" t="s">
        <v>2179</v>
      </c>
      <c r="B1133" t="s">
        <v>908</v>
      </c>
      <c r="C1133" s="1">
        <v>45209</v>
      </c>
      <c r="D1133" s="1">
        <v>45588</v>
      </c>
      <c r="E1133" t="s">
        <v>15</v>
      </c>
      <c r="F1133">
        <v>26</v>
      </c>
      <c r="G1133" s="12">
        <v>0</v>
      </c>
      <c r="H1133" s="12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1047</v>
      </c>
      <c r="N1133" t="b">
        <v>1</v>
      </c>
    </row>
    <row r="1134" spans="1:14" x14ac:dyDescent="0.3">
      <c r="A1134" t="s">
        <v>2180</v>
      </c>
      <c r="B1134" t="s">
        <v>648</v>
      </c>
      <c r="C1134" s="1">
        <v>45307</v>
      </c>
      <c r="E1134" t="s">
        <v>32</v>
      </c>
      <c r="F1134">
        <v>15</v>
      </c>
      <c r="G1134" s="12">
        <v>2985</v>
      </c>
      <c r="H1134" s="12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1047</v>
      </c>
      <c r="N1134" t="b">
        <v>1</v>
      </c>
    </row>
    <row r="1135" spans="1:14" x14ac:dyDescent="0.3">
      <c r="A1135" t="s">
        <v>2181</v>
      </c>
      <c r="B1135" t="s">
        <v>704</v>
      </c>
      <c r="C1135" s="1">
        <v>45609</v>
      </c>
      <c r="E1135" t="s">
        <v>39</v>
      </c>
      <c r="F1135">
        <v>87</v>
      </c>
      <c r="G1135" s="12">
        <v>4263</v>
      </c>
      <c r="H1135" s="12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1047</v>
      </c>
      <c r="N1135" t="b">
        <v>1</v>
      </c>
    </row>
    <row r="1136" spans="1:14" x14ac:dyDescent="0.3">
      <c r="A1136" t="s">
        <v>2182</v>
      </c>
      <c r="B1136" t="s">
        <v>296</v>
      </c>
      <c r="C1136" s="1">
        <v>45571</v>
      </c>
      <c r="E1136" t="s">
        <v>32</v>
      </c>
      <c r="F1136">
        <v>28</v>
      </c>
      <c r="G1136" s="12">
        <v>5572</v>
      </c>
      <c r="H1136" s="12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1047</v>
      </c>
      <c r="N1136" t="b">
        <v>1</v>
      </c>
    </row>
    <row r="1137" spans="1:14" x14ac:dyDescent="0.3">
      <c r="A1137" t="s">
        <v>2183</v>
      </c>
      <c r="B1137" t="s">
        <v>526</v>
      </c>
      <c r="C1137" s="1">
        <v>45250</v>
      </c>
      <c r="D1137" s="1">
        <v>45266</v>
      </c>
      <c r="E1137" t="s">
        <v>32</v>
      </c>
      <c r="F1137">
        <v>12</v>
      </c>
      <c r="G1137" s="12">
        <v>2388</v>
      </c>
      <c r="H1137" s="12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1050</v>
      </c>
      <c r="N1137" t="b">
        <v>1</v>
      </c>
    </row>
    <row r="1138" spans="1:14" x14ac:dyDescent="0.3">
      <c r="A1138" t="s">
        <v>2184</v>
      </c>
      <c r="B1138" t="s">
        <v>116</v>
      </c>
      <c r="C1138" s="1">
        <v>45147</v>
      </c>
      <c r="E1138" t="s">
        <v>32</v>
      </c>
      <c r="F1138">
        <v>40</v>
      </c>
      <c r="G1138" s="12">
        <v>7960</v>
      </c>
      <c r="H1138" s="12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1047</v>
      </c>
      <c r="N1138" t="b">
        <v>1</v>
      </c>
    </row>
    <row r="1139" spans="1:14" x14ac:dyDescent="0.3">
      <c r="A1139" t="s">
        <v>2185</v>
      </c>
      <c r="B1139" t="s">
        <v>886</v>
      </c>
      <c r="C1139" s="1">
        <v>45637</v>
      </c>
      <c r="D1139" s="1">
        <v>45649</v>
      </c>
      <c r="E1139" t="s">
        <v>39</v>
      </c>
      <c r="F1139">
        <v>7</v>
      </c>
      <c r="G1139" s="12">
        <v>343</v>
      </c>
      <c r="H1139" s="12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1047</v>
      </c>
      <c r="N1139" t="b">
        <v>0</v>
      </c>
    </row>
    <row r="1140" spans="1:14" x14ac:dyDescent="0.3">
      <c r="A1140" t="s">
        <v>2186</v>
      </c>
      <c r="B1140" t="s">
        <v>706</v>
      </c>
      <c r="C1140" s="1">
        <v>45585</v>
      </c>
      <c r="E1140" t="s">
        <v>32</v>
      </c>
      <c r="F1140">
        <v>39</v>
      </c>
      <c r="G1140" s="12">
        <v>7761</v>
      </c>
      <c r="H1140" s="12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1047</v>
      </c>
      <c r="N1140" t="b">
        <v>1</v>
      </c>
    </row>
    <row r="1141" spans="1:14" x14ac:dyDescent="0.3">
      <c r="A1141" t="s">
        <v>2187</v>
      </c>
      <c r="B1141" t="s">
        <v>244</v>
      </c>
      <c r="C1141" s="1">
        <v>45634</v>
      </c>
      <c r="E1141" t="s">
        <v>32</v>
      </c>
      <c r="F1141">
        <v>30</v>
      </c>
      <c r="G1141" s="12">
        <v>5970</v>
      </c>
      <c r="H1141" s="12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1050</v>
      </c>
      <c r="N1141" t="b">
        <v>1</v>
      </c>
    </row>
    <row r="1142" spans="1:14" x14ac:dyDescent="0.3">
      <c r="A1142" t="s">
        <v>2188</v>
      </c>
      <c r="B1142" t="s">
        <v>83</v>
      </c>
      <c r="C1142" s="1">
        <v>45314</v>
      </c>
      <c r="E1142" t="s">
        <v>15</v>
      </c>
      <c r="F1142">
        <v>34</v>
      </c>
      <c r="G1142" s="12">
        <v>646</v>
      </c>
      <c r="H1142" s="1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1047</v>
      </c>
      <c r="N1142" t="b">
        <v>1</v>
      </c>
    </row>
    <row r="1143" spans="1:14" x14ac:dyDescent="0.3">
      <c r="A1143" t="s">
        <v>2189</v>
      </c>
      <c r="B1143" t="s">
        <v>200</v>
      </c>
      <c r="C1143" s="1">
        <v>45476</v>
      </c>
      <c r="E1143" t="s">
        <v>39</v>
      </c>
      <c r="F1143">
        <v>33</v>
      </c>
      <c r="G1143" s="12">
        <v>0</v>
      </c>
      <c r="H1143" s="12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1050</v>
      </c>
      <c r="N1143" t="b">
        <v>1</v>
      </c>
    </row>
    <row r="1144" spans="1:14" x14ac:dyDescent="0.3">
      <c r="A1144" t="s">
        <v>2190</v>
      </c>
      <c r="B1144" t="s">
        <v>338</v>
      </c>
      <c r="C1144" s="1">
        <v>45471</v>
      </c>
      <c r="E1144" t="s">
        <v>32</v>
      </c>
      <c r="F1144">
        <v>38</v>
      </c>
      <c r="G1144" s="12">
        <v>7562</v>
      </c>
      <c r="H1144" s="12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1047</v>
      </c>
      <c r="N1144" t="b">
        <v>1</v>
      </c>
    </row>
    <row r="1145" spans="1:14" x14ac:dyDescent="0.3">
      <c r="A1145" t="s">
        <v>2191</v>
      </c>
      <c r="B1145" t="s">
        <v>418</v>
      </c>
      <c r="C1145" s="1">
        <v>45631</v>
      </c>
      <c r="E1145" t="s">
        <v>32</v>
      </c>
      <c r="F1145">
        <v>13</v>
      </c>
      <c r="G1145" s="12">
        <v>2587</v>
      </c>
      <c r="H1145" s="12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1050</v>
      </c>
      <c r="N1145" t="b">
        <v>1</v>
      </c>
    </row>
    <row r="1146" spans="1:14" x14ac:dyDescent="0.3">
      <c r="A1146" t="s">
        <v>2192</v>
      </c>
      <c r="B1146" t="s">
        <v>514</v>
      </c>
      <c r="C1146" s="1">
        <v>45543</v>
      </c>
      <c r="E1146" t="s">
        <v>15</v>
      </c>
      <c r="F1146">
        <v>14</v>
      </c>
      <c r="G1146" s="12">
        <v>266</v>
      </c>
      <c r="H1146" s="12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1050</v>
      </c>
      <c r="N1146" t="b">
        <v>1</v>
      </c>
    </row>
    <row r="1147" spans="1:14" x14ac:dyDescent="0.3">
      <c r="A1147" t="s">
        <v>2193</v>
      </c>
      <c r="B1147" t="s">
        <v>36</v>
      </c>
      <c r="C1147" s="1">
        <v>45506</v>
      </c>
      <c r="E1147" t="s">
        <v>39</v>
      </c>
      <c r="F1147">
        <v>11</v>
      </c>
      <c r="G1147" s="12">
        <v>539</v>
      </c>
      <c r="H1147" s="12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1050</v>
      </c>
      <c r="N1147" t="b">
        <v>1</v>
      </c>
    </row>
    <row r="1148" spans="1:14" x14ac:dyDescent="0.3">
      <c r="A1148" t="s">
        <v>2194</v>
      </c>
      <c r="B1148" t="s">
        <v>724</v>
      </c>
      <c r="C1148" s="1">
        <v>45333</v>
      </c>
      <c r="E1148" t="s">
        <v>32</v>
      </c>
      <c r="F1148">
        <v>31</v>
      </c>
      <c r="G1148" s="12">
        <v>6169</v>
      </c>
      <c r="H1148" s="12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1047</v>
      </c>
      <c r="N1148" t="b">
        <v>1</v>
      </c>
    </row>
    <row r="1149" spans="1:14" x14ac:dyDescent="0.3">
      <c r="A1149" t="s">
        <v>2195</v>
      </c>
      <c r="B1149" t="s">
        <v>128</v>
      </c>
      <c r="C1149" s="1">
        <v>45650</v>
      </c>
      <c r="E1149" t="s">
        <v>32</v>
      </c>
      <c r="F1149">
        <v>21</v>
      </c>
      <c r="G1149" s="12">
        <v>4179</v>
      </c>
      <c r="H1149" s="12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1050</v>
      </c>
      <c r="N1149" t="b">
        <v>1</v>
      </c>
    </row>
    <row r="1150" spans="1:14" x14ac:dyDescent="0.3">
      <c r="A1150" t="s">
        <v>2196</v>
      </c>
      <c r="B1150" t="s">
        <v>1008</v>
      </c>
      <c r="C1150" s="1">
        <v>45626</v>
      </c>
      <c r="E1150" t="s">
        <v>39</v>
      </c>
      <c r="F1150">
        <v>18</v>
      </c>
      <c r="G1150" s="12">
        <v>0</v>
      </c>
      <c r="H1150" s="12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1050</v>
      </c>
      <c r="N1150" t="b">
        <v>1</v>
      </c>
    </row>
    <row r="1151" spans="1:14" x14ac:dyDescent="0.3">
      <c r="A1151" t="s">
        <v>2197</v>
      </c>
      <c r="B1151" t="s">
        <v>372</v>
      </c>
      <c r="C1151" s="1">
        <v>45518</v>
      </c>
      <c r="E1151" t="s">
        <v>39</v>
      </c>
      <c r="F1151">
        <v>40</v>
      </c>
      <c r="G1151" s="12">
        <v>1960</v>
      </c>
      <c r="H1151" s="12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1047</v>
      </c>
      <c r="N1151" t="b">
        <v>0</v>
      </c>
    </row>
    <row r="1152" spans="1:14" x14ac:dyDescent="0.3">
      <c r="A1152" t="s">
        <v>2198</v>
      </c>
      <c r="B1152" t="s">
        <v>290</v>
      </c>
      <c r="C1152" s="1">
        <v>45646</v>
      </c>
      <c r="E1152" t="s">
        <v>32</v>
      </c>
      <c r="F1152">
        <v>93</v>
      </c>
      <c r="G1152" s="12">
        <v>18507</v>
      </c>
      <c r="H1152" s="1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1050</v>
      </c>
      <c r="N1152" t="b">
        <v>1</v>
      </c>
    </row>
    <row r="1153" spans="1:14" x14ac:dyDescent="0.3">
      <c r="A1153" t="s">
        <v>2199</v>
      </c>
      <c r="B1153" t="s">
        <v>502</v>
      </c>
      <c r="C1153" s="1">
        <v>45624</v>
      </c>
      <c r="E1153" t="s">
        <v>32</v>
      </c>
      <c r="F1153">
        <v>5</v>
      </c>
      <c r="G1153" s="12">
        <v>995</v>
      </c>
      <c r="H1153" s="12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1047</v>
      </c>
      <c r="N1153" t="b">
        <v>0</v>
      </c>
    </row>
    <row r="1154" spans="1:14" x14ac:dyDescent="0.3">
      <c r="A1154" t="s">
        <v>2200</v>
      </c>
      <c r="B1154" t="s">
        <v>780</v>
      </c>
      <c r="C1154" s="1">
        <v>45462</v>
      </c>
      <c r="E1154" t="s">
        <v>32</v>
      </c>
      <c r="F1154">
        <v>16</v>
      </c>
      <c r="G1154" s="12">
        <v>3184</v>
      </c>
      <c r="H1154" s="12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1050</v>
      </c>
      <c r="N1154" t="b">
        <v>1</v>
      </c>
    </row>
    <row r="1155" spans="1:14" x14ac:dyDescent="0.3">
      <c r="A1155" t="s">
        <v>2201</v>
      </c>
      <c r="B1155" t="s">
        <v>722</v>
      </c>
      <c r="C1155" s="1">
        <v>45165</v>
      </c>
      <c r="E1155" t="s">
        <v>39</v>
      </c>
      <c r="F1155">
        <v>28</v>
      </c>
      <c r="G1155" s="12">
        <v>0</v>
      </c>
      <c r="H1155" s="12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1047</v>
      </c>
      <c r="N1155" t="b">
        <v>1</v>
      </c>
    </row>
    <row r="1156" spans="1:14" x14ac:dyDescent="0.3">
      <c r="A1156" t="s">
        <v>2202</v>
      </c>
      <c r="B1156" t="s">
        <v>718</v>
      </c>
      <c r="C1156" s="1">
        <v>45391</v>
      </c>
      <c r="E1156" t="s">
        <v>15</v>
      </c>
      <c r="F1156">
        <v>5</v>
      </c>
      <c r="G1156" s="12">
        <v>95</v>
      </c>
      <c r="H1156" s="12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1047</v>
      </c>
      <c r="N1156" t="b">
        <v>1</v>
      </c>
    </row>
    <row r="1157" spans="1:14" x14ac:dyDescent="0.3">
      <c r="A1157" t="s">
        <v>2203</v>
      </c>
      <c r="B1157" t="s">
        <v>450</v>
      </c>
      <c r="C1157" s="1">
        <v>45612</v>
      </c>
      <c r="D1157" s="1">
        <v>45618</v>
      </c>
      <c r="E1157" t="s">
        <v>32</v>
      </c>
      <c r="F1157">
        <v>24</v>
      </c>
      <c r="G1157" s="12">
        <v>4776</v>
      </c>
      <c r="H1157" s="12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1050</v>
      </c>
      <c r="N1157" t="b">
        <v>1</v>
      </c>
    </row>
    <row r="1158" spans="1:14" x14ac:dyDescent="0.3">
      <c r="A1158" t="s">
        <v>2204</v>
      </c>
      <c r="B1158" t="s">
        <v>388</v>
      </c>
      <c r="C1158" s="1">
        <v>45618</v>
      </c>
      <c r="E1158" t="s">
        <v>32</v>
      </c>
      <c r="F1158">
        <v>11</v>
      </c>
      <c r="G1158" s="12">
        <v>0</v>
      </c>
      <c r="H1158" s="12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1050</v>
      </c>
      <c r="N1158" t="b">
        <v>1</v>
      </c>
    </row>
    <row r="1159" spans="1:14" x14ac:dyDescent="0.3">
      <c r="A1159" t="s">
        <v>2205</v>
      </c>
      <c r="B1159" t="s">
        <v>286</v>
      </c>
      <c r="C1159" s="1">
        <v>45359</v>
      </c>
      <c r="E1159" t="s">
        <v>15</v>
      </c>
      <c r="F1159">
        <v>26</v>
      </c>
      <c r="G1159" s="12">
        <v>494</v>
      </c>
      <c r="H1159" s="12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1047</v>
      </c>
      <c r="N1159" t="b">
        <v>0</v>
      </c>
    </row>
    <row r="1160" spans="1:14" x14ac:dyDescent="0.3">
      <c r="A1160" t="s">
        <v>2206</v>
      </c>
      <c r="B1160" t="s">
        <v>664</v>
      </c>
      <c r="C1160" s="1">
        <v>45447</v>
      </c>
      <c r="E1160" t="s">
        <v>15</v>
      </c>
      <c r="F1160">
        <v>21</v>
      </c>
      <c r="G1160" s="12">
        <v>399</v>
      </c>
      <c r="H1160" s="12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1047</v>
      </c>
      <c r="N1160" t="b">
        <v>1</v>
      </c>
    </row>
    <row r="1161" spans="1:14" x14ac:dyDescent="0.3">
      <c r="A1161" t="s">
        <v>2207</v>
      </c>
      <c r="B1161" t="s">
        <v>1002</v>
      </c>
      <c r="C1161" s="1">
        <v>45562</v>
      </c>
      <c r="E1161" t="s">
        <v>32</v>
      </c>
      <c r="F1161">
        <v>58</v>
      </c>
      <c r="G1161" s="12">
        <v>0</v>
      </c>
      <c r="H1161" s="12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1047</v>
      </c>
      <c r="N1161" t="b">
        <v>1</v>
      </c>
    </row>
    <row r="1162" spans="1:14" x14ac:dyDescent="0.3">
      <c r="A1162" t="s">
        <v>2208</v>
      </c>
      <c r="B1162" t="s">
        <v>754</v>
      </c>
      <c r="C1162" s="1">
        <v>45606</v>
      </c>
      <c r="E1162" t="s">
        <v>15</v>
      </c>
      <c r="F1162">
        <v>65</v>
      </c>
      <c r="G1162" s="12">
        <v>1235</v>
      </c>
      <c r="H1162" s="1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1047</v>
      </c>
      <c r="N1162" t="b">
        <v>1</v>
      </c>
    </row>
    <row r="1163" spans="1:14" x14ac:dyDescent="0.3">
      <c r="A1163" t="s">
        <v>2209</v>
      </c>
      <c r="B1163" t="s">
        <v>414</v>
      </c>
      <c r="C1163" s="1">
        <v>45521</v>
      </c>
      <c r="E1163" t="s">
        <v>32</v>
      </c>
      <c r="F1163">
        <v>11</v>
      </c>
      <c r="G1163" s="12">
        <v>2189</v>
      </c>
      <c r="H1163" s="12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1047</v>
      </c>
      <c r="N1163" t="b">
        <v>1</v>
      </c>
    </row>
    <row r="1164" spans="1:14" x14ac:dyDescent="0.3">
      <c r="A1164" t="s">
        <v>2210</v>
      </c>
      <c r="B1164" t="s">
        <v>946</v>
      </c>
      <c r="C1164" s="1">
        <v>45275</v>
      </c>
      <c r="E1164" t="s">
        <v>32</v>
      </c>
      <c r="F1164">
        <v>11</v>
      </c>
      <c r="G1164" s="12">
        <v>2189</v>
      </c>
      <c r="H1164" s="12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1047</v>
      </c>
      <c r="N1164" t="b">
        <v>1</v>
      </c>
    </row>
    <row r="1165" spans="1:14" x14ac:dyDescent="0.3">
      <c r="A1165" t="s">
        <v>2211</v>
      </c>
      <c r="B1165" t="s">
        <v>288</v>
      </c>
      <c r="C1165" s="1">
        <v>45508</v>
      </c>
      <c r="D1165" s="1">
        <v>45527</v>
      </c>
      <c r="E1165" t="s">
        <v>39</v>
      </c>
      <c r="F1165">
        <v>21</v>
      </c>
      <c r="G1165" s="12">
        <v>1029</v>
      </c>
      <c r="H1165" s="12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1050</v>
      </c>
      <c r="N1165" t="b">
        <v>0</v>
      </c>
    </row>
    <row r="1166" spans="1:14" x14ac:dyDescent="0.3">
      <c r="A1166" t="s">
        <v>2212</v>
      </c>
      <c r="B1166" t="s">
        <v>974</v>
      </c>
      <c r="C1166" s="1">
        <v>45613</v>
      </c>
      <c r="D1166" s="1">
        <v>45657</v>
      </c>
      <c r="E1166" t="s">
        <v>39</v>
      </c>
      <c r="F1166">
        <v>25</v>
      </c>
      <c r="G1166" s="12">
        <v>1225</v>
      </c>
      <c r="H1166" s="12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1050</v>
      </c>
      <c r="N1166" t="b">
        <v>1</v>
      </c>
    </row>
    <row r="1167" spans="1:14" x14ac:dyDescent="0.3">
      <c r="A1167" t="s">
        <v>2213</v>
      </c>
      <c r="B1167" t="s">
        <v>292</v>
      </c>
      <c r="C1167" s="1">
        <v>45612</v>
      </c>
      <c r="E1167" t="s">
        <v>15</v>
      </c>
      <c r="F1167">
        <v>33</v>
      </c>
      <c r="G1167" s="12">
        <v>0</v>
      </c>
      <c r="H1167" s="12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1050</v>
      </c>
      <c r="N1167" t="b">
        <v>0</v>
      </c>
    </row>
    <row r="1168" spans="1:14" x14ac:dyDescent="0.3">
      <c r="A1168" t="s">
        <v>2214</v>
      </c>
      <c r="B1168" t="s">
        <v>824</v>
      </c>
      <c r="C1168" s="1">
        <v>45121</v>
      </c>
      <c r="E1168" t="s">
        <v>39</v>
      </c>
      <c r="F1168">
        <v>103</v>
      </c>
      <c r="G1168" s="12">
        <v>5047</v>
      </c>
      <c r="H1168" s="12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1050</v>
      </c>
      <c r="N1168" t="b">
        <v>1</v>
      </c>
    </row>
    <row r="1169" spans="1:14" x14ac:dyDescent="0.3">
      <c r="A1169" t="s">
        <v>2215</v>
      </c>
      <c r="B1169" t="s">
        <v>370</v>
      </c>
      <c r="C1169" s="1">
        <v>45567</v>
      </c>
      <c r="E1169" t="s">
        <v>39</v>
      </c>
      <c r="F1169">
        <v>19</v>
      </c>
      <c r="G1169" s="12">
        <v>931</v>
      </c>
      <c r="H1169" s="12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1050</v>
      </c>
      <c r="N1169" t="b">
        <v>1</v>
      </c>
    </row>
    <row r="1170" spans="1:14" x14ac:dyDescent="0.3">
      <c r="A1170" t="s">
        <v>2216</v>
      </c>
      <c r="B1170" t="s">
        <v>212</v>
      </c>
      <c r="C1170" s="1">
        <v>45546</v>
      </c>
      <c r="E1170" t="s">
        <v>15</v>
      </c>
      <c r="F1170">
        <v>49</v>
      </c>
      <c r="G1170" s="12">
        <v>931</v>
      </c>
      <c r="H1170" s="12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1050</v>
      </c>
      <c r="N1170" t="b">
        <v>1</v>
      </c>
    </row>
    <row r="1171" spans="1:14" x14ac:dyDescent="0.3">
      <c r="A1171" t="s">
        <v>2217</v>
      </c>
      <c r="B1171" t="s">
        <v>980</v>
      </c>
      <c r="C1171" s="1">
        <v>45581</v>
      </c>
      <c r="E1171" t="s">
        <v>32</v>
      </c>
      <c r="F1171">
        <v>67</v>
      </c>
      <c r="G1171" s="12">
        <v>13333</v>
      </c>
      <c r="H1171" s="12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1050</v>
      </c>
      <c r="N1171" t="b">
        <v>0</v>
      </c>
    </row>
    <row r="1172" spans="1:14" x14ac:dyDescent="0.3">
      <c r="A1172" t="s">
        <v>2218</v>
      </c>
      <c r="B1172" t="s">
        <v>212</v>
      </c>
      <c r="C1172" s="1">
        <v>45651</v>
      </c>
      <c r="E1172" t="s">
        <v>39</v>
      </c>
      <c r="F1172">
        <v>48</v>
      </c>
      <c r="G1172" s="12">
        <v>2352</v>
      </c>
      <c r="H1172" s="1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1047</v>
      </c>
      <c r="N1172" t="b">
        <v>1</v>
      </c>
    </row>
    <row r="1173" spans="1:14" x14ac:dyDescent="0.3">
      <c r="A1173" t="s">
        <v>2219</v>
      </c>
      <c r="B1173" t="s">
        <v>176</v>
      </c>
      <c r="C1173" s="1">
        <v>45647</v>
      </c>
      <c r="E1173" t="s">
        <v>39</v>
      </c>
      <c r="F1173">
        <v>37</v>
      </c>
      <c r="G1173" s="12">
        <v>1813</v>
      </c>
      <c r="H1173" s="12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1047</v>
      </c>
      <c r="N1173" t="b">
        <v>1</v>
      </c>
    </row>
    <row r="1174" spans="1:14" x14ac:dyDescent="0.3">
      <c r="A1174" t="s">
        <v>2220</v>
      </c>
      <c r="B1174" t="s">
        <v>658</v>
      </c>
      <c r="C1174" s="1">
        <v>45616</v>
      </c>
      <c r="E1174" t="s">
        <v>15</v>
      </c>
      <c r="F1174">
        <v>21</v>
      </c>
      <c r="G1174" s="12">
        <v>399</v>
      </c>
      <c r="H1174" s="12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1050</v>
      </c>
      <c r="N1174" t="b">
        <v>0</v>
      </c>
    </row>
    <row r="1175" spans="1:14" x14ac:dyDescent="0.3">
      <c r="A1175" t="s">
        <v>2221</v>
      </c>
      <c r="B1175" t="s">
        <v>762</v>
      </c>
      <c r="C1175" s="1">
        <v>45234</v>
      </c>
      <c r="E1175" t="s">
        <v>15</v>
      </c>
      <c r="F1175">
        <v>30</v>
      </c>
      <c r="G1175" s="12">
        <v>570</v>
      </c>
      <c r="H1175" s="12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1047</v>
      </c>
      <c r="N1175" t="b">
        <v>1</v>
      </c>
    </row>
    <row r="1176" spans="1:14" x14ac:dyDescent="0.3">
      <c r="A1176" t="s">
        <v>2222</v>
      </c>
      <c r="B1176" t="s">
        <v>104</v>
      </c>
      <c r="C1176" s="1">
        <v>45485</v>
      </c>
      <c r="E1176" t="s">
        <v>32</v>
      </c>
      <c r="F1176">
        <v>10</v>
      </c>
      <c r="G1176" s="12">
        <v>1990</v>
      </c>
      <c r="H1176" s="12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1050</v>
      </c>
      <c r="N1176" t="b">
        <v>1</v>
      </c>
    </row>
    <row r="1177" spans="1:14" x14ac:dyDescent="0.3">
      <c r="A1177" t="s">
        <v>2223</v>
      </c>
      <c r="B1177" t="s">
        <v>824</v>
      </c>
      <c r="C1177" s="1">
        <v>45514</v>
      </c>
      <c r="E1177" t="s">
        <v>15</v>
      </c>
      <c r="F1177">
        <v>49</v>
      </c>
      <c r="G1177" s="12">
        <v>0</v>
      </c>
      <c r="H1177" s="12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1050</v>
      </c>
      <c r="N1177" t="b">
        <v>1</v>
      </c>
    </row>
    <row r="1178" spans="1:14" x14ac:dyDescent="0.3">
      <c r="A1178" t="s">
        <v>2224</v>
      </c>
      <c r="B1178" t="s">
        <v>182</v>
      </c>
      <c r="C1178" s="1">
        <v>45379</v>
      </c>
      <c r="E1178" t="s">
        <v>15</v>
      </c>
      <c r="F1178">
        <v>44</v>
      </c>
      <c r="G1178" s="12">
        <v>836</v>
      </c>
      <c r="H1178" s="12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1050</v>
      </c>
      <c r="N1178" t="b">
        <v>0</v>
      </c>
    </row>
    <row r="1179" spans="1:14" x14ac:dyDescent="0.3">
      <c r="A1179" t="s">
        <v>2225</v>
      </c>
      <c r="B1179" t="s">
        <v>302</v>
      </c>
      <c r="C1179" s="1">
        <v>45322</v>
      </c>
      <c r="E1179" t="s">
        <v>32</v>
      </c>
      <c r="F1179">
        <v>47</v>
      </c>
      <c r="G1179" s="12">
        <v>9353</v>
      </c>
      <c r="H1179" s="12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1050</v>
      </c>
      <c r="N1179" t="b">
        <v>0</v>
      </c>
    </row>
    <row r="1180" spans="1:14" x14ac:dyDescent="0.3">
      <c r="A1180" t="s">
        <v>2226</v>
      </c>
      <c r="B1180" t="s">
        <v>956</v>
      </c>
      <c r="C1180" s="1">
        <v>45418</v>
      </c>
      <c r="E1180" t="s">
        <v>32</v>
      </c>
      <c r="F1180">
        <v>12</v>
      </c>
      <c r="G1180" s="12">
        <v>2388</v>
      </c>
      <c r="H1180" s="12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1047</v>
      </c>
      <c r="N1180" t="b">
        <v>1</v>
      </c>
    </row>
    <row r="1181" spans="1:14" x14ac:dyDescent="0.3">
      <c r="A1181" t="s">
        <v>2227</v>
      </c>
      <c r="B1181" t="s">
        <v>556</v>
      </c>
      <c r="C1181" s="1">
        <v>45637</v>
      </c>
      <c r="E1181" t="s">
        <v>39</v>
      </c>
      <c r="F1181">
        <v>58</v>
      </c>
      <c r="G1181" s="12">
        <v>0</v>
      </c>
      <c r="H1181" s="12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1050</v>
      </c>
      <c r="N1181" t="b">
        <v>1</v>
      </c>
    </row>
    <row r="1182" spans="1:14" x14ac:dyDescent="0.3">
      <c r="A1182" t="s">
        <v>2228</v>
      </c>
      <c r="B1182" t="s">
        <v>442</v>
      </c>
      <c r="C1182" s="1">
        <v>45638</v>
      </c>
      <c r="E1182" t="s">
        <v>32</v>
      </c>
      <c r="F1182">
        <v>32</v>
      </c>
      <c r="G1182" s="12">
        <v>6368</v>
      </c>
      <c r="H1182" s="1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1047</v>
      </c>
      <c r="N1182" t="b">
        <v>1</v>
      </c>
    </row>
    <row r="1183" spans="1:14" x14ac:dyDescent="0.3">
      <c r="A1183" t="s">
        <v>2229</v>
      </c>
      <c r="B1183" t="s">
        <v>582</v>
      </c>
      <c r="C1183" s="1">
        <v>45251</v>
      </c>
      <c r="E1183" t="s">
        <v>15</v>
      </c>
      <c r="F1183">
        <v>41</v>
      </c>
      <c r="G1183" s="12">
        <v>779</v>
      </c>
      <c r="H1183" s="12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1050</v>
      </c>
      <c r="N1183" t="b">
        <v>1</v>
      </c>
    </row>
    <row r="1184" spans="1:14" x14ac:dyDescent="0.3">
      <c r="A1184" t="s">
        <v>2230</v>
      </c>
      <c r="B1184" t="s">
        <v>1006</v>
      </c>
      <c r="C1184" s="1">
        <v>45655</v>
      </c>
      <c r="E1184" t="s">
        <v>39</v>
      </c>
      <c r="F1184">
        <v>148</v>
      </c>
      <c r="G1184" s="12">
        <v>7252</v>
      </c>
      <c r="H1184" s="12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1047</v>
      </c>
      <c r="N1184" t="b">
        <v>1</v>
      </c>
    </row>
    <row r="1185" spans="1:14" x14ac:dyDescent="0.3">
      <c r="A1185" t="s">
        <v>2231</v>
      </c>
      <c r="B1185" t="s">
        <v>610</v>
      </c>
      <c r="C1185" s="1">
        <v>45605</v>
      </c>
      <c r="E1185" t="s">
        <v>39</v>
      </c>
      <c r="F1185">
        <v>14</v>
      </c>
      <c r="G1185" s="12">
        <v>686</v>
      </c>
      <c r="H1185" s="12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1050</v>
      </c>
      <c r="N1185" t="b">
        <v>1</v>
      </c>
    </row>
    <row r="1186" spans="1:14" x14ac:dyDescent="0.3">
      <c r="A1186" t="s">
        <v>2232</v>
      </c>
      <c r="B1186" t="s">
        <v>728</v>
      </c>
      <c r="C1186" s="1">
        <v>45375</v>
      </c>
      <c r="E1186" t="s">
        <v>39</v>
      </c>
      <c r="F1186">
        <v>12</v>
      </c>
      <c r="G1186" s="12">
        <v>588</v>
      </c>
      <c r="H1186" s="12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1047</v>
      </c>
      <c r="N1186" t="b">
        <v>0</v>
      </c>
    </row>
    <row r="1187" spans="1:14" x14ac:dyDescent="0.3">
      <c r="A1187" t="s">
        <v>2233</v>
      </c>
      <c r="B1187" t="s">
        <v>676</v>
      </c>
      <c r="C1187" s="1">
        <v>45391</v>
      </c>
      <c r="E1187" t="s">
        <v>39</v>
      </c>
      <c r="F1187">
        <v>12</v>
      </c>
      <c r="G1187" s="12">
        <v>588</v>
      </c>
      <c r="H1187" s="12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1050</v>
      </c>
      <c r="N1187" t="b">
        <v>0</v>
      </c>
    </row>
    <row r="1188" spans="1:14" x14ac:dyDescent="0.3">
      <c r="A1188" t="s">
        <v>2234</v>
      </c>
      <c r="B1188" t="s">
        <v>112</v>
      </c>
      <c r="C1188" s="1">
        <v>45646</v>
      </c>
      <c r="D1188" s="1">
        <v>45656</v>
      </c>
      <c r="E1188" t="s">
        <v>39</v>
      </c>
      <c r="F1188">
        <v>63</v>
      </c>
      <c r="G1188" s="12">
        <v>0</v>
      </c>
      <c r="H1188" s="12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1047</v>
      </c>
      <c r="N1188" t="b">
        <v>1</v>
      </c>
    </row>
    <row r="1189" spans="1:14" x14ac:dyDescent="0.3">
      <c r="A1189" t="s">
        <v>2235</v>
      </c>
      <c r="B1189" t="s">
        <v>210</v>
      </c>
      <c r="C1189" s="1">
        <v>45563</v>
      </c>
      <c r="D1189" s="1">
        <v>45612</v>
      </c>
      <c r="E1189" t="s">
        <v>15</v>
      </c>
      <c r="F1189">
        <v>33</v>
      </c>
      <c r="G1189" s="12">
        <v>627</v>
      </c>
      <c r="H1189" s="12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1047</v>
      </c>
      <c r="N1189" t="b">
        <v>0</v>
      </c>
    </row>
    <row r="1190" spans="1:14" x14ac:dyDescent="0.3">
      <c r="A1190" t="s">
        <v>2236</v>
      </c>
      <c r="B1190" t="s">
        <v>336</v>
      </c>
      <c r="C1190" s="1">
        <v>45592</v>
      </c>
      <c r="E1190" t="s">
        <v>39</v>
      </c>
      <c r="F1190">
        <v>6</v>
      </c>
      <c r="G1190" s="12">
        <v>294</v>
      </c>
      <c r="H1190" s="12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1047</v>
      </c>
      <c r="N1190" t="b">
        <v>1</v>
      </c>
    </row>
    <row r="1191" spans="1:14" x14ac:dyDescent="0.3">
      <c r="A1191" t="s">
        <v>2237</v>
      </c>
      <c r="B1191" t="s">
        <v>674</v>
      </c>
      <c r="C1191" s="1">
        <v>45639</v>
      </c>
      <c r="E1191" t="s">
        <v>39</v>
      </c>
      <c r="F1191">
        <v>25</v>
      </c>
      <c r="G1191" s="12">
        <v>1225</v>
      </c>
      <c r="H1191" s="12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1050</v>
      </c>
      <c r="N1191" t="b">
        <v>1</v>
      </c>
    </row>
    <row r="1192" spans="1:14" x14ac:dyDescent="0.3">
      <c r="A1192" t="s">
        <v>2238</v>
      </c>
      <c r="B1192" t="s">
        <v>116</v>
      </c>
      <c r="C1192" s="1">
        <v>45646</v>
      </c>
      <c r="E1192" t="s">
        <v>39</v>
      </c>
      <c r="F1192">
        <v>35</v>
      </c>
      <c r="G1192" s="12">
        <v>1715</v>
      </c>
      <c r="H1192" s="1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1047</v>
      </c>
      <c r="N1192" t="b">
        <v>1</v>
      </c>
    </row>
    <row r="1193" spans="1:14" x14ac:dyDescent="0.3">
      <c r="A1193" t="s">
        <v>2239</v>
      </c>
      <c r="B1193" t="s">
        <v>172</v>
      </c>
      <c r="C1193" s="1">
        <v>45215</v>
      </c>
      <c r="E1193" t="s">
        <v>15</v>
      </c>
      <c r="F1193">
        <v>11</v>
      </c>
      <c r="G1193" s="12">
        <v>0</v>
      </c>
      <c r="H1193" s="12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1047</v>
      </c>
      <c r="N1193" t="b">
        <v>1</v>
      </c>
    </row>
    <row r="1194" spans="1:14" x14ac:dyDescent="0.3">
      <c r="A1194" t="s">
        <v>2240</v>
      </c>
      <c r="B1194" t="s">
        <v>766</v>
      </c>
      <c r="C1194" s="1">
        <v>45595</v>
      </c>
      <c r="E1194" t="s">
        <v>15</v>
      </c>
      <c r="F1194">
        <v>105</v>
      </c>
      <c r="G1194" s="12">
        <v>1995</v>
      </c>
      <c r="H1194" s="12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1050</v>
      </c>
      <c r="N1194" t="b">
        <v>1</v>
      </c>
    </row>
    <row r="1195" spans="1:14" x14ac:dyDescent="0.3">
      <c r="A1195" t="s">
        <v>2241</v>
      </c>
      <c r="B1195" t="s">
        <v>428</v>
      </c>
      <c r="C1195" s="1">
        <v>45107</v>
      </c>
      <c r="E1195" t="s">
        <v>32</v>
      </c>
      <c r="F1195">
        <v>3</v>
      </c>
      <c r="G1195" s="12">
        <v>597</v>
      </c>
      <c r="H1195" s="12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1050</v>
      </c>
      <c r="N1195" t="b">
        <v>1</v>
      </c>
    </row>
    <row r="1196" spans="1:14" x14ac:dyDescent="0.3">
      <c r="A1196" t="s">
        <v>2242</v>
      </c>
      <c r="B1196" t="s">
        <v>540</v>
      </c>
      <c r="C1196" s="1">
        <v>45649</v>
      </c>
      <c r="E1196" t="s">
        <v>39</v>
      </c>
      <c r="F1196">
        <v>16</v>
      </c>
      <c r="G1196" s="12">
        <v>784</v>
      </c>
      <c r="H1196" s="12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1047</v>
      </c>
      <c r="N1196" t="b">
        <v>0</v>
      </c>
    </row>
    <row r="1197" spans="1:14" x14ac:dyDescent="0.3">
      <c r="A1197" t="s">
        <v>2243</v>
      </c>
      <c r="B1197" t="s">
        <v>63</v>
      </c>
      <c r="C1197" s="1">
        <v>45341</v>
      </c>
      <c r="E1197" t="s">
        <v>15</v>
      </c>
      <c r="F1197">
        <v>58</v>
      </c>
      <c r="G1197" s="12">
        <v>0</v>
      </c>
      <c r="H1197" s="12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1050</v>
      </c>
      <c r="N1197" t="b">
        <v>1</v>
      </c>
    </row>
    <row r="1198" spans="1:14" x14ac:dyDescent="0.3">
      <c r="A1198" t="s">
        <v>2244</v>
      </c>
      <c r="B1198" t="s">
        <v>836</v>
      </c>
      <c r="C1198" s="1">
        <v>45588</v>
      </c>
      <c r="E1198" t="s">
        <v>39</v>
      </c>
      <c r="F1198">
        <v>117</v>
      </c>
      <c r="G1198" s="12">
        <v>5733</v>
      </c>
      <c r="H1198" s="12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1047</v>
      </c>
      <c r="N1198" t="b">
        <v>0</v>
      </c>
    </row>
    <row r="1199" spans="1:14" x14ac:dyDescent="0.3">
      <c r="A1199" t="s">
        <v>2245</v>
      </c>
      <c r="B1199" t="s">
        <v>246</v>
      </c>
      <c r="C1199" s="1">
        <v>45564</v>
      </c>
      <c r="E1199" t="s">
        <v>32</v>
      </c>
      <c r="F1199">
        <v>61</v>
      </c>
      <c r="G1199" s="12">
        <v>12139</v>
      </c>
      <c r="H1199" s="12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1050</v>
      </c>
      <c r="N1199" t="b">
        <v>1</v>
      </c>
    </row>
    <row r="1200" spans="1:14" x14ac:dyDescent="0.3">
      <c r="A1200" t="s">
        <v>2246</v>
      </c>
      <c r="B1200" t="s">
        <v>992</v>
      </c>
      <c r="C1200" s="1">
        <v>45286</v>
      </c>
      <c r="E1200" t="s">
        <v>32</v>
      </c>
      <c r="F1200">
        <v>11</v>
      </c>
      <c r="G1200" s="12">
        <v>2189</v>
      </c>
      <c r="H1200" s="12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1047</v>
      </c>
      <c r="N1200" t="b">
        <v>1</v>
      </c>
    </row>
    <row r="1201" spans="1:14" x14ac:dyDescent="0.3">
      <c r="A1201" t="s">
        <v>2247</v>
      </c>
      <c r="B1201" t="s">
        <v>976</v>
      </c>
      <c r="C1201" s="1">
        <v>45121</v>
      </c>
      <c r="E1201" t="s">
        <v>15</v>
      </c>
      <c r="F1201">
        <v>54</v>
      </c>
      <c r="G1201" s="12">
        <v>1026</v>
      </c>
      <c r="H1201" s="12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1047</v>
      </c>
      <c r="N1201" t="b">
        <v>1</v>
      </c>
    </row>
    <row r="1202" spans="1:14" x14ac:dyDescent="0.3">
      <c r="A1202" t="s">
        <v>2248</v>
      </c>
      <c r="B1202" t="s">
        <v>530</v>
      </c>
      <c r="C1202" s="1">
        <v>45640</v>
      </c>
      <c r="E1202" t="s">
        <v>15</v>
      </c>
      <c r="F1202">
        <v>52</v>
      </c>
      <c r="G1202" s="12">
        <v>988</v>
      </c>
      <c r="H1202" s="1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1050</v>
      </c>
      <c r="N1202" t="b">
        <v>1</v>
      </c>
    </row>
    <row r="1203" spans="1:14" x14ac:dyDescent="0.3">
      <c r="A1203" t="s">
        <v>2249</v>
      </c>
      <c r="B1203" t="s">
        <v>958</v>
      </c>
      <c r="C1203" s="1">
        <v>45590</v>
      </c>
      <c r="D1203" s="1">
        <v>45621</v>
      </c>
      <c r="E1203" t="s">
        <v>15</v>
      </c>
      <c r="F1203">
        <v>27</v>
      </c>
      <c r="G1203" s="12">
        <v>513</v>
      </c>
      <c r="H1203" s="12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1047</v>
      </c>
      <c r="N1203" t="b">
        <v>1</v>
      </c>
    </row>
    <row r="1204" spans="1:14" x14ac:dyDescent="0.3">
      <c r="A1204" t="s">
        <v>2250</v>
      </c>
      <c r="B1204" t="s">
        <v>40</v>
      </c>
      <c r="C1204" s="1">
        <v>45207</v>
      </c>
      <c r="E1204" t="s">
        <v>32</v>
      </c>
      <c r="F1204">
        <v>21</v>
      </c>
      <c r="G1204" s="12">
        <v>4179</v>
      </c>
      <c r="H1204" s="12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1047</v>
      </c>
      <c r="N1204" t="b">
        <v>1</v>
      </c>
    </row>
    <row r="1205" spans="1:14" x14ac:dyDescent="0.3">
      <c r="A1205" t="s">
        <v>2251</v>
      </c>
      <c r="B1205" t="s">
        <v>956</v>
      </c>
      <c r="C1205" s="1">
        <v>45375</v>
      </c>
      <c r="E1205" t="s">
        <v>15</v>
      </c>
      <c r="F1205">
        <v>42</v>
      </c>
      <c r="G1205" s="12">
        <v>798</v>
      </c>
      <c r="H1205" s="12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1050</v>
      </c>
      <c r="N1205" t="b">
        <v>1</v>
      </c>
    </row>
    <row r="1206" spans="1:14" x14ac:dyDescent="0.3">
      <c r="A1206" t="s">
        <v>2252</v>
      </c>
      <c r="B1206" t="s">
        <v>654</v>
      </c>
      <c r="C1206" s="1">
        <v>45590</v>
      </c>
      <c r="E1206" t="s">
        <v>32</v>
      </c>
      <c r="F1206">
        <v>40</v>
      </c>
      <c r="G1206" s="12">
        <v>7960</v>
      </c>
      <c r="H1206" s="12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1047</v>
      </c>
      <c r="N1206" t="b">
        <v>1</v>
      </c>
    </row>
    <row r="1207" spans="1:14" x14ac:dyDescent="0.3">
      <c r="A1207" t="s">
        <v>2253</v>
      </c>
      <c r="B1207" t="s">
        <v>866</v>
      </c>
      <c r="C1207" s="1">
        <v>45614</v>
      </c>
      <c r="E1207" t="s">
        <v>15</v>
      </c>
      <c r="F1207">
        <v>23</v>
      </c>
      <c r="G1207" s="12">
        <v>437</v>
      </c>
      <c r="H1207" s="12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1047</v>
      </c>
      <c r="N1207" t="b">
        <v>0</v>
      </c>
    </row>
    <row r="1208" spans="1:14" x14ac:dyDescent="0.3">
      <c r="A1208" t="s">
        <v>2254</v>
      </c>
      <c r="B1208" t="s">
        <v>538</v>
      </c>
      <c r="C1208" s="1">
        <v>45277</v>
      </c>
      <c r="D1208" s="1">
        <v>45380</v>
      </c>
      <c r="E1208" t="s">
        <v>15</v>
      </c>
      <c r="F1208">
        <v>9</v>
      </c>
      <c r="G1208" s="12">
        <v>0</v>
      </c>
      <c r="H1208" s="12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1050</v>
      </c>
      <c r="N1208" t="b">
        <v>1</v>
      </c>
    </row>
    <row r="1209" spans="1:14" x14ac:dyDescent="0.3">
      <c r="A1209" t="s">
        <v>2255</v>
      </c>
      <c r="B1209" t="s">
        <v>374</v>
      </c>
      <c r="C1209" s="1">
        <v>45611</v>
      </c>
      <c r="E1209" t="s">
        <v>39</v>
      </c>
      <c r="F1209">
        <v>11</v>
      </c>
      <c r="G1209" s="12">
        <v>0</v>
      </c>
      <c r="H1209" s="12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1047</v>
      </c>
      <c r="N1209" t="b">
        <v>1</v>
      </c>
    </row>
    <row r="1210" spans="1:14" x14ac:dyDescent="0.3">
      <c r="A1210" t="s">
        <v>2256</v>
      </c>
      <c r="B1210" t="s">
        <v>1028</v>
      </c>
      <c r="C1210" s="1">
        <v>45626</v>
      </c>
      <c r="E1210" t="s">
        <v>32</v>
      </c>
      <c r="F1210">
        <v>12</v>
      </c>
      <c r="G1210" s="12">
        <v>0</v>
      </c>
      <c r="H1210" s="12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1047</v>
      </c>
      <c r="N1210" t="b">
        <v>1</v>
      </c>
    </row>
    <row r="1211" spans="1:14" x14ac:dyDescent="0.3">
      <c r="A1211" t="s">
        <v>2257</v>
      </c>
      <c r="B1211" t="s">
        <v>358</v>
      </c>
      <c r="C1211" s="1">
        <v>45643</v>
      </c>
      <c r="E1211" t="s">
        <v>15</v>
      </c>
      <c r="F1211">
        <v>63</v>
      </c>
      <c r="G1211" s="12">
        <v>1197</v>
      </c>
      <c r="H1211" s="12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1047</v>
      </c>
      <c r="N1211" t="b">
        <v>1</v>
      </c>
    </row>
    <row r="1212" spans="1:14" x14ac:dyDescent="0.3">
      <c r="A1212" t="s">
        <v>2258</v>
      </c>
      <c r="B1212" t="s">
        <v>636</v>
      </c>
      <c r="C1212" s="1">
        <v>45347</v>
      </c>
      <c r="E1212" t="s">
        <v>39</v>
      </c>
      <c r="F1212">
        <v>9</v>
      </c>
      <c r="G1212" s="12">
        <v>441</v>
      </c>
      <c r="H1212" s="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1047</v>
      </c>
      <c r="N1212" t="b">
        <v>0</v>
      </c>
    </row>
    <row r="1213" spans="1:14" x14ac:dyDescent="0.3">
      <c r="A1213" t="s">
        <v>2259</v>
      </c>
      <c r="B1213" t="s">
        <v>152</v>
      </c>
      <c r="C1213" s="1">
        <v>45329</v>
      </c>
      <c r="E1213" t="s">
        <v>15</v>
      </c>
      <c r="F1213">
        <v>41</v>
      </c>
      <c r="G1213" s="12">
        <v>0</v>
      </c>
      <c r="H1213" s="12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1050</v>
      </c>
      <c r="N1213" t="b">
        <v>1</v>
      </c>
    </row>
    <row r="1214" spans="1:14" x14ac:dyDescent="0.3">
      <c r="A1214" t="s">
        <v>2260</v>
      </c>
      <c r="B1214" t="s">
        <v>202</v>
      </c>
      <c r="C1214" s="1">
        <v>45619</v>
      </c>
      <c r="E1214" t="s">
        <v>39</v>
      </c>
      <c r="F1214">
        <v>16</v>
      </c>
      <c r="G1214" s="12">
        <v>784</v>
      </c>
      <c r="H1214" s="12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1047</v>
      </c>
      <c r="N1214" t="b">
        <v>1</v>
      </c>
    </row>
    <row r="1215" spans="1:14" x14ac:dyDescent="0.3">
      <c r="A1215" t="s">
        <v>2261</v>
      </c>
      <c r="B1215" t="s">
        <v>478</v>
      </c>
      <c r="C1215" s="1">
        <v>45288</v>
      </c>
      <c r="E1215" t="s">
        <v>32</v>
      </c>
      <c r="F1215">
        <v>29</v>
      </c>
      <c r="G1215" s="12">
        <v>5771</v>
      </c>
      <c r="H1215" s="12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1047</v>
      </c>
      <c r="N1215" t="b">
        <v>1</v>
      </c>
    </row>
    <row r="1216" spans="1:14" x14ac:dyDescent="0.3">
      <c r="A1216" t="s">
        <v>2262</v>
      </c>
      <c r="B1216" t="s">
        <v>166</v>
      </c>
      <c r="C1216" s="1">
        <v>45099</v>
      </c>
      <c r="E1216" t="s">
        <v>32</v>
      </c>
      <c r="F1216">
        <v>18</v>
      </c>
      <c r="G1216" s="12">
        <v>3582</v>
      </c>
      <c r="H1216" s="12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1050</v>
      </c>
      <c r="N1216" t="b">
        <v>1</v>
      </c>
    </row>
    <row r="1217" spans="1:14" x14ac:dyDescent="0.3">
      <c r="A1217" t="s">
        <v>2263</v>
      </c>
      <c r="B1217" t="s">
        <v>826</v>
      </c>
      <c r="C1217" s="1">
        <v>45450</v>
      </c>
      <c r="E1217" t="s">
        <v>15</v>
      </c>
      <c r="F1217">
        <v>45</v>
      </c>
      <c r="G1217" s="12">
        <v>0</v>
      </c>
      <c r="H1217" s="12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1050</v>
      </c>
      <c r="N1217" t="b">
        <v>1</v>
      </c>
    </row>
    <row r="1218" spans="1:14" x14ac:dyDescent="0.3">
      <c r="A1218" t="s">
        <v>2264</v>
      </c>
      <c r="B1218" t="s">
        <v>112</v>
      </c>
      <c r="C1218" s="1">
        <v>45530</v>
      </c>
      <c r="E1218" t="s">
        <v>15</v>
      </c>
      <c r="F1218">
        <v>2</v>
      </c>
      <c r="G1218" s="12">
        <v>38</v>
      </c>
      <c r="H1218" s="12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1047</v>
      </c>
      <c r="N1218" t="b">
        <v>1</v>
      </c>
    </row>
    <row r="1219" spans="1:14" x14ac:dyDescent="0.3">
      <c r="A1219" t="s">
        <v>2265</v>
      </c>
      <c r="B1219" t="s">
        <v>978</v>
      </c>
      <c r="C1219" s="1">
        <v>45463</v>
      </c>
      <c r="E1219" t="s">
        <v>32</v>
      </c>
      <c r="F1219">
        <v>13</v>
      </c>
      <c r="G1219" s="12">
        <v>2587</v>
      </c>
      <c r="H1219" s="12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1050</v>
      </c>
      <c r="N1219" t="b">
        <v>1</v>
      </c>
    </row>
    <row r="1220" spans="1:14" x14ac:dyDescent="0.3">
      <c r="A1220" t="s">
        <v>2266</v>
      </c>
      <c r="B1220" t="s">
        <v>456</v>
      </c>
      <c r="C1220" s="1">
        <v>45561</v>
      </c>
      <c r="E1220" t="s">
        <v>32</v>
      </c>
      <c r="F1220">
        <v>9</v>
      </c>
      <c r="G1220" s="12">
        <v>0</v>
      </c>
      <c r="H1220" s="12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1047</v>
      </c>
      <c r="N1220" t="b">
        <v>1</v>
      </c>
    </row>
    <row r="1221" spans="1:14" x14ac:dyDescent="0.3">
      <c r="A1221" t="s">
        <v>2267</v>
      </c>
      <c r="B1221" t="s">
        <v>240</v>
      </c>
      <c r="C1221" s="1">
        <v>45147</v>
      </c>
      <c r="E1221" t="s">
        <v>32</v>
      </c>
      <c r="F1221">
        <v>23</v>
      </c>
      <c r="G1221" s="12">
        <v>4577</v>
      </c>
      <c r="H1221" s="12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1050</v>
      </c>
      <c r="N1221" t="b">
        <v>1</v>
      </c>
    </row>
    <row r="1222" spans="1:14" x14ac:dyDescent="0.3">
      <c r="A1222" t="s">
        <v>2268</v>
      </c>
      <c r="B1222" t="s">
        <v>564</v>
      </c>
      <c r="C1222" s="1">
        <v>45657</v>
      </c>
      <c r="E1222" t="s">
        <v>39</v>
      </c>
      <c r="F1222">
        <v>3</v>
      </c>
      <c r="G1222" s="12">
        <v>147</v>
      </c>
      <c r="H1222" s="1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1047</v>
      </c>
      <c r="N1222" t="b">
        <v>1</v>
      </c>
    </row>
    <row r="1223" spans="1:14" x14ac:dyDescent="0.3">
      <c r="A1223" t="s">
        <v>2269</v>
      </c>
      <c r="B1223" t="s">
        <v>990</v>
      </c>
      <c r="C1223" s="1">
        <v>45548</v>
      </c>
      <c r="E1223" t="s">
        <v>32</v>
      </c>
      <c r="F1223">
        <v>70</v>
      </c>
      <c r="G1223" s="12">
        <v>13930</v>
      </c>
      <c r="H1223" s="12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1047</v>
      </c>
      <c r="N1223" t="b">
        <v>1</v>
      </c>
    </row>
    <row r="1224" spans="1:14" x14ac:dyDescent="0.3">
      <c r="A1224" t="s">
        <v>2270</v>
      </c>
      <c r="B1224" t="s">
        <v>640</v>
      </c>
      <c r="C1224" s="1">
        <v>45465</v>
      </c>
      <c r="E1224" t="s">
        <v>32</v>
      </c>
      <c r="F1224">
        <v>25</v>
      </c>
      <c r="G1224" s="12">
        <v>4975</v>
      </c>
      <c r="H1224" s="12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1050</v>
      </c>
      <c r="N1224" t="b">
        <v>1</v>
      </c>
    </row>
    <row r="1225" spans="1:14" x14ac:dyDescent="0.3">
      <c r="A1225" t="s">
        <v>2271</v>
      </c>
      <c r="B1225" t="s">
        <v>656</v>
      </c>
      <c r="C1225" s="1">
        <v>45424</v>
      </c>
      <c r="E1225" t="s">
        <v>32</v>
      </c>
      <c r="F1225">
        <v>50</v>
      </c>
      <c r="G1225" s="12">
        <v>0</v>
      </c>
      <c r="H1225" s="12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1050</v>
      </c>
      <c r="N1225" t="b">
        <v>0</v>
      </c>
    </row>
    <row r="1226" spans="1:14" x14ac:dyDescent="0.3">
      <c r="A1226" t="s">
        <v>2272</v>
      </c>
      <c r="B1226" t="s">
        <v>386</v>
      </c>
      <c r="C1226" s="1">
        <v>45637</v>
      </c>
      <c r="E1226" t="s">
        <v>15</v>
      </c>
      <c r="F1226">
        <v>29</v>
      </c>
      <c r="G1226" s="12">
        <v>551</v>
      </c>
      <c r="H1226" s="12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1047</v>
      </c>
      <c r="N1226" t="b">
        <v>1</v>
      </c>
    </row>
    <row r="1227" spans="1:14" x14ac:dyDescent="0.3">
      <c r="A1227" t="s">
        <v>2273</v>
      </c>
      <c r="B1227" t="s">
        <v>226</v>
      </c>
      <c r="C1227" s="1">
        <v>45539</v>
      </c>
      <c r="D1227" s="1">
        <v>45551</v>
      </c>
      <c r="E1227" t="s">
        <v>32</v>
      </c>
      <c r="F1227">
        <v>50</v>
      </c>
      <c r="G1227" s="12">
        <v>9950</v>
      </c>
      <c r="H1227" s="12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1050</v>
      </c>
      <c r="N1227" t="b">
        <v>1</v>
      </c>
    </row>
    <row r="1228" spans="1:14" x14ac:dyDescent="0.3">
      <c r="A1228" t="s">
        <v>2274</v>
      </c>
      <c r="B1228" t="s">
        <v>912</v>
      </c>
      <c r="C1228" s="1">
        <v>45542</v>
      </c>
      <c r="E1228" t="s">
        <v>32</v>
      </c>
      <c r="F1228">
        <v>4</v>
      </c>
      <c r="G1228" s="12">
        <v>0</v>
      </c>
      <c r="H1228" s="12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1047</v>
      </c>
      <c r="N1228" t="b">
        <v>0</v>
      </c>
    </row>
    <row r="1229" spans="1:14" x14ac:dyDescent="0.3">
      <c r="A1229" t="s">
        <v>2275</v>
      </c>
      <c r="B1229" t="s">
        <v>504</v>
      </c>
      <c r="C1229" s="1">
        <v>45275</v>
      </c>
      <c r="D1229" s="1">
        <v>45302</v>
      </c>
      <c r="E1229" t="s">
        <v>39</v>
      </c>
      <c r="F1229">
        <v>39</v>
      </c>
      <c r="G1229" s="12">
        <v>1911</v>
      </c>
      <c r="H1229" s="12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1047</v>
      </c>
      <c r="N1229" t="b">
        <v>1</v>
      </c>
    </row>
    <row r="1230" spans="1:14" x14ac:dyDescent="0.3">
      <c r="A1230" t="s">
        <v>2276</v>
      </c>
      <c r="B1230" t="s">
        <v>144</v>
      </c>
      <c r="C1230" s="1">
        <v>45520</v>
      </c>
      <c r="E1230" t="s">
        <v>32</v>
      </c>
      <c r="F1230">
        <v>20</v>
      </c>
      <c r="G1230" s="12">
        <v>3980</v>
      </c>
      <c r="H1230" s="12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1050</v>
      </c>
      <c r="N1230" t="b">
        <v>1</v>
      </c>
    </row>
    <row r="1231" spans="1:14" x14ac:dyDescent="0.3">
      <c r="A1231" t="s">
        <v>2277</v>
      </c>
      <c r="B1231" t="s">
        <v>538</v>
      </c>
      <c r="C1231" s="1">
        <v>45232</v>
      </c>
      <c r="D1231" s="1">
        <v>45575</v>
      </c>
      <c r="E1231" t="s">
        <v>15</v>
      </c>
      <c r="F1231">
        <v>51</v>
      </c>
      <c r="G1231" s="12">
        <v>0</v>
      </c>
      <c r="H1231" s="12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1047</v>
      </c>
      <c r="N1231" t="b">
        <v>1</v>
      </c>
    </row>
    <row r="1232" spans="1:14" x14ac:dyDescent="0.3">
      <c r="A1232" t="s">
        <v>2278</v>
      </c>
      <c r="B1232" t="s">
        <v>83</v>
      </c>
      <c r="C1232" s="1">
        <v>45416</v>
      </c>
      <c r="D1232" s="1">
        <v>45469</v>
      </c>
      <c r="E1232" t="s">
        <v>39</v>
      </c>
      <c r="F1232">
        <v>19</v>
      </c>
      <c r="G1232" s="12">
        <v>931</v>
      </c>
      <c r="H1232" s="1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1050</v>
      </c>
      <c r="N1232" t="b">
        <v>1</v>
      </c>
    </row>
    <row r="1233" spans="1:14" x14ac:dyDescent="0.3">
      <c r="A1233" t="s">
        <v>2279</v>
      </c>
      <c r="B1233" t="s">
        <v>286</v>
      </c>
      <c r="C1233" s="1">
        <v>45432</v>
      </c>
      <c r="E1233" t="s">
        <v>32</v>
      </c>
      <c r="F1233">
        <v>26</v>
      </c>
      <c r="G1233" s="12">
        <v>5174</v>
      </c>
      <c r="H1233" s="12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1050</v>
      </c>
      <c r="N1233" t="b">
        <v>0</v>
      </c>
    </row>
    <row r="1234" spans="1:14" x14ac:dyDescent="0.3">
      <c r="A1234" t="s">
        <v>2280</v>
      </c>
      <c r="B1234" t="s">
        <v>72</v>
      </c>
      <c r="C1234" s="1">
        <v>45550</v>
      </c>
      <c r="D1234" s="1">
        <v>45556</v>
      </c>
      <c r="E1234" t="s">
        <v>32</v>
      </c>
      <c r="F1234">
        <v>78</v>
      </c>
      <c r="G1234" s="12">
        <v>15522</v>
      </c>
      <c r="H1234" s="12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1047</v>
      </c>
      <c r="N1234" t="b">
        <v>1</v>
      </c>
    </row>
    <row r="1235" spans="1:14" x14ac:dyDescent="0.3">
      <c r="A1235" t="s">
        <v>2281</v>
      </c>
      <c r="B1235" t="s">
        <v>190</v>
      </c>
      <c r="C1235" s="1">
        <v>45171</v>
      </c>
      <c r="E1235" t="s">
        <v>39</v>
      </c>
      <c r="F1235">
        <v>56</v>
      </c>
      <c r="G1235" s="12">
        <v>2744</v>
      </c>
      <c r="H1235" s="12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1047</v>
      </c>
      <c r="N1235" t="b">
        <v>1</v>
      </c>
    </row>
    <row r="1236" spans="1:14" x14ac:dyDescent="0.3">
      <c r="A1236" t="s">
        <v>2282</v>
      </c>
      <c r="B1236" t="s">
        <v>102</v>
      </c>
      <c r="C1236" s="1">
        <v>45298</v>
      </c>
      <c r="E1236" t="s">
        <v>32</v>
      </c>
      <c r="F1236">
        <v>18</v>
      </c>
      <c r="G1236" s="12">
        <v>3582</v>
      </c>
      <c r="H1236" s="12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1050</v>
      </c>
      <c r="N1236" t="b">
        <v>0</v>
      </c>
    </row>
    <row r="1237" spans="1:14" x14ac:dyDescent="0.3">
      <c r="A1237" t="s">
        <v>2283</v>
      </c>
      <c r="B1237" t="s">
        <v>636</v>
      </c>
      <c r="C1237" s="1">
        <v>45555</v>
      </c>
      <c r="E1237" t="s">
        <v>39</v>
      </c>
      <c r="F1237">
        <v>26</v>
      </c>
      <c r="G1237" s="12">
        <v>1274</v>
      </c>
      <c r="H1237" s="12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1050</v>
      </c>
      <c r="N1237" t="b">
        <v>1</v>
      </c>
    </row>
    <row r="1238" spans="1:14" x14ac:dyDescent="0.3">
      <c r="A1238" t="s">
        <v>2284</v>
      </c>
      <c r="B1238" t="s">
        <v>232</v>
      </c>
      <c r="C1238" s="1">
        <v>45478</v>
      </c>
      <c r="E1238" t="s">
        <v>15</v>
      </c>
      <c r="F1238">
        <v>20</v>
      </c>
      <c r="G1238" s="12">
        <v>380</v>
      </c>
      <c r="H1238" s="12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1047</v>
      </c>
      <c r="N1238" t="b">
        <v>1</v>
      </c>
    </row>
    <row r="1239" spans="1:14" x14ac:dyDescent="0.3">
      <c r="A1239" t="s">
        <v>2285</v>
      </c>
      <c r="B1239" t="s">
        <v>362</v>
      </c>
      <c r="C1239" s="1">
        <v>45301</v>
      </c>
      <c r="E1239" t="s">
        <v>15</v>
      </c>
      <c r="F1239">
        <v>73</v>
      </c>
      <c r="G1239" s="12">
        <v>1387</v>
      </c>
      <c r="H1239" s="12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1047</v>
      </c>
      <c r="N1239" t="b">
        <v>1</v>
      </c>
    </row>
    <row r="1240" spans="1:14" x14ac:dyDescent="0.3">
      <c r="A1240" t="s">
        <v>2286</v>
      </c>
      <c r="B1240" t="s">
        <v>784</v>
      </c>
      <c r="C1240" s="1">
        <v>45633</v>
      </c>
      <c r="E1240" t="s">
        <v>15</v>
      </c>
      <c r="F1240">
        <v>13</v>
      </c>
      <c r="G1240" s="12">
        <v>247</v>
      </c>
      <c r="H1240" s="12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1050</v>
      </c>
      <c r="N1240" t="b">
        <v>1</v>
      </c>
    </row>
    <row r="1241" spans="1:14" x14ac:dyDescent="0.3">
      <c r="A1241" t="s">
        <v>2287</v>
      </c>
      <c r="B1241" t="s">
        <v>942</v>
      </c>
      <c r="C1241" s="1">
        <v>45546</v>
      </c>
      <c r="D1241" s="1">
        <v>45606</v>
      </c>
      <c r="E1241" t="s">
        <v>15</v>
      </c>
      <c r="F1241">
        <v>18</v>
      </c>
      <c r="G1241" s="12">
        <v>342</v>
      </c>
      <c r="H1241" s="12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1050</v>
      </c>
      <c r="N1241" t="b">
        <v>1</v>
      </c>
    </row>
    <row r="1242" spans="1:14" x14ac:dyDescent="0.3">
      <c r="A1242" t="s">
        <v>2288</v>
      </c>
      <c r="B1242" t="s">
        <v>83</v>
      </c>
      <c r="C1242" s="1">
        <v>45490</v>
      </c>
      <c r="E1242" t="s">
        <v>15</v>
      </c>
      <c r="F1242">
        <v>19</v>
      </c>
      <c r="G1242" s="12">
        <v>361</v>
      </c>
      <c r="H1242" s="1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1047</v>
      </c>
      <c r="N1242" t="b">
        <v>0</v>
      </c>
    </row>
    <row r="1243" spans="1:14" x14ac:dyDescent="0.3">
      <c r="A1243" t="s">
        <v>2289</v>
      </c>
      <c r="B1243" t="s">
        <v>980</v>
      </c>
      <c r="C1243" s="1">
        <v>45634</v>
      </c>
      <c r="E1243" t="s">
        <v>39</v>
      </c>
      <c r="F1243">
        <v>67</v>
      </c>
      <c r="G1243" s="12">
        <v>3283</v>
      </c>
      <c r="H1243" s="12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1047</v>
      </c>
      <c r="N1243" t="b">
        <v>0</v>
      </c>
    </row>
    <row r="1244" spans="1:14" x14ac:dyDescent="0.3">
      <c r="A1244" t="s">
        <v>2290</v>
      </c>
      <c r="B1244" t="s">
        <v>426</v>
      </c>
      <c r="C1244" s="1">
        <v>45586</v>
      </c>
      <c r="E1244" t="s">
        <v>15</v>
      </c>
      <c r="F1244">
        <v>45</v>
      </c>
      <c r="G1244" s="12">
        <v>855</v>
      </c>
      <c r="H1244" s="12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1050</v>
      </c>
      <c r="N1244" t="b">
        <v>0</v>
      </c>
    </row>
    <row r="1245" spans="1:14" x14ac:dyDescent="0.3">
      <c r="A1245" t="s">
        <v>2291</v>
      </c>
      <c r="B1245" t="s">
        <v>766</v>
      </c>
      <c r="C1245" s="1">
        <v>45391</v>
      </c>
      <c r="E1245" t="s">
        <v>32</v>
      </c>
      <c r="F1245">
        <v>105</v>
      </c>
      <c r="G1245" s="12">
        <v>20895</v>
      </c>
      <c r="H1245" s="12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1050</v>
      </c>
      <c r="N1245" t="b">
        <v>1</v>
      </c>
    </row>
    <row r="1246" spans="1:14" x14ac:dyDescent="0.3">
      <c r="A1246" t="s">
        <v>2292</v>
      </c>
      <c r="B1246" t="s">
        <v>1028</v>
      </c>
      <c r="C1246" s="1">
        <v>45573</v>
      </c>
      <c r="E1246" t="s">
        <v>15</v>
      </c>
      <c r="F1246">
        <v>16</v>
      </c>
      <c r="G1246" s="12">
        <v>304</v>
      </c>
      <c r="H1246" s="12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1050</v>
      </c>
      <c r="N1246" t="b">
        <v>1</v>
      </c>
    </row>
    <row r="1247" spans="1:14" x14ac:dyDescent="0.3">
      <c r="A1247" t="s">
        <v>2293</v>
      </c>
      <c r="B1247" t="s">
        <v>160</v>
      </c>
      <c r="C1247" s="1">
        <v>45591</v>
      </c>
      <c r="E1247" t="s">
        <v>32</v>
      </c>
      <c r="F1247">
        <v>8</v>
      </c>
      <c r="G1247" s="12">
        <v>1592</v>
      </c>
      <c r="H1247" s="12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1047</v>
      </c>
      <c r="N1247" t="b">
        <v>1</v>
      </c>
    </row>
    <row r="1248" spans="1:14" x14ac:dyDescent="0.3">
      <c r="A1248" t="s">
        <v>2294</v>
      </c>
      <c r="B1248" t="s">
        <v>316</v>
      </c>
      <c r="C1248" s="1">
        <v>45222</v>
      </c>
      <c r="E1248" t="s">
        <v>15</v>
      </c>
      <c r="F1248">
        <v>7</v>
      </c>
      <c r="G1248" s="12">
        <v>133</v>
      </c>
      <c r="H1248" s="12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1050</v>
      </c>
      <c r="N1248" t="b">
        <v>1</v>
      </c>
    </row>
    <row r="1249" spans="1:14" x14ac:dyDescent="0.3">
      <c r="A1249" t="s">
        <v>2295</v>
      </c>
      <c r="B1249" t="s">
        <v>498</v>
      </c>
      <c r="C1249" s="1">
        <v>45397</v>
      </c>
      <c r="D1249" s="1">
        <v>45572</v>
      </c>
      <c r="E1249" t="s">
        <v>15</v>
      </c>
      <c r="F1249">
        <v>20</v>
      </c>
      <c r="G1249" s="12">
        <v>380</v>
      </c>
      <c r="H1249" s="12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1047</v>
      </c>
      <c r="N1249" t="b">
        <v>0</v>
      </c>
    </row>
    <row r="1250" spans="1:14" x14ac:dyDescent="0.3">
      <c r="A1250" t="s">
        <v>2296</v>
      </c>
      <c r="B1250" t="s">
        <v>936</v>
      </c>
      <c r="C1250" s="1">
        <v>45602</v>
      </c>
      <c r="E1250" t="s">
        <v>32</v>
      </c>
      <c r="F1250">
        <v>34</v>
      </c>
      <c r="G1250" s="12">
        <v>6766</v>
      </c>
      <c r="H1250" s="12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1047</v>
      </c>
      <c r="N1250" t="b">
        <v>1</v>
      </c>
    </row>
    <row r="1251" spans="1:14" x14ac:dyDescent="0.3">
      <c r="A1251" t="s">
        <v>2297</v>
      </c>
      <c r="B1251" t="s">
        <v>838</v>
      </c>
      <c r="C1251" s="1">
        <v>45276</v>
      </c>
      <c r="E1251" t="s">
        <v>32</v>
      </c>
      <c r="F1251">
        <v>7</v>
      </c>
      <c r="G1251" s="12">
        <v>1393</v>
      </c>
      <c r="H1251" s="12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1047</v>
      </c>
      <c r="N1251" t="b">
        <v>0</v>
      </c>
    </row>
    <row r="1252" spans="1:14" x14ac:dyDescent="0.3">
      <c r="A1252" t="s">
        <v>2298</v>
      </c>
      <c r="B1252" t="s">
        <v>118</v>
      </c>
      <c r="C1252" s="1">
        <v>45584</v>
      </c>
      <c r="E1252" t="s">
        <v>32</v>
      </c>
      <c r="F1252">
        <v>48</v>
      </c>
      <c r="G1252" s="12">
        <v>9552</v>
      </c>
      <c r="H1252" s="1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1050</v>
      </c>
      <c r="N1252" t="b">
        <v>1</v>
      </c>
    </row>
    <row r="1253" spans="1:14" x14ac:dyDescent="0.3">
      <c r="A1253" t="s">
        <v>2299</v>
      </c>
      <c r="B1253" t="s">
        <v>912</v>
      </c>
      <c r="C1253" s="1">
        <v>45211</v>
      </c>
      <c r="E1253" t="s">
        <v>32</v>
      </c>
      <c r="F1253">
        <v>7</v>
      </c>
      <c r="G1253" s="12">
        <v>1393</v>
      </c>
      <c r="H1253" s="12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1050</v>
      </c>
      <c r="N1253" t="b">
        <v>1</v>
      </c>
    </row>
    <row r="1254" spans="1:14" x14ac:dyDescent="0.3">
      <c r="A1254" t="s">
        <v>2300</v>
      </c>
      <c r="B1254" t="s">
        <v>886</v>
      </c>
      <c r="C1254" s="1">
        <v>45603</v>
      </c>
      <c r="E1254" t="s">
        <v>39</v>
      </c>
      <c r="F1254">
        <v>7</v>
      </c>
      <c r="G1254" s="12">
        <v>0</v>
      </c>
      <c r="H1254" s="12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1047</v>
      </c>
      <c r="N1254" t="b">
        <v>0</v>
      </c>
    </row>
    <row r="1255" spans="1:14" x14ac:dyDescent="0.3">
      <c r="A1255" t="s">
        <v>2301</v>
      </c>
      <c r="B1255" t="s">
        <v>776</v>
      </c>
      <c r="C1255" s="1">
        <v>45594</v>
      </c>
      <c r="E1255" t="s">
        <v>32</v>
      </c>
      <c r="F1255">
        <v>2</v>
      </c>
      <c r="G1255" s="12">
        <v>398</v>
      </c>
      <c r="H1255" s="12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1047</v>
      </c>
      <c r="N1255" t="b">
        <v>1</v>
      </c>
    </row>
    <row r="1256" spans="1:14" x14ac:dyDescent="0.3">
      <c r="A1256" t="s">
        <v>2302</v>
      </c>
      <c r="B1256" t="s">
        <v>282</v>
      </c>
      <c r="C1256" s="1">
        <v>45626</v>
      </c>
      <c r="E1256" t="s">
        <v>39</v>
      </c>
      <c r="F1256">
        <v>33</v>
      </c>
      <c r="G1256" s="12">
        <v>1617</v>
      </c>
      <c r="H1256" s="12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1047</v>
      </c>
      <c r="N1256" t="b">
        <v>1</v>
      </c>
    </row>
    <row r="1257" spans="1:14" x14ac:dyDescent="0.3">
      <c r="A1257" t="s">
        <v>2303</v>
      </c>
      <c r="B1257" t="s">
        <v>942</v>
      </c>
      <c r="C1257" s="1">
        <v>45641</v>
      </c>
      <c r="E1257" t="s">
        <v>15</v>
      </c>
      <c r="F1257">
        <v>8</v>
      </c>
      <c r="G1257" s="12">
        <v>152</v>
      </c>
      <c r="H1257" s="12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1047</v>
      </c>
      <c r="N1257" t="b">
        <v>1</v>
      </c>
    </row>
    <row r="1258" spans="1:14" x14ac:dyDescent="0.3">
      <c r="A1258" t="s">
        <v>2304</v>
      </c>
      <c r="B1258" t="s">
        <v>456</v>
      </c>
      <c r="C1258" s="1">
        <v>45119</v>
      </c>
      <c r="E1258" t="s">
        <v>15</v>
      </c>
      <c r="F1258">
        <v>9</v>
      </c>
      <c r="G1258" s="12">
        <v>171</v>
      </c>
      <c r="H1258" s="12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1050</v>
      </c>
      <c r="N1258" t="b">
        <v>1</v>
      </c>
    </row>
    <row r="1259" spans="1:14" x14ac:dyDescent="0.3">
      <c r="A1259" t="s">
        <v>2305</v>
      </c>
      <c r="B1259" t="s">
        <v>780</v>
      </c>
      <c r="C1259" s="1">
        <v>45621</v>
      </c>
      <c r="E1259" t="s">
        <v>15</v>
      </c>
      <c r="F1259">
        <v>74</v>
      </c>
      <c r="G1259" s="12">
        <v>1406</v>
      </c>
      <c r="H1259" s="12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1050</v>
      </c>
      <c r="N1259" t="b">
        <v>1</v>
      </c>
    </row>
    <row r="1260" spans="1:14" x14ac:dyDescent="0.3">
      <c r="A1260" t="s">
        <v>2306</v>
      </c>
      <c r="B1260" t="s">
        <v>572</v>
      </c>
      <c r="C1260" s="1">
        <v>45568</v>
      </c>
      <c r="E1260" t="s">
        <v>39</v>
      </c>
      <c r="F1260">
        <v>61</v>
      </c>
      <c r="G1260" s="12">
        <v>2989</v>
      </c>
      <c r="H1260" s="12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1047</v>
      </c>
      <c r="N1260" t="b">
        <v>1</v>
      </c>
    </row>
    <row r="1261" spans="1:14" x14ac:dyDescent="0.3">
      <c r="A1261" t="s">
        <v>2307</v>
      </c>
      <c r="B1261" t="s">
        <v>492</v>
      </c>
      <c r="C1261" s="1">
        <v>45632</v>
      </c>
      <c r="E1261" t="s">
        <v>15</v>
      </c>
      <c r="F1261">
        <v>17</v>
      </c>
      <c r="G1261" s="12">
        <v>323</v>
      </c>
      <c r="H1261" s="12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1047</v>
      </c>
      <c r="N1261" t="b">
        <v>1</v>
      </c>
    </row>
    <row r="1262" spans="1:14" x14ac:dyDescent="0.3">
      <c r="A1262" t="s">
        <v>2308</v>
      </c>
      <c r="B1262" t="s">
        <v>600</v>
      </c>
      <c r="C1262" s="1">
        <v>45123</v>
      </c>
      <c r="E1262" t="s">
        <v>32</v>
      </c>
      <c r="F1262">
        <v>51</v>
      </c>
      <c r="G1262" s="12">
        <v>10149</v>
      </c>
      <c r="H1262" s="1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1050</v>
      </c>
      <c r="N1262" t="b">
        <v>1</v>
      </c>
    </row>
    <row r="1263" spans="1:14" x14ac:dyDescent="0.3">
      <c r="A1263" t="s">
        <v>2309</v>
      </c>
      <c r="B1263" t="s">
        <v>1002</v>
      </c>
      <c r="C1263" s="1">
        <v>45172</v>
      </c>
      <c r="D1263" s="1">
        <v>45355</v>
      </c>
      <c r="E1263" t="s">
        <v>15</v>
      </c>
      <c r="F1263">
        <v>5</v>
      </c>
      <c r="G1263" s="12">
        <v>95</v>
      </c>
      <c r="H1263" s="12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1050</v>
      </c>
      <c r="N1263" t="b">
        <v>1</v>
      </c>
    </row>
    <row r="1264" spans="1:14" x14ac:dyDescent="0.3">
      <c r="A1264" t="s">
        <v>2310</v>
      </c>
      <c r="B1264" t="s">
        <v>274</v>
      </c>
      <c r="C1264" s="1">
        <v>45483</v>
      </c>
      <c r="E1264" t="s">
        <v>15</v>
      </c>
      <c r="F1264">
        <v>64</v>
      </c>
      <c r="G1264" s="12">
        <v>1216</v>
      </c>
      <c r="H1264" s="12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1047</v>
      </c>
      <c r="N1264" t="b">
        <v>1</v>
      </c>
    </row>
    <row r="1265" spans="1:14" x14ac:dyDescent="0.3">
      <c r="A1265" t="s">
        <v>2311</v>
      </c>
      <c r="B1265" t="s">
        <v>520</v>
      </c>
      <c r="C1265" s="1">
        <v>45636</v>
      </c>
      <c r="E1265" t="s">
        <v>39</v>
      </c>
      <c r="F1265">
        <v>41</v>
      </c>
      <c r="G1265" s="12">
        <v>2009</v>
      </c>
      <c r="H1265" s="12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1047</v>
      </c>
      <c r="N1265" t="b">
        <v>1</v>
      </c>
    </row>
    <row r="1266" spans="1:14" x14ac:dyDescent="0.3">
      <c r="A1266" t="s">
        <v>2312</v>
      </c>
      <c r="B1266" t="s">
        <v>750</v>
      </c>
      <c r="C1266" s="1">
        <v>45635</v>
      </c>
      <c r="E1266" t="s">
        <v>32</v>
      </c>
      <c r="F1266">
        <v>30</v>
      </c>
      <c r="G1266" s="12">
        <v>0</v>
      </c>
      <c r="H1266" s="12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1047</v>
      </c>
      <c r="N1266" t="b">
        <v>1</v>
      </c>
    </row>
    <row r="1267" spans="1:14" x14ac:dyDescent="0.3">
      <c r="A1267" t="s">
        <v>2313</v>
      </c>
      <c r="B1267" t="s">
        <v>1028</v>
      </c>
      <c r="C1267" s="1">
        <v>45597</v>
      </c>
      <c r="E1267" t="s">
        <v>39</v>
      </c>
      <c r="F1267">
        <v>12</v>
      </c>
      <c r="G1267" s="12">
        <v>0</v>
      </c>
      <c r="H1267" s="12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1047</v>
      </c>
      <c r="N1267" t="b">
        <v>0</v>
      </c>
    </row>
    <row r="1268" spans="1:14" x14ac:dyDescent="0.3">
      <c r="A1268" t="s">
        <v>2314</v>
      </c>
      <c r="B1268" t="s">
        <v>924</v>
      </c>
      <c r="C1268" s="1">
        <v>45598</v>
      </c>
      <c r="E1268" t="s">
        <v>39</v>
      </c>
      <c r="F1268">
        <v>12</v>
      </c>
      <c r="G1268" s="12">
        <v>0</v>
      </c>
      <c r="H1268" s="12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1047</v>
      </c>
      <c r="N1268" t="b">
        <v>1</v>
      </c>
    </row>
    <row r="1269" spans="1:14" x14ac:dyDescent="0.3">
      <c r="A1269" t="s">
        <v>2315</v>
      </c>
      <c r="B1269" t="s">
        <v>838</v>
      </c>
      <c r="C1269" s="1">
        <v>45481</v>
      </c>
      <c r="E1269" t="s">
        <v>32</v>
      </c>
      <c r="F1269">
        <v>7</v>
      </c>
      <c r="G1269" s="12">
        <v>1393</v>
      </c>
      <c r="H1269" s="12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1050</v>
      </c>
      <c r="N1269" t="b">
        <v>0</v>
      </c>
    </row>
    <row r="1270" spans="1:14" x14ac:dyDescent="0.3">
      <c r="A1270" t="s">
        <v>2316</v>
      </c>
      <c r="B1270" t="s">
        <v>750</v>
      </c>
      <c r="C1270" s="1">
        <v>45577</v>
      </c>
      <c r="E1270" t="s">
        <v>32</v>
      </c>
      <c r="F1270">
        <v>30</v>
      </c>
      <c r="G1270" s="12">
        <v>5970</v>
      </c>
      <c r="H1270" s="12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1047</v>
      </c>
      <c r="N1270" t="b">
        <v>1</v>
      </c>
    </row>
    <row r="1271" spans="1:14" x14ac:dyDescent="0.3">
      <c r="A1271" t="s">
        <v>2317</v>
      </c>
      <c r="B1271" t="s">
        <v>424</v>
      </c>
      <c r="C1271" s="1">
        <v>45296</v>
      </c>
      <c r="E1271" t="s">
        <v>32</v>
      </c>
      <c r="F1271">
        <v>20</v>
      </c>
      <c r="G1271" s="12">
        <v>3980</v>
      </c>
      <c r="H1271" s="12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1047</v>
      </c>
      <c r="N1271" t="b">
        <v>0</v>
      </c>
    </row>
    <row r="1272" spans="1:14" x14ac:dyDescent="0.3">
      <c r="A1272" t="s">
        <v>2318</v>
      </c>
      <c r="B1272" t="s">
        <v>332</v>
      </c>
      <c r="C1272" s="1">
        <v>45373</v>
      </c>
      <c r="E1272" t="s">
        <v>39</v>
      </c>
      <c r="F1272">
        <v>47</v>
      </c>
      <c r="G1272" s="12">
        <v>2303</v>
      </c>
      <c r="H1272" s="1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1047</v>
      </c>
      <c r="N1272" t="b">
        <v>0</v>
      </c>
    </row>
    <row r="1273" spans="1:14" x14ac:dyDescent="0.3">
      <c r="A1273" t="s">
        <v>2319</v>
      </c>
      <c r="B1273" t="s">
        <v>836</v>
      </c>
      <c r="C1273" s="1">
        <v>45593</v>
      </c>
      <c r="E1273" t="s">
        <v>32</v>
      </c>
      <c r="F1273">
        <v>117</v>
      </c>
      <c r="G1273" s="12">
        <v>23283</v>
      </c>
      <c r="H1273" s="12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1050</v>
      </c>
      <c r="N1273" t="b">
        <v>1</v>
      </c>
    </row>
    <row r="1274" spans="1:14" x14ac:dyDescent="0.3">
      <c r="A1274" t="s">
        <v>2320</v>
      </c>
      <c r="B1274" t="s">
        <v>782</v>
      </c>
      <c r="C1274" s="1">
        <v>45026</v>
      </c>
      <c r="E1274" t="s">
        <v>32</v>
      </c>
      <c r="F1274">
        <v>14</v>
      </c>
      <c r="G1274" s="12">
        <v>2786</v>
      </c>
      <c r="H1274" s="12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1050</v>
      </c>
      <c r="N1274" t="b">
        <v>1</v>
      </c>
    </row>
    <row r="1275" spans="1:14" x14ac:dyDescent="0.3">
      <c r="A1275" t="s">
        <v>2321</v>
      </c>
      <c r="B1275" t="s">
        <v>938</v>
      </c>
      <c r="C1275" s="1">
        <v>45586</v>
      </c>
      <c r="E1275" t="s">
        <v>15</v>
      </c>
      <c r="F1275">
        <v>19</v>
      </c>
      <c r="G1275" s="12">
        <v>361</v>
      </c>
      <c r="H1275" s="12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1050</v>
      </c>
      <c r="N1275" t="b">
        <v>1</v>
      </c>
    </row>
    <row r="1276" spans="1:14" x14ac:dyDescent="0.3">
      <c r="A1276" t="s">
        <v>2322</v>
      </c>
      <c r="B1276" t="s">
        <v>404</v>
      </c>
      <c r="C1276" s="1">
        <v>45577</v>
      </c>
      <c r="E1276" t="s">
        <v>32</v>
      </c>
      <c r="F1276">
        <v>26</v>
      </c>
      <c r="G1276" s="12">
        <v>5174</v>
      </c>
      <c r="H1276" s="12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1047</v>
      </c>
      <c r="N1276" t="b">
        <v>1</v>
      </c>
    </row>
    <row r="1277" spans="1:14" x14ac:dyDescent="0.3">
      <c r="A1277" t="s">
        <v>2323</v>
      </c>
      <c r="B1277" t="s">
        <v>404</v>
      </c>
      <c r="C1277" s="1">
        <v>45551</v>
      </c>
      <c r="E1277" t="s">
        <v>15</v>
      </c>
      <c r="F1277">
        <v>15</v>
      </c>
      <c r="G1277" s="12">
        <v>285</v>
      </c>
      <c r="H1277" s="12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1047</v>
      </c>
      <c r="N1277" t="b">
        <v>1</v>
      </c>
    </row>
    <row r="1278" spans="1:14" x14ac:dyDescent="0.3">
      <c r="A1278" t="s">
        <v>2324</v>
      </c>
      <c r="B1278" t="s">
        <v>604</v>
      </c>
      <c r="C1278" s="1">
        <v>45645</v>
      </c>
      <c r="E1278" t="s">
        <v>15</v>
      </c>
      <c r="F1278">
        <v>53</v>
      </c>
      <c r="G1278" s="12">
        <v>1007</v>
      </c>
      <c r="H1278" s="12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1047</v>
      </c>
      <c r="N1278" t="b">
        <v>1</v>
      </c>
    </row>
    <row r="1279" spans="1:14" x14ac:dyDescent="0.3">
      <c r="A1279" t="s">
        <v>2325</v>
      </c>
      <c r="B1279" t="s">
        <v>372</v>
      </c>
      <c r="C1279" s="1">
        <v>45502</v>
      </c>
      <c r="E1279" t="s">
        <v>32</v>
      </c>
      <c r="F1279">
        <v>40</v>
      </c>
      <c r="G1279" s="12">
        <v>7960</v>
      </c>
      <c r="H1279" s="12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1047</v>
      </c>
      <c r="N1279" t="b">
        <v>1</v>
      </c>
    </row>
    <row r="1280" spans="1:14" x14ac:dyDescent="0.3">
      <c r="A1280" t="s">
        <v>2326</v>
      </c>
      <c r="B1280" t="s">
        <v>694</v>
      </c>
      <c r="C1280" s="1">
        <v>45495</v>
      </c>
      <c r="E1280" t="s">
        <v>32</v>
      </c>
      <c r="F1280">
        <v>49</v>
      </c>
      <c r="G1280" s="12">
        <v>9751</v>
      </c>
      <c r="H1280" s="12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1047</v>
      </c>
      <c r="N1280" t="b">
        <v>1</v>
      </c>
    </row>
    <row r="1281" spans="1:14" x14ac:dyDescent="0.3">
      <c r="A1281" t="s">
        <v>2327</v>
      </c>
      <c r="B1281" t="s">
        <v>800</v>
      </c>
      <c r="C1281" s="1">
        <v>45277</v>
      </c>
      <c r="E1281" t="s">
        <v>39</v>
      </c>
      <c r="F1281">
        <v>27</v>
      </c>
      <c r="G1281" s="12">
        <v>1323</v>
      </c>
      <c r="H1281" s="12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1050</v>
      </c>
      <c r="N1281" t="b">
        <v>1</v>
      </c>
    </row>
    <row r="1282" spans="1:14" x14ac:dyDescent="0.3">
      <c r="A1282" t="s">
        <v>2328</v>
      </c>
      <c r="B1282" t="s">
        <v>948</v>
      </c>
      <c r="C1282" s="1">
        <v>45582</v>
      </c>
      <c r="E1282" t="s">
        <v>32</v>
      </c>
      <c r="F1282">
        <v>14</v>
      </c>
      <c r="G1282" s="12">
        <v>2786</v>
      </c>
      <c r="H1282" s="1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1050</v>
      </c>
      <c r="N1282" t="b">
        <v>1</v>
      </c>
    </row>
    <row r="1283" spans="1:14" x14ac:dyDescent="0.3">
      <c r="A1283" t="s">
        <v>2329</v>
      </c>
      <c r="B1283" t="s">
        <v>312</v>
      </c>
      <c r="C1283" s="1">
        <v>45458</v>
      </c>
      <c r="E1283" t="s">
        <v>15</v>
      </c>
      <c r="F1283">
        <v>26</v>
      </c>
      <c r="G1283" s="12">
        <v>0</v>
      </c>
      <c r="H1283" s="12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1050</v>
      </c>
      <c r="N1283" t="b">
        <v>1</v>
      </c>
    </row>
    <row r="1284" spans="1:14" x14ac:dyDescent="0.3">
      <c r="A1284" t="s">
        <v>2330</v>
      </c>
      <c r="B1284" t="s">
        <v>382</v>
      </c>
      <c r="C1284" s="1">
        <v>45423</v>
      </c>
      <c r="E1284" t="s">
        <v>39</v>
      </c>
      <c r="F1284">
        <v>54</v>
      </c>
      <c r="G1284" s="12">
        <v>2646</v>
      </c>
      <c r="H1284" s="12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1047</v>
      </c>
      <c r="N1284" t="b">
        <v>0</v>
      </c>
    </row>
    <row r="1285" spans="1:14" x14ac:dyDescent="0.3">
      <c r="A1285" t="s">
        <v>2331</v>
      </c>
      <c r="B1285" t="s">
        <v>510</v>
      </c>
      <c r="C1285" s="1">
        <v>45615</v>
      </c>
      <c r="E1285" t="s">
        <v>32</v>
      </c>
      <c r="F1285">
        <v>55</v>
      </c>
      <c r="G1285" s="12">
        <v>10945</v>
      </c>
      <c r="H1285" s="12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1050</v>
      </c>
      <c r="N1285" t="b">
        <v>1</v>
      </c>
    </row>
    <row r="1286" spans="1:14" x14ac:dyDescent="0.3">
      <c r="A1286" t="s">
        <v>2332</v>
      </c>
      <c r="B1286" t="s">
        <v>492</v>
      </c>
      <c r="C1286" s="1">
        <v>45640</v>
      </c>
      <c r="E1286" t="s">
        <v>39</v>
      </c>
      <c r="F1286">
        <v>54</v>
      </c>
      <c r="G1286" s="12">
        <v>0</v>
      </c>
      <c r="H1286" s="12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1047</v>
      </c>
      <c r="N1286" t="b">
        <v>1</v>
      </c>
    </row>
    <row r="1287" spans="1:14" x14ac:dyDescent="0.3">
      <c r="A1287" t="s">
        <v>2333</v>
      </c>
      <c r="B1287" t="s">
        <v>222</v>
      </c>
      <c r="C1287" s="1">
        <v>45573</v>
      </c>
      <c r="D1287" s="1">
        <v>45583</v>
      </c>
      <c r="E1287" t="s">
        <v>15</v>
      </c>
      <c r="F1287">
        <v>47</v>
      </c>
      <c r="G1287" s="12">
        <v>893</v>
      </c>
      <c r="H1287" s="12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1050</v>
      </c>
      <c r="N1287" t="b">
        <v>1</v>
      </c>
    </row>
    <row r="1288" spans="1:14" x14ac:dyDescent="0.3">
      <c r="A1288" t="s">
        <v>2334</v>
      </c>
      <c r="B1288" t="s">
        <v>948</v>
      </c>
      <c r="C1288" s="1">
        <v>45559</v>
      </c>
      <c r="E1288" t="s">
        <v>39</v>
      </c>
      <c r="F1288">
        <v>15</v>
      </c>
      <c r="G1288" s="12">
        <v>735</v>
      </c>
      <c r="H1288" s="12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1047</v>
      </c>
      <c r="N1288" t="b">
        <v>1</v>
      </c>
    </row>
    <row r="1289" spans="1:14" x14ac:dyDescent="0.3">
      <c r="A1289" t="s">
        <v>2335</v>
      </c>
      <c r="B1289" t="s">
        <v>140</v>
      </c>
      <c r="C1289" s="1">
        <v>45444</v>
      </c>
      <c r="E1289" t="s">
        <v>39</v>
      </c>
      <c r="F1289">
        <v>36</v>
      </c>
      <c r="G1289" s="12">
        <v>1764</v>
      </c>
      <c r="H1289" s="12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1047</v>
      </c>
      <c r="N1289" t="b">
        <v>0</v>
      </c>
    </row>
    <row r="1290" spans="1:14" x14ac:dyDescent="0.3">
      <c r="A1290" t="s">
        <v>2336</v>
      </c>
      <c r="B1290" t="s">
        <v>742</v>
      </c>
      <c r="C1290" s="1">
        <v>45225</v>
      </c>
      <c r="E1290" t="s">
        <v>39</v>
      </c>
      <c r="F1290">
        <v>9</v>
      </c>
      <c r="G1290" s="12">
        <v>441</v>
      </c>
      <c r="H1290" s="12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1047</v>
      </c>
      <c r="N1290" t="b">
        <v>1</v>
      </c>
    </row>
    <row r="1291" spans="1:14" x14ac:dyDescent="0.3">
      <c r="A1291" t="s">
        <v>2337</v>
      </c>
      <c r="B1291" t="s">
        <v>924</v>
      </c>
      <c r="C1291" s="1">
        <v>45470</v>
      </c>
      <c r="D1291" s="1">
        <v>45630</v>
      </c>
      <c r="E1291" t="s">
        <v>32</v>
      </c>
      <c r="F1291">
        <v>26</v>
      </c>
      <c r="G1291" s="12">
        <v>5174</v>
      </c>
      <c r="H1291" s="12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1047</v>
      </c>
      <c r="N1291" t="b">
        <v>1</v>
      </c>
    </row>
    <row r="1292" spans="1:14" x14ac:dyDescent="0.3">
      <c r="A1292" t="s">
        <v>2338</v>
      </c>
      <c r="B1292" t="s">
        <v>330</v>
      </c>
      <c r="C1292" s="1">
        <v>45426</v>
      </c>
      <c r="E1292" t="s">
        <v>32</v>
      </c>
      <c r="F1292">
        <v>30</v>
      </c>
      <c r="G1292" s="12">
        <v>5970</v>
      </c>
      <c r="H1292" s="1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1047</v>
      </c>
      <c r="N1292" t="b">
        <v>0</v>
      </c>
    </row>
    <row r="1293" spans="1:14" x14ac:dyDescent="0.3">
      <c r="A1293" t="s">
        <v>2339</v>
      </c>
      <c r="B1293" t="s">
        <v>514</v>
      </c>
      <c r="C1293" s="1">
        <v>45564</v>
      </c>
      <c r="E1293" t="s">
        <v>39</v>
      </c>
      <c r="F1293">
        <v>13</v>
      </c>
      <c r="G1293" s="12">
        <v>637</v>
      </c>
      <c r="H1293" s="12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1050</v>
      </c>
      <c r="N1293" t="b">
        <v>1</v>
      </c>
    </row>
    <row r="1294" spans="1:14" x14ac:dyDescent="0.3">
      <c r="A1294" t="s">
        <v>2340</v>
      </c>
      <c r="B1294" t="s">
        <v>784</v>
      </c>
      <c r="C1294" s="1">
        <v>45583</v>
      </c>
      <c r="E1294" t="s">
        <v>39</v>
      </c>
      <c r="F1294">
        <v>13</v>
      </c>
      <c r="G1294" s="12">
        <v>637</v>
      </c>
      <c r="H1294" s="12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1047</v>
      </c>
      <c r="N1294" t="b">
        <v>1</v>
      </c>
    </row>
    <row r="1295" spans="1:14" x14ac:dyDescent="0.3">
      <c r="A1295" t="s">
        <v>2341</v>
      </c>
      <c r="B1295" t="s">
        <v>93</v>
      </c>
      <c r="C1295" s="1">
        <v>45475</v>
      </c>
      <c r="E1295" t="s">
        <v>15</v>
      </c>
      <c r="F1295">
        <v>29</v>
      </c>
      <c r="G1295" s="12">
        <v>0</v>
      </c>
      <c r="H1295" s="12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1050</v>
      </c>
      <c r="N1295" t="b">
        <v>1</v>
      </c>
    </row>
    <row r="1296" spans="1:14" x14ac:dyDescent="0.3">
      <c r="A1296" t="s">
        <v>2342</v>
      </c>
      <c r="B1296" t="s">
        <v>450</v>
      </c>
      <c r="C1296" s="1">
        <v>45643</v>
      </c>
      <c r="E1296" t="s">
        <v>39</v>
      </c>
      <c r="F1296">
        <v>33</v>
      </c>
      <c r="G1296" s="12">
        <v>0</v>
      </c>
      <c r="H1296" s="12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1050</v>
      </c>
      <c r="N1296" t="b">
        <v>1</v>
      </c>
    </row>
    <row r="1297" spans="1:14" x14ac:dyDescent="0.3">
      <c r="A1297" t="s">
        <v>2343</v>
      </c>
      <c r="B1297" t="s">
        <v>526</v>
      </c>
      <c r="C1297" s="1">
        <v>45607</v>
      </c>
      <c r="E1297" t="s">
        <v>32</v>
      </c>
      <c r="F1297">
        <v>7</v>
      </c>
      <c r="G1297" s="12">
        <v>1393</v>
      </c>
      <c r="H1297" s="12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1050</v>
      </c>
      <c r="N1297" t="b">
        <v>1</v>
      </c>
    </row>
    <row r="1298" spans="1:14" x14ac:dyDescent="0.3">
      <c r="A1298" t="s">
        <v>2344</v>
      </c>
      <c r="B1298" t="s">
        <v>498</v>
      </c>
      <c r="C1298" s="1">
        <v>45338</v>
      </c>
      <c r="D1298" s="1">
        <v>45405</v>
      </c>
      <c r="E1298" t="s">
        <v>32</v>
      </c>
      <c r="F1298">
        <v>8</v>
      </c>
      <c r="G1298" s="12">
        <v>1592</v>
      </c>
      <c r="H1298" s="12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1050</v>
      </c>
      <c r="N1298" t="b">
        <v>0</v>
      </c>
    </row>
    <row r="1299" spans="1:14" x14ac:dyDescent="0.3">
      <c r="A1299" t="s">
        <v>2345</v>
      </c>
      <c r="B1299" t="s">
        <v>204</v>
      </c>
      <c r="C1299" s="1">
        <v>45616</v>
      </c>
      <c r="E1299" t="s">
        <v>15</v>
      </c>
      <c r="F1299">
        <v>92</v>
      </c>
      <c r="G1299" s="12">
        <v>0</v>
      </c>
      <c r="H1299" s="12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1050</v>
      </c>
      <c r="N1299" t="b">
        <v>0</v>
      </c>
    </row>
    <row r="1300" spans="1:14" x14ac:dyDescent="0.3">
      <c r="A1300" t="s">
        <v>2346</v>
      </c>
      <c r="B1300" t="s">
        <v>410</v>
      </c>
      <c r="C1300" s="1">
        <v>45411</v>
      </c>
      <c r="E1300" t="s">
        <v>15</v>
      </c>
      <c r="F1300">
        <v>14</v>
      </c>
      <c r="G1300" s="12">
        <v>266</v>
      </c>
      <c r="H1300" s="12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1047</v>
      </c>
      <c r="N1300" t="b">
        <v>1</v>
      </c>
    </row>
    <row r="1301" spans="1:14" x14ac:dyDescent="0.3">
      <c r="A1301" t="s">
        <v>2347</v>
      </c>
      <c r="B1301" t="s">
        <v>390</v>
      </c>
      <c r="C1301" s="1">
        <v>45279</v>
      </c>
      <c r="E1301" t="s">
        <v>39</v>
      </c>
      <c r="F1301">
        <v>61</v>
      </c>
      <c r="G1301" s="12">
        <v>2989</v>
      </c>
      <c r="H1301" s="12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1047</v>
      </c>
      <c r="N1301" t="b">
        <v>1</v>
      </c>
    </row>
    <row r="1302" spans="1:14" x14ac:dyDescent="0.3">
      <c r="A1302" t="s">
        <v>2348</v>
      </c>
      <c r="B1302" t="s">
        <v>662</v>
      </c>
      <c r="C1302" s="1">
        <v>45607</v>
      </c>
      <c r="E1302" t="s">
        <v>32</v>
      </c>
      <c r="F1302">
        <v>41</v>
      </c>
      <c r="G1302" s="12">
        <v>8159</v>
      </c>
      <c r="H1302" s="1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1050</v>
      </c>
      <c r="N1302" t="b">
        <v>1</v>
      </c>
    </row>
    <row r="1303" spans="1:14" x14ac:dyDescent="0.3">
      <c r="A1303" t="s">
        <v>2349</v>
      </c>
      <c r="B1303" t="s">
        <v>216</v>
      </c>
      <c r="C1303" s="1">
        <v>45624</v>
      </c>
      <c r="E1303" t="s">
        <v>32</v>
      </c>
      <c r="F1303">
        <v>31</v>
      </c>
      <c r="G1303" s="12">
        <v>6169</v>
      </c>
      <c r="H1303" s="12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1047</v>
      </c>
      <c r="N1303" t="b">
        <v>1</v>
      </c>
    </row>
    <row r="1304" spans="1:14" x14ac:dyDescent="0.3">
      <c r="A1304" t="s">
        <v>2350</v>
      </c>
      <c r="B1304" t="s">
        <v>194</v>
      </c>
      <c r="C1304" s="1">
        <v>45351</v>
      </c>
      <c r="E1304" t="s">
        <v>15</v>
      </c>
      <c r="F1304">
        <v>24</v>
      </c>
      <c r="G1304" s="12">
        <v>456</v>
      </c>
      <c r="H1304" s="12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1047</v>
      </c>
      <c r="N1304" t="b">
        <v>1</v>
      </c>
    </row>
    <row r="1305" spans="1:14" x14ac:dyDescent="0.3">
      <c r="A1305" t="s">
        <v>2351</v>
      </c>
      <c r="B1305" t="s">
        <v>354</v>
      </c>
      <c r="C1305" s="1">
        <v>45656</v>
      </c>
      <c r="E1305" t="s">
        <v>15</v>
      </c>
      <c r="F1305">
        <v>20</v>
      </c>
      <c r="G1305" s="12">
        <v>380</v>
      </c>
      <c r="H1305" s="12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1050</v>
      </c>
      <c r="N1305" t="b">
        <v>1</v>
      </c>
    </row>
    <row r="1306" spans="1:14" x14ac:dyDescent="0.3">
      <c r="A1306" t="s">
        <v>2352</v>
      </c>
      <c r="B1306" t="s">
        <v>296</v>
      </c>
      <c r="C1306" s="1">
        <v>45360</v>
      </c>
      <c r="E1306" t="s">
        <v>15</v>
      </c>
      <c r="F1306">
        <v>28</v>
      </c>
      <c r="G1306" s="12">
        <v>532</v>
      </c>
      <c r="H1306" s="12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1047</v>
      </c>
      <c r="N1306" t="b">
        <v>0</v>
      </c>
    </row>
    <row r="1307" spans="1:14" x14ac:dyDescent="0.3">
      <c r="A1307" t="s">
        <v>2353</v>
      </c>
      <c r="B1307" t="s">
        <v>604</v>
      </c>
      <c r="C1307" s="1">
        <v>45645</v>
      </c>
      <c r="E1307" t="s">
        <v>15</v>
      </c>
      <c r="F1307">
        <v>23</v>
      </c>
      <c r="G1307" s="12">
        <v>437</v>
      </c>
      <c r="H1307" s="12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1050</v>
      </c>
      <c r="N1307" t="b">
        <v>1</v>
      </c>
    </row>
    <row r="1308" spans="1:14" x14ac:dyDescent="0.3">
      <c r="A1308" t="s">
        <v>2354</v>
      </c>
      <c r="B1308" t="s">
        <v>382</v>
      </c>
      <c r="C1308" s="1">
        <v>45111</v>
      </c>
      <c r="E1308" t="s">
        <v>39</v>
      </c>
      <c r="F1308">
        <v>20</v>
      </c>
      <c r="G1308" s="12">
        <v>980</v>
      </c>
      <c r="H1308" s="12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1050</v>
      </c>
      <c r="N1308" t="b">
        <v>1</v>
      </c>
    </row>
    <row r="1309" spans="1:14" x14ac:dyDescent="0.3">
      <c r="A1309" t="s">
        <v>2355</v>
      </c>
      <c r="B1309" t="s">
        <v>582</v>
      </c>
      <c r="C1309" s="1">
        <v>45186</v>
      </c>
      <c r="D1309" s="1">
        <v>45340</v>
      </c>
      <c r="E1309" t="s">
        <v>32</v>
      </c>
      <c r="F1309">
        <v>37</v>
      </c>
      <c r="G1309" s="12">
        <v>7363</v>
      </c>
      <c r="H1309" s="12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1047</v>
      </c>
      <c r="N1309" t="b">
        <v>0</v>
      </c>
    </row>
    <row r="1310" spans="1:14" x14ac:dyDescent="0.3">
      <c r="A1310" t="s">
        <v>2356</v>
      </c>
      <c r="B1310" t="s">
        <v>972</v>
      </c>
      <c r="C1310" s="1">
        <v>45248</v>
      </c>
      <c r="E1310" t="s">
        <v>39</v>
      </c>
      <c r="F1310">
        <v>21</v>
      </c>
      <c r="G1310" s="12">
        <v>1029</v>
      </c>
      <c r="H1310" s="12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1050</v>
      </c>
      <c r="N1310" t="b">
        <v>1</v>
      </c>
    </row>
    <row r="1311" spans="1:14" x14ac:dyDescent="0.3">
      <c r="A1311" t="s">
        <v>2357</v>
      </c>
      <c r="B1311" t="s">
        <v>816</v>
      </c>
      <c r="C1311" s="1">
        <v>45528</v>
      </c>
      <c r="E1311" t="s">
        <v>39</v>
      </c>
      <c r="F1311">
        <v>15</v>
      </c>
      <c r="G1311" s="12">
        <v>735</v>
      </c>
      <c r="H1311" s="12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1050</v>
      </c>
      <c r="N1311" t="b">
        <v>1</v>
      </c>
    </row>
    <row r="1312" spans="1:14" x14ac:dyDescent="0.3">
      <c r="A1312" t="s">
        <v>2358</v>
      </c>
      <c r="B1312" t="s">
        <v>188</v>
      </c>
      <c r="C1312" s="1">
        <v>45061</v>
      </c>
      <c r="E1312" t="s">
        <v>32</v>
      </c>
      <c r="F1312">
        <v>14</v>
      </c>
      <c r="G1312" s="12">
        <v>2786</v>
      </c>
      <c r="H1312" s="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1050</v>
      </c>
      <c r="N1312" t="b">
        <v>1</v>
      </c>
    </row>
    <row r="1313" spans="1:14" x14ac:dyDescent="0.3">
      <c r="A1313" t="s">
        <v>2359</v>
      </c>
      <c r="B1313" t="s">
        <v>692</v>
      </c>
      <c r="C1313" s="1">
        <v>45637</v>
      </c>
      <c r="E1313" t="s">
        <v>39</v>
      </c>
      <c r="F1313">
        <v>17</v>
      </c>
      <c r="G1313" s="12">
        <v>833</v>
      </c>
      <c r="H1313" s="12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1050</v>
      </c>
      <c r="N1313" t="b">
        <v>1</v>
      </c>
    </row>
    <row r="1314" spans="1:14" x14ac:dyDescent="0.3">
      <c r="A1314" t="s">
        <v>2360</v>
      </c>
      <c r="B1314" t="s">
        <v>946</v>
      </c>
      <c r="C1314" s="1">
        <v>45367</v>
      </c>
      <c r="D1314" s="1">
        <v>45442</v>
      </c>
      <c r="E1314" t="s">
        <v>32</v>
      </c>
      <c r="F1314">
        <v>5</v>
      </c>
      <c r="G1314" s="12">
        <v>995</v>
      </c>
      <c r="H1314" s="12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1050</v>
      </c>
      <c r="N1314" t="b">
        <v>1</v>
      </c>
    </row>
    <row r="1315" spans="1:14" x14ac:dyDescent="0.3">
      <c r="A1315" t="s">
        <v>2361</v>
      </c>
      <c r="B1315" t="s">
        <v>376</v>
      </c>
      <c r="C1315" s="1">
        <v>45655</v>
      </c>
      <c r="D1315" s="1">
        <v>45657</v>
      </c>
      <c r="E1315" t="s">
        <v>15</v>
      </c>
      <c r="F1315">
        <v>41</v>
      </c>
      <c r="G1315" s="12">
        <v>779</v>
      </c>
      <c r="H1315" s="12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1050</v>
      </c>
      <c r="N1315" t="b">
        <v>1</v>
      </c>
    </row>
    <row r="1316" spans="1:14" x14ac:dyDescent="0.3">
      <c r="A1316" t="s">
        <v>2362</v>
      </c>
      <c r="B1316" t="s">
        <v>950</v>
      </c>
      <c r="C1316" s="1">
        <v>45374</v>
      </c>
      <c r="E1316" t="s">
        <v>15</v>
      </c>
      <c r="F1316">
        <v>15</v>
      </c>
      <c r="G1316" s="12">
        <v>285</v>
      </c>
      <c r="H1316" s="12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1047</v>
      </c>
      <c r="N1316" t="b">
        <v>1</v>
      </c>
    </row>
    <row r="1317" spans="1:14" x14ac:dyDescent="0.3">
      <c r="A1317" t="s">
        <v>2363</v>
      </c>
      <c r="B1317" t="s">
        <v>344</v>
      </c>
      <c r="C1317" s="1">
        <v>45299</v>
      </c>
      <c r="E1317" t="s">
        <v>39</v>
      </c>
      <c r="F1317">
        <v>70</v>
      </c>
      <c r="G1317" s="12">
        <v>3430</v>
      </c>
      <c r="H1317" s="12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1047</v>
      </c>
      <c r="N1317" t="b">
        <v>1</v>
      </c>
    </row>
    <row r="1318" spans="1:14" x14ac:dyDescent="0.3">
      <c r="A1318" t="s">
        <v>2364</v>
      </c>
      <c r="B1318" t="s">
        <v>486</v>
      </c>
      <c r="C1318" s="1">
        <v>45365</v>
      </c>
      <c r="E1318" t="s">
        <v>15</v>
      </c>
      <c r="F1318">
        <v>53</v>
      </c>
      <c r="G1318" s="12">
        <v>1007</v>
      </c>
      <c r="H1318" s="12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1050</v>
      </c>
      <c r="N1318" t="b">
        <v>1</v>
      </c>
    </row>
    <row r="1319" spans="1:14" x14ac:dyDescent="0.3">
      <c r="A1319" t="s">
        <v>2365</v>
      </c>
      <c r="B1319" t="s">
        <v>85</v>
      </c>
      <c r="C1319" s="1">
        <v>45538</v>
      </c>
      <c r="E1319" t="s">
        <v>32</v>
      </c>
      <c r="F1319">
        <v>16</v>
      </c>
      <c r="G1319" s="12">
        <v>3184</v>
      </c>
      <c r="H1319" s="12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1047</v>
      </c>
      <c r="N1319" t="b">
        <v>1</v>
      </c>
    </row>
    <row r="1320" spans="1:14" x14ac:dyDescent="0.3">
      <c r="A1320" t="s">
        <v>2366</v>
      </c>
      <c r="B1320" t="s">
        <v>626</v>
      </c>
      <c r="C1320" s="1">
        <v>45636</v>
      </c>
      <c r="E1320" t="s">
        <v>15</v>
      </c>
      <c r="F1320">
        <v>22</v>
      </c>
      <c r="G1320" s="12">
        <v>418</v>
      </c>
      <c r="H1320" s="12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1050</v>
      </c>
      <c r="N1320" t="b">
        <v>1</v>
      </c>
    </row>
    <row r="1321" spans="1:14" x14ac:dyDescent="0.3">
      <c r="A1321" t="s">
        <v>2367</v>
      </c>
      <c r="B1321" t="s">
        <v>230</v>
      </c>
      <c r="C1321" s="1">
        <v>45598</v>
      </c>
      <c r="E1321" t="s">
        <v>15</v>
      </c>
      <c r="F1321">
        <v>12</v>
      </c>
      <c r="G1321" s="12">
        <v>0</v>
      </c>
      <c r="H1321" s="12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1050</v>
      </c>
      <c r="N1321" t="b">
        <v>1</v>
      </c>
    </row>
    <row r="1322" spans="1:14" x14ac:dyDescent="0.3">
      <c r="A1322" t="s">
        <v>2368</v>
      </c>
      <c r="B1322" t="s">
        <v>722</v>
      </c>
      <c r="C1322" s="1">
        <v>45070</v>
      </c>
      <c r="E1322" t="s">
        <v>32</v>
      </c>
      <c r="F1322">
        <v>51</v>
      </c>
      <c r="G1322" s="12">
        <v>10149</v>
      </c>
      <c r="H1322" s="1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1050</v>
      </c>
      <c r="N1322" t="b">
        <v>1</v>
      </c>
    </row>
    <row r="1323" spans="1:14" x14ac:dyDescent="0.3">
      <c r="A1323" t="s">
        <v>2369</v>
      </c>
      <c r="B1323" t="s">
        <v>228</v>
      </c>
      <c r="C1323" s="1">
        <v>45471</v>
      </c>
      <c r="E1323" t="s">
        <v>39</v>
      </c>
      <c r="F1323">
        <v>6</v>
      </c>
      <c r="G1323" s="12">
        <v>294</v>
      </c>
      <c r="H1323" s="12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1047</v>
      </c>
      <c r="N1323" t="b">
        <v>1</v>
      </c>
    </row>
    <row r="1324" spans="1:14" x14ac:dyDescent="0.3">
      <c r="A1324" t="s">
        <v>2370</v>
      </c>
      <c r="B1324" t="s">
        <v>960</v>
      </c>
      <c r="C1324" s="1">
        <v>45493</v>
      </c>
      <c r="E1324" t="s">
        <v>39</v>
      </c>
      <c r="F1324">
        <v>35</v>
      </c>
      <c r="G1324" s="12">
        <v>1715</v>
      </c>
      <c r="H1324" s="12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1047</v>
      </c>
      <c r="N1324" t="b">
        <v>1</v>
      </c>
    </row>
    <row r="1325" spans="1:14" x14ac:dyDescent="0.3">
      <c r="A1325" t="s">
        <v>2371</v>
      </c>
      <c r="B1325" t="s">
        <v>762</v>
      </c>
      <c r="C1325" s="1">
        <v>45406</v>
      </c>
      <c r="E1325" t="s">
        <v>39</v>
      </c>
      <c r="F1325">
        <v>30</v>
      </c>
      <c r="G1325" s="12">
        <v>1470</v>
      </c>
      <c r="H1325" s="12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1050</v>
      </c>
      <c r="N1325" t="b">
        <v>1</v>
      </c>
    </row>
    <row r="1326" spans="1:14" x14ac:dyDescent="0.3">
      <c r="A1326" t="s">
        <v>2372</v>
      </c>
      <c r="B1326" t="s">
        <v>410</v>
      </c>
      <c r="C1326" s="1">
        <v>45270</v>
      </c>
      <c r="E1326" t="s">
        <v>39</v>
      </c>
      <c r="F1326">
        <v>14</v>
      </c>
      <c r="G1326" s="12">
        <v>0</v>
      </c>
      <c r="H1326" s="12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1050</v>
      </c>
      <c r="N1326" t="b">
        <v>1</v>
      </c>
    </row>
    <row r="1327" spans="1:14" x14ac:dyDescent="0.3">
      <c r="A1327" t="s">
        <v>2373</v>
      </c>
      <c r="B1327" t="s">
        <v>388</v>
      </c>
      <c r="C1327" s="1">
        <v>45629</v>
      </c>
      <c r="E1327" t="s">
        <v>39</v>
      </c>
      <c r="F1327">
        <v>11</v>
      </c>
      <c r="G1327" s="12">
        <v>539</v>
      </c>
      <c r="H1327" s="12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1047</v>
      </c>
      <c r="N1327" t="b">
        <v>1</v>
      </c>
    </row>
    <row r="1328" spans="1:14" x14ac:dyDescent="0.3">
      <c r="A1328" t="s">
        <v>2374</v>
      </c>
      <c r="B1328" t="s">
        <v>250</v>
      </c>
      <c r="C1328" s="1">
        <v>45517</v>
      </c>
      <c r="E1328" t="s">
        <v>32</v>
      </c>
      <c r="F1328">
        <v>9</v>
      </c>
      <c r="G1328" s="12">
        <v>1791</v>
      </c>
      <c r="H1328" s="12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1050</v>
      </c>
      <c r="N1328" t="b">
        <v>1</v>
      </c>
    </row>
    <row r="1329" spans="1:14" x14ac:dyDescent="0.3">
      <c r="A1329" t="s">
        <v>2375</v>
      </c>
      <c r="B1329" t="s">
        <v>852</v>
      </c>
      <c r="C1329" s="1">
        <v>45588</v>
      </c>
      <c r="E1329" t="s">
        <v>39</v>
      </c>
      <c r="F1329">
        <v>26</v>
      </c>
      <c r="G1329" s="12">
        <v>1274</v>
      </c>
      <c r="H1329" s="12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1047</v>
      </c>
      <c r="N1329" t="b">
        <v>0</v>
      </c>
    </row>
    <row r="1330" spans="1:14" x14ac:dyDescent="0.3">
      <c r="A1330" t="s">
        <v>2376</v>
      </c>
      <c r="B1330" t="s">
        <v>854</v>
      </c>
      <c r="C1330" s="1">
        <v>45625</v>
      </c>
      <c r="E1330" t="s">
        <v>39</v>
      </c>
      <c r="F1330">
        <v>39</v>
      </c>
      <c r="G1330" s="12">
        <v>1911</v>
      </c>
      <c r="H1330" s="12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1050</v>
      </c>
      <c r="N1330" t="b">
        <v>1</v>
      </c>
    </row>
    <row r="1331" spans="1:14" x14ac:dyDescent="0.3">
      <c r="A1331" t="s">
        <v>2377</v>
      </c>
      <c r="B1331" t="s">
        <v>172</v>
      </c>
      <c r="C1331" s="1">
        <v>45624</v>
      </c>
      <c r="E1331" t="s">
        <v>32</v>
      </c>
      <c r="F1331">
        <v>50</v>
      </c>
      <c r="G1331" s="12">
        <v>9950</v>
      </c>
      <c r="H1331" s="12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1047</v>
      </c>
      <c r="N1331" t="b">
        <v>1</v>
      </c>
    </row>
    <row r="1332" spans="1:14" x14ac:dyDescent="0.3">
      <c r="A1332" t="s">
        <v>2378</v>
      </c>
      <c r="B1332" t="s">
        <v>176</v>
      </c>
      <c r="C1332" s="1">
        <v>45636</v>
      </c>
      <c r="E1332" t="s">
        <v>39</v>
      </c>
      <c r="F1332">
        <v>37</v>
      </c>
      <c r="G1332" s="12">
        <v>1813</v>
      </c>
      <c r="H1332" s="1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1050</v>
      </c>
      <c r="N1332" t="b">
        <v>1</v>
      </c>
    </row>
    <row r="1333" spans="1:14" x14ac:dyDescent="0.3">
      <c r="A1333" t="s">
        <v>2379</v>
      </c>
      <c r="B1333" t="s">
        <v>918</v>
      </c>
      <c r="C1333" s="1">
        <v>45657</v>
      </c>
      <c r="D1333" s="1">
        <v>45657</v>
      </c>
      <c r="E1333" t="s">
        <v>39</v>
      </c>
      <c r="F1333">
        <v>5</v>
      </c>
      <c r="G1333" s="12">
        <v>245</v>
      </c>
      <c r="H1333" s="12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1050</v>
      </c>
      <c r="N1333" t="b">
        <v>1</v>
      </c>
    </row>
    <row r="1334" spans="1:14" x14ac:dyDescent="0.3">
      <c r="A1334" t="s">
        <v>2380</v>
      </c>
      <c r="B1334" t="s">
        <v>120</v>
      </c>
      <c r="C1334" s="1">
        <v>45412</v>
      </c>
      <c r="E1334" t="s">
        <v>39</v>
      </c>
      <c r="F1334">
        <v>8</v>
      </c>
      <c r="G1334" s="12">
        <v>392</v>
      </c>
      <c r="H1334" s="12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1050</v>
      </c>
      <c r="N1334" t="b">
        <v>1</v>
      </c>
    </row>
    <row r="1335" spans="1:14" x14ac:dyDescent="0.3">
      <c r="A1335" t="s">
        <v>2381</v>
      </c>
      <c r="B1335" t="s">
        <v>454</v>
      </c>
      <c r="C1335" s="1">
        <v>45208</v>
      </c>
      <c r="E1335" t="s">
        <v>32</v>
      </c>
      <c r="F1335">
        <v>62</v>
      </c>
      <c r="G1335" s="12">
        <v>12338</v>
      </c>
      <c r="H1335" s="12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1050</v>
      </c>
      <c r="N1335" t="b">
        <v>0</v>
      </c>
    </row>
    <row r="1336" spans="1:14" x14ac:dyDescent="0.3">
      <c r="A1336" t="s">
        <v>2382</v>
      </c>
      <c r="B1336" t="s">
        <v>756</v>
      </c>
      <c r="C1336" s="1">
        <v>45553</v>
      </c>
      <c r="D1336" s="1">
        <v>45578</v>
      </c>
      <c r="E1336" t="s">
        <v>15</v>
      </c>
      <c r="F1336">
        <v>9</v>
      </c>
      <c r="G1336" s="12">
        <v>171</v>
      </c>
      <c r="H1336" s="12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1047</v>
      </c>
      <c r="N1336" t="b">
        <v>1</v>
      </c>
    </row>
    <row r="1337" spans="1:14" x14ac:dyDescent="0.3">
      <c r="A1337" t="s">
        <v>2383</v>
      </c>
      <c r="B1337" t="s">
        <v>882</v>
      </c>
      <c r="C1337" s="1">
        <v>45647</v>
      </c>
      <c r="D1337" s="1">
        <v>45655</v>
      </c>
      <c r="E1337" t="s">
        <v>39</v>
      </c>
      <c r="F1337">
        <v>15</v>
      </c>
      <c r="G1337" s="12">
        <v>735</v>
      </c>
      <c r="H1337" s="12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1050</v>
      </c>
      <c r="N1337" t="b">
        <v>1</v>
      </c>
    </row>
    <row r="1338" spans="1:14" x14ac:dyDescent="0.3">
      <c r="A1338" t="s">
        <v>2384</v>
      </c>
      <c r="B1338" t="s">
        <v>70</v>
      </c>
      <c r="C1338" s="1">
        <v>45578</v>
      </c>
      <c r="E1338" t="s">
        <v>32</v>
      </c>
      <c r="F1338">
        <v>12</v>
      </c>
      <c r="G1338" s="12">
        <v>2388</v>
      </c>
      <c r="H1338" s="12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1050</v>
      </c>
      <c r="N1338" t="b">
        <v>1</v>
      </c>
    </row>
    <row r="1339" spans="1:14" x14ac:dyDescent="0.3">
      <c r="A1339" t="s">
        <v>2385</v>
      </c>
      <c r="B1339" t="s">
        <v>534</v>
      </c>
      <c r="C1339" s="1">
        <v>45584</v>
      </c>
      <c r="D1339" s="1">
        <v>45643</v>
      </c>
      <c r="E1339" t="s">
        <v>32</v>
      </c>
      <c r="F1339">
        <v>55</v>
      </c>
      <c r="G1339" s="12">
        <v>10945</v>
      </c>
      <c r="H1339" s="12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1047</v>
      </c>
      <c r="N1339" t="b">
        <v>1</v>
      </c>
    </row>
    <row r="1340" spans="1:14" x14ac:dyDescent="0.3">
      <c r="A1340" t="s">
        <v>2386</v>
      </c>
      <c r="B1340" t="s">
        <v>53</v>
      </c>
      <c r="C1340" s="1">
        <v>45307</v>
      </c>
      <c r="D1340" s="1">
        <v>45441</v>
      </c>
      <c r="E1340" t="s">
        <v>15</v>
      </c>
      <c r="F1340">
        <v>89</v>
      </c>
      <c r="G1340" s="12">
        <v>1691</v>
      </c>
      <c r="H1340" s="12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1050</v>
      </c>
      <c r="N1340" t="b">
        <v>0</v>
      </c>
    </row>
    <row r="1341" spans="1:14" x14ac:dyDescent="0.3">
      <c r="A1341" t="s">
        <v>2387</v>
      </c>
      <c r="B1341" t="s">
        <v>1008</v>
      </c>
      <c r="C1341" s="1">
        <v>45573</v>
      </c>
      <c r="E1341" t="s">
        <v>32</v>
      </c>
      <c r="F1341">
        <v>10</v>
      </c>
      <c r="G1341" s="12">
        <v>1990</v>
      </c>
      <c r="H1341" s="12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1050</v>
      </c>
      <c r="N1341" t="b">
        <v>1</v>
      </c>
    </row>
    <row r="1342" spans="1:14" x14ac:dyDescent="0.3">
      <c r="A1342" t="s">
        <v>2388</v>
      </c>
      <c r="B1342" t="s">
        <v>156</v>
      </c>
      <c r="C1342" s="1">
        <v>45629</v>
      </c>
      <c r="E1342" t="s">
        <v>32</v>
      </c>
      <c r="F1342">
        <v>5</v>
      </c>
      <c r="G1342" s="12">
        <v>995</v>
      </c>
      <c r="H1342" s="1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1050</v>
      </c>
      <c r="N1342" t="b">
        <v>1</v>
      </c>
    </row>
    <row r="1343" spans="1:14" x14ac:dyDescent="0.3">
      <c r="A1343" t="s">
        <v>2389</v>
      </c>
      <c r="B1343" t="s">
        <v>456</v>
      </c>
      <c r="C1343" s="1">
        <v>45257</v>
      </c>
      <c r="E1343" t="s">
        <v>39</v>
      </c>
      <c r="F1343">
        <v>9</v>
      </c>
      <c r="G1343" s="12">
        <v>0</v>
      </c>
      <c r="H1343" s="12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1047</v>
      </c>
      <c r="N1343" t="b">
        <v>0</v>
      </c>
    </row>
    <row r="1344" spans="1:14" x14ac:dyDescent="0.3">
      <c r="A1344" t="s">
        <v>2390</v>
      </c>
      <c r="B1344" t="s">
        <v>55</v>
      </c>
      <c r="C1344" s="1">
        <v>45633</v>
      </c>
      <c r="E1344" t="s">
        <v>39</v>
      </c>
      <c r="F1344">
        <v>26</v>
      </c>
      <c r="G1344" s="12">
        <v>1274</v>
      </c>
      <c r="H1344" s="12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1050</v>
      </c>
      <c r="N1344" t="b">
        <v>1</v>
      </c>
    </row>
    <row r="1345" spans="1:14" x14ac:dyDescent="0.3">
      <c r="A1345" t="s">
        <v>2391</v>
      </c>
      <c r="B1345" t="s">
        <v>1022</v>
      </c>
      <c r="C1345" s="1">
        <v>45315</v>
      </c>
      <c r="E1345" t="s">
        <v>32</v>
      </c>
      <c r="F1345">
        <v>23</v>
      </c>
      <c r="G1345" s="12">
        <v>4577</v>
      </c>
      <c r="H1345" s="12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1050</v>
      </c>
      <c r="N1345" t="b">
        <v>1</v>
      </c>
    </row>
    <row r="1346" spans="1:14" x14ac:dyDescent="0.3">
      <c r="A1346" t="s">
        <v>2392</v>
      </c>
      <c r="B1346" t="s">
        <v>624</v>
      </c>
      <c r="C1346" s="1">
        <v>45434</v>
      </c>
      <c r="E1346" t="s">
        <v>32</v>
      </c>
      <c r="F1346">
        <v>38</v>
      </c>
      <c r="G1346" s="12">
        <v>7562</v>
      </c>
      <c r="H1346" s="12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1050</v>
      </c>
      <c r="N1346" t="b">
        <v>0</v>
      </c>
    </row>
    <row r="1347" spans="1:14" x14ac:dyDescent="0.3">
      <c r="A1347" t="s">
        <v>2393</v>
      </c>
      <c r="B1347" t="s">
        <v>918</v>
      </c>
      <c r="C1347" s="1">
        <v>45640</v>
      </c>
      <c r="D1347" s="1">
        <v>45655</v>
      </c>
      <c r="E1347" t="s">
        <v>32</v>
      </c>
      <c r="F1347">
        <v>10</v>
      </c>
      <c r="G1347" s="12">
        <v>0</v>
      </c>
      <c r="H1347" s="12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1047</v>
      </c>
      <c r="N1347" t="b">
        <v>1</v>
      </c>
    </row>
    <row r="1348" spans="1:14" x14ac:dyDescent="0.3">
      <c r="A1348" t="s">
        <v>2394</v>
      </c>
      <c r="B1348" t="s">
        <v>412</v>
      </c>
      <c r="C1348" s="1">
        <v>45599</v>
      </c>
      <c r="D1348" s="1">
        <v>45635</v>
      </c>
      <c r="E1348" t="s">
        <v>32</v>
      </c>
      <c r="F1348">
        <v>25</v>
      </c>
      <c r="G1348" s="12">
        <v>4975</v>
      </c>
      <c r="H1348" s="12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1047</v>
      </c>
      <c r="N1348" t="b">
        <v>1</v>
      </c>
    </row>
    <row r="1349" spans="1:14" x14ac:dyDescent="0.3">
      <c r="A1349" t="s">
        <v>2395</v>
      </c>
      <c r="B1349" t="s">
        <v>894</v>
      </c>
      <c r="C1349" s="1">
        <v>45365</v>
      </c>
      <c r="E1349" t="s">
        <v>15</v>
      </c>
      <c r="F1349">
        <v>3</v>
      </c>
      <c r="G1349" s="12">
        <v>0</v>
      </c>
      <c r="H1349" s="12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1047</v>
      </c>
      <c r="N1349" t="b">
        <v>1</v>
      </c>
    </row>
    <row r="1350" spans="1:14" x14ac:dyDescent="0.3">
      <c r="A1350" t="s">
        <v>2396</v>
      </c>
      <c r="B1350" t="s">
        <v>178</v>
      </c>
      <c r="C1350" s="1">
        <v>45348</v>
      </c>
      <c r="E1350" t="s">
        <v>39</v>
      </c>
      <c r="F1350">
        <v>8</v>
      </c>
      <c r="G1350" s="12">
        <v>392</v>
      </c>
      <c r="H1350" s="12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1047</v>
      </c>
      <c r="N1350" t="b">
        <v>1</v>
      </c>
    </row>
    <row r="1351" spans="1:14" x14ac:dyDescent="0.3">
      <c r="A1351" t="s">
        <v>2397</v>
      </c>
      <c r="B1351" t="s">
        <v>394</v>
      </c>
      <c r="C1351" s="1">
        <v>45321</v>
      </c>
      <c r="E1351" t="s">
        <v>15</v>
      </c>
      <c r="F1351">
        <v>6</v>
      </c>
      <c r="G1351" s="12">
        <v>114</v>
      </c>
      <c r="H1351" s="12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1050</v>
      </c>
      <c r="N1351" t="b">
        <v>1</v>
      </c>
    </row>
    <row r="1352" spans="1:14" x14ac:dyDescent="0.3">
      <c r="A1352" t="s">
        <v>2398</v>
      </c>
      <c r="B1352" t="s">
        <v>398</v>
      </c>
      <c r="C1352" s="1">
        <v>45471</v>
      </c>
      <c r="E1352" t="s">
        <v>32</v>
      </c>
      <c r="F1352">
        <v>16</v>
      </c>
      <c r="G1352" s="12">
        <v>3184</v>
      </c>
      <c r="H1352" s="1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1050</v>
      </c>
      <c r="N1352" t="b">
        <v>1</v>
      </c>
    </row>
    <row r="1353" spans="1:14" x14ac:dyDescent="0.3">
      <c r="A1353" t="s">
        <v>2399</v>
      </c>
      <c r="B1353" t="s">
        <v>76</v>
      </c>
      <c r="C1353" s="1">
        <v>45606</v>
      </c>
      <c r="E1353" t="s">
        <v>39</v>
      </c>
      <c r="F1353">
        <v>33</v>
      </c>
      <c r="G1353" s="12">
        <v>1617</v>
      </c>
      <c r="H1353" s="12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1047</v>
      </c>
      <c r="N1353" t="b">
        <v>1</v>
      </c>
    </row>
    <row r="1354" spans="1:14" x14ac:dyDescent="0.3">
      <c r="A1354" t="s">
        <v>2400</v>
      </c>
      <c r="B1354" t="s">
        <v>556</v>
      </c>
      <c r="C1354" s="1">
        <v>45485</v>
      </c>
      <c r="E1354" t="s">
        <v>32</v>
      </c>
      <c r="F1354">
        <v>58</v>
      </c>
      <c r="G1354" s="12">
        <v>0</v>
      </c>
      <c r="H1354" s="12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1047</v>
      </c>
      <c r="N1354" t="b">
        <v>0</v>
      </c>
    </row>
    <row r="1355" spans="1:14" x14ac:dyDescent="0.3">
      <c r="A1355" t="s">
        <v>2401</v>
      </c>
      <c r="B1355" t="s">
        <v>812</v>
      </c>
      <c r="C1355" s="1">
        <v>45147</v>
      </c>
      <c r="E1355" t="s">
        <v>32</v>
      </c>
      <c r="F1355">
        <v>25</v>
      </c>
      <c r="G1355" s="12">
        <v>4975</v>
      </c>
      <c r="H1355" s="12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1047</v>
      </c>
      <c r="N1355" t="b">
        <v>1</v>
      </c>
    </row>
    <row r="1356" spans="1:14" x14ac:dyDescent="0.3">
      <c r="A1356" t="s">
        <v>2402</v>
      </c>
      <c r="B1356" t="s">
        <v>586</v>
      </c>
      <c r="C1356" s="1">
        <v>45584</v>
      </c>
      <c r="E1356" t="s">
        <v>39</v>
      </c>
      <c r="F1356">
        <v>13</v>
      </c>
      <c r="G1356" s="12">
        <v>637</v>
      </c>
      <c r="H1356" s="12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1050</v>
      </c>
      <c r="N1356" t="b">
        <v>1</v>
      </c>
    </row>
    <row r="1357" spans="1:14" x14ac:dyDescent="0.3">
      <c r="A1357" t="s">
        <v>2403</v>
      </c>
      <c r="B1357" t="s">
        <v>306</v>
      </c>
      <c r="C1357" s="1">
        <v>45620</v>
      </c>
      <c r="E1357" t="s">
        <v>32</v>
      </c>
      <c r="F1357">
        <v>19</v>
      </c>
      <c r="G1357" s="12">
        <v>3781</v>
      </c>
      <c r="H1357" s="12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1050</v>
      </c>
      <c r="N1357" t="b">
        <v>1</v>
      </c>
    </row>
    <row r="1358" spans="1:14" x14ac:dyDescent="0.3">
      <c r="A1358" t="s">
        <v>2404</v>
      </c>
      <c r="B1358" t="s">
        <v>128</v>
      </c>
      <c r="C1358" s="1">
        <v>45454</v>
      </c>
      <c r="E1358" t="s">
        <v>32</v>
      </c>
      <c r="F1358">
        <v>55</v>
      </c>
      <c r="G1358" s="12">
        <v>0</v>
      </c>
      <c r="H1358" s="12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1050</v>
      </c>
      <c r="N1358" t="b">
        <v>1</v>
      </c>
    </row>
    <row r="1359" spans="1:14" x14ac:dyDescent="0.3">
      <c r="A1359" t="s">
        <v>2405</v>
      </c>
      <c r="B1359" t="s">
        <v>872</v>
      </c>
      <c r="C1359" s="1">
        <v>45556</v>
      </c>
      <c r="E1359" t="s">
        <v>15</v>
      </c>
      <c r="F1359">
        <v>12</v>
      </c>
      <c r="G1359" s="12">
        <v>0</v>
      </c>
      <c r="H1359" s="12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1047</v>
      </c>
      <c r="N1359" t="b">
        <v>1</v>
      </c>
    </row>
    <row r="1360" spans="1:14" x14ac:dyDescent="0.3">
      <c r="A1360" t="s">
        <v>2406</v>
      </c>
      <c r="B1360" t="s">
        <v>560</v>
      </c>
      <c r="C1360" s="1">
        <v>45619</v>
      </c>
      <c r="E1360" t="s">
        <v>39</v>
      </c>
      <c r="F1360">
        <v>41</v>
      </c>
      <c r="G1360" s="12">
        <v>2009</v>
      </c>
      <c r="H1360" s="12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1050</v>
      </c>
      <c r="N1360" t="b">
        <v>1</v>
      </c>
    </row>
    <row r="1361" spans="1:14" x14ac:dyDescent="0.3">
      <c r="A1361" t="s">
        <v>2407</v>
      </c>
      <c r="B1361" t="s">
        <v>450</v>
      </c>
      <c r="C1361" s="1">
        <v>45627</v>
      </c>
      <c r="E1361" t="s">
        <v>15</v>
      </c>
      <c r="F1361">
        <v>24</v>
      </c>
      <c r="G1361" s="12">
        <v>456</v>
      </c>
      <c r="H1361" s="12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1047</v>
      </c>
      <c r="N1361" t="b">
        <v>0</v>
      </c>
    </row>
    <row r="1362" spans="1:14" x14ac:dyDescent="0.3">
      <c r="A1362" t="s">
        <v>2408</v>
      </c>
      <c r="B1362" t="s">
        <v>252</v>
      </c>
      <c r="C1362" s="1">
        <v>45330</v>
      </c>
      <c r="E1362" t="s">
        <v>32</v>
      </c>
      <c r="F1362">
        <v>16</v>
      </c>
      <c r="G1362" s="12">
        <v>3184</v>
      </c>
      <c r="H1362" s="1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1047</v>
      </c>
      <c r="N1362" t="b">
        <v>1</v>
      </c>
    </row>
    <row r="1363" spans="1:14" x14ac:dyDescent="0.3">
      <c r="A1363" t="s">
        <v>2409</v>
      </c>
      <c r="B1363" t="s">
        <v>880</v>
      </c>
      <c r="C1363" s="1">
        <v>45491</v>
      </c>
      <c r="E1363" t="s">
        <v>32</v>
      </c>
      <c r="F1363">
        <v>2</v>
      </c>
      <c r="G1363" s="12">
        <v>398</v>
      </c>
      <c r="H1363" s="12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1047</v>
      </c>
      <c r="N1363" t="b">
        <v>1</v>
      </c>
    </row>
    <row r="1364" spans="1:14" x14ac:dyDescent="0.3">
      <c r="A1364" t="s">
        <v>2410</v>
      </c>
      <c r="B1364" t="s">
        <v>456</v>
      </c>
      <c r="C1364" s="1">
        <v>45545</v>
      </c>
      <c r="E1364" t="s">
        <v>15</v>
      </c>
      <c r="F1364">
        <v>9</v>
      </c>
      <c r="G1364" s="12">
        <v>171</v>
      </c>
      <c r="H1364" s="12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1047</v>
      </c>
      <c r="N1364" t="b">
        <v>1</v>
      </c>
    </row>
    <row r="1365" spans="1:14" x14ac:dyDescent="0.3">
      <c r="A1365" t="s">
        <v>2411</v>
      </c>
      <c r="B1365" t="s">
        <v>868</v>
      </c>
      <c r="C1365" s="1">
        <v>45153</v>
      </c>
      <c r="E1365" t="s">
        <v>15</v>
      </c>
      <c r="F1365">
        <v>14</v>
      </c>
      <c r="G1365" s="12">
        <v>266</v>
      </c>
      <c r="H1365" s="12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1050</v>
      </c>
      <c r="N1365" t="b">
        <v>0</v>
      </c>
    </row>
    <row r="1366" spans="1:14" x14ac:dyDescent="0.3">
      <c r="A1366" t="s">
        <v>2412</v>
      </c>
      <c r="B1366" t="s">
        <v>386</v>
      </c>
      <c r="C1366" s="1">
        <v>45609</v>
      </c>
      <c r="E1366" t="s">
        <v>32</v>
      </c>
      <c r="F1366">
        <v>29</v>
      </c>
      <c r="G1366" s="12">
        <v>5771</v>
      </c>
      <c r="H1366" s="12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1050</v>
      </c>
      <c r="N1366" t="b">
        <v>0</v>
      </c>
    </row>
    <row r="1367" spans="1:14" x14ac:dyDescent="0.3">
      <c r="A1367" t="s">
        <v>2413</v>
      </c>
      <c r="B1367" t="s">
        <v>172</v>
      </c>
      <c r="C1367" s="1">
        <v>45615</v>
      </c>
      <c r="E1367" t="s">
        <v>39</v>
      </c>
      <c r="F1367">
        <v>68</v>
      </c>
      <c r="G1367" s="12">
        <v>3332</v>
      </c>
      <c r="H1367" s="12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1050</v>
      </c>
      <c r="N1367" t="b">
        <v>1</v>
      </c>
    </row>
    <row r="1368" spans="1:14" x14ac:dyDescent="0.3">
      <c r="A1368" t="s">
        <v>2414</v>
      </c>
      <c r="B1368" t="s">
        <v>206</v>
      </c>
      <c r="C1368" s="1">
        <v>45266</v>
      </c>
      <c r="E1368" t="s">
        <v>15</v>
      </c>
      <c r="F1368">
        <v>41</v>
      </c>
      <c r="G1368" s="12">
        <v>779</v>
      </c>
      <c r="H1368" s="12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1047</v>
      </c>
      <c r="N1368" t="b">
        <v>1</v>
      </c>
    </row>
    <row r="1369" spans="1:14" x14ac:dyDescent="0.3">
      <c r="A1369" t="s">
        <v>2415</v>
      </c>
      <c r="B1369" t="s">
        <v>256</v>
      </c>
      <c r="C1369" s="1">
        <v>45257</v>
      </c>
      <c r="E1369" t="s">
        <v>32</v>
      </c>
      <c r="F1369">
        <v>25</v>
      </c>
      <c r="G1369" s="12">
        <v>4975</v>
      </c>
      <c r="H1369" s="12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1047</v>
      </c>
      <c r="N1369" t="b">
        <v>1</v>
      </c>
    </row>
    <row r="1370" spans="1:14" x14ac:dyDescent="0.3">
      <c r="A1370" t="s">
        <v>2416</v>
      </c>
      <c r="B1370" t="s">
        <v>734</v>
      </c>
      <c r="C1370" s="1">
        <v>45579</v>
      </c>
      <c r="E1370" t="s">
        <v>39</v>
      </c>
      <c r="F1370">
        <v>29</v>
      </c>
      <c r="G1370" s="12">
        <v>1421</v>
      </c>
      <c r="H1370" s="12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1047</v>
      </c>
      <c r="N1370" t="b">
        <v>1</v>
      </c>
    </row>
    <row r="1371" spans="1:14" x14ac:dyDescent="0.3">
      <c r="A1371" t="s">
        <v>2417</v>
      </c>
      <c r="B1371" t="s">
        <v>244</v>
      </c>
      <c r="C1371" s="1">
        <v>45606</v>
      </c>
      <c r="E1371" t="s">
        <v>15</v>
      </c>
      <c r="F1371">
        <v>25</v>
      </c>
      <c r="G1371" s="12">
        <v>475</v>
      </c>
      <c r="H1371" s="12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1050</v>
      </c>
      <c r="N1371" t="b">
        <v>1</v>
      </c>
    </row>
    <row r="1372" spans="1:14" x14ac:dyDescent="0.3">
      <c r="A1372" t="s">
        <v>2418</v>
      </c>
      <c r="B1372" t="s">
        <v>736</v>
      </c>
      <c r="C1372" s="1">
        <v>45625</v>
      </c>
      <c r="E1372" t="s">
        <v>15</v>
      </c>
      <c r="F1372">
        <v>29</v>
      </c>
      <c r="G1372" s="12">
        <v>551</v>
      </c>
      <c r="H1372" s="1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1047</v>
      </c>
      <c r="N1372" t="b">
        <v>0</v>
      </c>
    </row>
    <row r="1373" spans="1:14" x14ac:dyDescent="0.3">
      <c r="A1373" t="s">
        <v>2419</v>
      </c>
      <c r="B1373" t="s">
        <v>45</v>
      </c>
      <c r="C1373" s="1">
        <v>45549</v>
      </c>
      <c r="E1373" t="s">
        <v>39</v>
      </c>
      <c r="F1373">
        <v>34</v>
      </c>
      <c r="G1373" s="12">
        <v>1666</v>
      </c>
      <c r="H1373" s="12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1047</v>
      </c>
      <c r="N1373" t="b">
        <v>1</v>
      </c>
    </row>
    <row r="1374" spans="1:14" x14ac:dyDescent="0.3">
      <c r="A1374" t="s">
        <v>2420</v>
      </c>
      <c r="B1374" t="s">
        <v>230</v>
      </c>
      <c r="C1374" s="1">
        <v>45603</v>
      </c>
      <c r="E1374" t="s">
        <v>15</v>
      </c>
      <c r="F1374">
        <v>12</v>
      </c>
      <c r="G1374" s="12">
        <v>228</v>
      </c>
      <c r="H1374" s="12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1047</v>
      </c>
      <c r="N1374" t="b">
        <v>1</v>
      </c>
    </row>
    <row r="1375" spans="1:14" x14ac:dyDescent="0.3">
      <c r="A1375" t="s">
        <v>2421</v>
      </c>
      <c r="B1375" t="s">
        <v>510</v>
      </c>
      <c r="C1375" s="1">
        <v>45192</v>
      </c>
      <c r="D1375" s="1">
        <v>45214</v>
      </c>
      <c r="E1375" t="s">
        <v>39</v>
      </c>
      <c r="F1375">
        <v>55</v>
      </c>
      <c r="G1375" s="12">
        <v>2695</v>
      </c>
      <c r="H1375" s="12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1047</v>
      </c>
      <c r="N1375" t="b">
        <v>1</v>
      </c>
    </row>
    <row r="1376" spans="1:14" x14ac:dyDescent="0.3">
      <c r="A1376" t="s">
        <v>2422</v>
      </c>
      <c r="B1376" t="s">
        <v>338</v>
      </c>
      <c r="C1376" s="1">
        <v>45569</v>
      </c>
      <c r="E1376" t="s">
        <v>15</v>
      </c>
      <c r="F1376">
        <v>27</v>
      </c>
      <c r="G1376" s="12">
        <v>513</v>
      </c>
      <c r="H1376" s="12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1047</v>
      </c>
      <c r="N1376" t="b">
        <v>0</v>
      </c>
    </row>
    <row r="1377" spans="1:14" x14ac:dyDescent="0.3">
      <c r="A1377" t="s">
        <v>2423</v>
      </c>
      <c r="B1377" t="s">
        <v>830</v>
      </c>
      <c r="C1377" s="1">
        <v>45653</v>
      </c>
      <c r="E1377" t="s">
        <v>32</v>
      </c>
      <c r="F1377">
        <v>28</v>
      </c>
      <c r="G1377" s="12">
        <v>0</v>
      </c>
      <c r="H1377" s="12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1047</v>
      </c>
      <c r="N1377" t="b">
        <v>1</v>
      </c>
    </row>
    <row r="1378" spans="1:14" x14ac:dyDescent="0.3">
      <c r="A1378" t="s">
        <v>2424</v>
      </c>
      <c r="B1378" t="s">
        <v>630</v>
      </c>
      <c r="C1378" s="1">
        <v>45435</v>
      </c>
      <c r="E1378" t="s">
        <v>15</v>
      </c>
      <c r="F1378">
        <v>5</v>
      </c>
      <c r="G1378" s="12">
        <v>95</v>
      </c>
      <c r="H1378" s="12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1050</v>
      </c>
      <c r="N1378" t="b">
        <v>1</v>
      </c>
    </row>
    <row r="1379" spans="1:14" x14ac:dyDescent="0.3">
      <c r="A1379" t="s">
        <v>2425</v>
      </c>
      <c r="B1379" t="s">
        <v>55</v>
      </c>
      <c r="C1379" s="1">
        <v>45631</v>
      </c>
      <c r="E1379" t="s">
        <v>15</v>
      </c>
      <c r="F1379">
        <v>70</v>
      </c>
      <c r="G1379" s="12">
        <v>1330</v>
      </c>
      <c r="H1379" s="12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1050</v>
      </c>
      <c r="N1379" t="b">
        <v>1</v>
      </c>
    </row>
    <row r="1380" spans="1:14" x14ac:dyDescent="0.3">
      <c r="A1380" t="s">
        <v>2426</v>
      </c>
      <c r="B1380" t="s">
        <v>1000</v>
      </c>
      <c r="C1380" s="1">
        <v>45652</v>
      </c>
      <c r="E1380" t="s">
        <v>39</v>
      </c>
      <c r="F1380">
        <v>85</v>
      </c>
      <c r="G1380" s="12">
        <v>4165</v>
      </c>
      <c r="H1380" s="12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1050</v>
      </c>
      <c r="N1380" t="b">
        <v>1</v>
      </c>
    </row>
    <row r="1381" spans="1:14" x14ac:dyDescent="0.3">
      <c r="A1381" t="s">
        <v>2427</v>
      </c>
      <c r="B1381" t="s">
        <v>194</v>
      </c>
      <c r="C1381" s="1">
        <v>45620</v>
      </c>
      <c r="E1381" t="s">
        <v>32</v>
      </c>
      <c r="F1381">
        <v>31</v>
      </c>
      <c r="G1381" s="12">
        <v>6169</v>
      </c>
      <c r="H1381" s="12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1047</v>
      </c>
      <c r="N1381" t="b">
        <v>1</v>
      </c>
    </row>
    <row r="1382" spans="1:14" x14ac:dyDescent="0.3">
      <c r="A1382" t="s">
        <v>2428</v>
      </c>
      <c r="B1382" t="s">
        <v>546</v>
      </c>
      <c r="C1382" s="1">
        <v>45147</v>
      </c>
      <c r="E1382" t="s">
        <v>15</v>
      </c>
      <c r="F1382">
        <v>31</v>
      </c>
      <c r="G1382" s="12">
        <v>589</v>
      </c>
      <c r="H1382" s="1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1047</v>
      </c>
      <c r="N1382" t="b">
        <v>1</v>
      </c>
    </row>
    <row r="1383" spans="1:14" x14ac:dyDescent="0.3">
      <c r="A1383" t="s">
        <v>2429</v>
      </c>
      <c r="B1383" t="s">
        <v>570</v>
      </c>
      <c r="C1383" s="1">
        <v>45565</v>
      </c>
      <c r="E1383" t="s">
        <v>32</v>
      </c>
      <c r="F1383">
        <v>83</v>
      </c>
      <c r="G1383" s="12">
        <v>16517</v>
      </c>
      <c r="H1383" s="12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1047</v>
      </c>
      <c r="N1383" t="b">
        <v>1</v>
      </c>
    </row>
    <row r="1384" spans="1:14" x14ac:dyDescent="0.3">
      <c r="A1384" t="s">
        <v>2430</v>
      </c>
      <c r="B1384" t="s">
        <v>1016</v>
      </c>
      <c r="C1384" s="1">
        <v>45540</v>
      </c>
      <c r="E1384" t="s">
        <v>15</v>
      </c>
      <c r="F1384">
        <v>11</v>
      </c>
      <c r="G1384" s="12">
        <v>209</v>
      </c>
      <c r="H1384" s="12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1047</v>
      </c>
      <c r="N1384" t="b">
        <v>1</v>
      </c>
    </row>
    <row r="1385" spans="1:14" x14ac:dyDescent="0.3">
      <c r="A1385" t="s">
        <v>2431</v>
      </c>
      <c r="B1385" t="s">
        <v>1026</v>
      </c>
      <c r="C1385" s="1">
        <v>45239</v>
      </c>
      <c r="E1385" t="s">
        <v>15</v>
      </c>
      <c r="F1385">
        <v>18</v>
      </c>
      <c r="G1385" s="12">
        <v>342</v>
      </c>
      <c r="H1385" s="12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1050</v>
      </c>
      <c r="N1385" t="b">
        <v>1</v>
      </c>
    </row>
    <row r="1386" spans="1:14" x14ac:dyDescent="0.3">
      <c r="A1386" t="s">
        <v>2432</v>
      </c>
      <c r="B1386" t="s">
        <v>404</v>
      </c>
      <c r="C1386" s="1">
        <v>45636</v>
      </c>
      <c r="E1386" t="s">
        <v>32</v>
      </c>
      <c r="F1386">
        <v>16</v>
      </c>
      <c r="G1386" s="12">
        <v>3184</v>
      </c>
      <c r="H1386" s="12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1047</v>
      </c>
      <c r="N1386" t="b">
        <v>1</v>
      </c>
    </row>
    <row r="1387" spans="1:14" x14ac:dyDescent="0.3">
      <c r="A1387" t="s">
        <v>2433</v>
      </c>
      <c r="B1387" t="s">
        <v>480</v>
      </c>
      <c r="C1387" s="1">
        <v>45652</v>
      </c>
      <c r="E1387" t="s">
        <v>15</v>
      </c>
      <c r="F1387">
        <v>80</v>
      </c>
      <c r="G1387" s="12">
        <v>1520</v>
      </c>
      <c r="H1387" s="12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1047</v>
      </c>
      <c r="N1387" t="b">
        <v>1</v>
      </c>
    </row>
    <row r="1388" spans="1:14" x14ac:dyDescent="0.3">
      <c r="A1388" t="s">
        <v>2434</v>
      </c>
      <c r="B1388" t="s">
        <v>884</v>
      </c>
      <c r="C1388" s="1">
        <v>45490</v>
      </c>
      <c r="E1388" t="s">
        <v>39</v>
      </c>
      <c r="F1388">
        <v>24</v>
      </c>
      <c r="G1388" s="12">
        <v>1176</v>
      </c>
      <c r="H1388" s="12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1050</v>
      </c>
      <c r="N1388" t="b">
        <v>1</v>
      </c>
    </row>
    <row r="1389" spans="1:14" x14ac:dyDescent="0.3">
      <c r="A1389" t="s">
        <v>2435</v>
      </c>
      <c r="B1389" t="s">
        <v>248</v>
      </c>
      <c r="C1389" s="1">
        <v>45504</v>
      </c>
      <c r="E1389" t="s">
        <v>15</v>
      </c>
      <c r="F1389">
        <v>22</v>
      </c>
      <c r="G1389" s="12">
        <v>418</v>
      </c>
      <c r="H1389" s="12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1050</v>
      </c>
      <c r="N1389" t="b">
        <v>1</v>
      </c>
    </row>
    <row r="1390" spans="1:14" x14ac:dyDescent="0.3">
      <c r="A1390" t="s">
        <v>2436</v>
      </c>
      <c r="B1390" t="s">
        <v>144</v>
      </c>
      <c r="C1390" s="1">
        <v>45562</v>
      </c>
      <c r="E1390" t="s">
        <v>15</v>
      </c>
      <c r="F1390">
        <v>29</v>
      </c>
      <c r="G1390" s="12">
        <v>551</v>
      </c>
      <c r="H1390" s="12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1050</v>
      </c>
      <c r="N1390" t="b">
        <v>0</v>
      </c>
    </row>
    <row r="1391" spans="1:14" x14ac:dyDescent="0.3">
      <c r="A1391" t="s">
        <v>2437</v>
      </c>
      <c r="B1391" t="s">
        <v>142</v>
      </c>
      <c r="C1391" s="1">
        <v>45653</v>
      </c>
      <c r="E1391" t="s">
        <v>15</v>
      </c>
      <c r="F1391">
        <v>2</v>
      </c>
      <c r="G1391" s="12">
        <v>0</v>
      </c>
      <c r="H1391" s="12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1050</v>
      </c>
      <c r="N1391" t="b">
        <v>0</v>
      </c>
    </row>
    <row r="1392" spans="1:14" x14ac:dyDescent="0.3">
      <c r="A1392" t="s">
        <v>2438</v>
      </c>
      <c r="B1392" t="s">
        <v>810</v>
      </c>
      <c r="C1392" s="1">
        <v>45457</v>
      </c>
      <c r="E1392" t="s">
        <v>32</v>
      </c>
      <c r="F1392">
        <v>39</v>
      </c>
      <c r="G1392" s="12">
        <v>7761</v>
      </c>
      <c r="H1392" s="1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1050</v>
      </c>
      <c r="N1392" t="b">
        <v>1</v>
      </c>
    </row>
    <row r="1393" spans="1:14" x14ac:dyDescent="0.3">
      <c r="A1393" t="s">
        <v>2439</v>
      </c>
      <c r="B1393" t="s">
        <v>600</v>
      </c>
      <c r="C1393" s="1">
        <v>45152</v>
      </c>
      <c r="E1393" t="s">
        <v>15</v>
      </c>
      <c r="F1393">
        <v>37</v>
      </c>
      <c r="G1393" s="12">
        <v>703</v>
      </c>
      <c r="H1393" s="12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1050</v>
      </c>
      <c r="N1393" t="b">
        <v>0</v>
      </c>
    </row>
    <row r="1394" spans="1:14" x14ac:dyDescent="0.3">
      <c r="A1394" t="s">
        <v>2440</v>
      </c>
      <c r="B1394" t="s">
        <v>534</v>
      </c>
      <c r="C1394" s="1">
        <v>45357</v>
      </c>
      <c r="E1394" t="s">
        <v>39</v>
      </c>
      <c r="F1394">
        <v>19</v>
      </c>
      <c r="G1394" s="12">
        <v>931</v>
      </c>
      <c r="H1394" s="12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1050</v>
      </c>
      <c r="N1394" t="b">
        <v>1</v>
      </c>
    </row>
    <row r="1395" spans="1:14" x14ac:dyDescent="0.3">
      <c r="A1395" t="s">
        <v>2441</v>
      </c>
      <c r="B1395" t="s">
        <v>496</v>
      </c>
      <c r="C1395" s="1">
        <v>45624</v>
      </c>
      <c r="E1395" t="s">
        <v>32</v>
      </c>
      <c r="F1395">
        <v>13</v>
      </c>
      <c r="G1395" s="12">
        <v>2587</v>
      </c>
      <c r="H1395" s="12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1050</v>
      </c>
      <c r="N1395" t="b">
        <v>0</v>
      </c>
    </row>
    <row r="1396" spans="1:14" x14ac:dyDescent="0.3">
      <c r="A1396" t="s">
        <v>2442</v>
      </c>
      <c r="B1396" t="s">
        <v>732</v>
      </c>
      <c r="C1396" s="1">
        <v>45619</v>
      </c>
      <c r="E1396" t="s">
        <v>39</v>
      </c>
      <c r="F1396">
        <v>32</v>
      </c>
      <c r="G1396" s="12">
        <v>0</v>
      </c>
      <c r="H1396" s="12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1047</v>
      </c>
      <c r="N1396" t="b">
        <v>1</v>
      </c>
    </row>
    <row r="1397" spans="1:14" x14ac:dyDescent="0.3">
      <c r="A1397" t="s">
        <v>2443</v>
      </c>
      <c r="B1397" t="s">
        <v>596</v>
      </c>
      <c r="C1397" s="1">
        <v>45366</v>
      </c>
      <c r="E1397" t="s">
        <v>39</v>
      </c>
      <c r="F1397">
        <v>18</v>
      </c>
      <c r="G1397" s="12">
        <v>882</v>
      </c>
      <c r="H1397" s="12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1050</v>
      </c>
      <c r="N1397" t="b">
        <v>1</v>
      </c>
    </row>
    <row r="1398" spans="1:14" x14ac:dyDescent="0.3">
      <c r="A1398" t="s">
        <v>2444</v>
      </c>
      <c r="B1398" t="s">
        <v>222</v>
      </c>
      <c r="C1398" s="1">
        <v>45374</v>
      </c>
      <c r="E1398" t="s">
        <v>39</v>
      </c>
      <c r="F1398">
        <v>6</v>
      </c>
      <c r="G1398" s="12">
        <v>294</v>
      </c>
      <c r="H1398" s="12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1050</v>
      </c>
      <c r="N1398" t="b">
        <v>1</v>
      </c>
    </row>
    <row r="1399" spans="1:14" x14ac:dyDescent="0.3">
      <c r="A1399" t="s">
        <v>2445</v>
      </c>
      <c r="B1399" t="s">
        <v>212</v>
      </c>
      <c r="C1399" s="1">
        <v>45327</v>
      </c>
      <c r="D1399" s="1">
        <v>45578</v>
      </c>
      <c r="E1399" t="s">
        <v>32</v>
      </c>
      <c r="F1399">
        <v>48</v>
      </c>
      <c r="G1399" s="12">
        <v>9552</v>
      </c>
      <c r="H1399" s="12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1047</v>
      </c>
      <c r="N1399" t="b">
        <v>0</v>
      </c>
    </row>
    <row r="1400" spans="1:14" x14ac:dyDescent="0.3">
      <c r="A1400" t="s">
        <v>2446</v>
      </c>
      <c r="B1400" t="s">
        <v>434</v>
      </c>
      <c r="C1400" s="1">
        <v>45570</v>
      </c>
      <c r="E1400" t="s">
        <v>32</v>
      </c>
      <c r="F1400">
        <v>4</v>
      </c>
      <c r="G1400" s="12">
        <v>796</v>
      </c>
      <c r="H1400" s="12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1047</v>
      </c>
      <c r="N1400" t="b">
        <v>1</v>
      </c>
    </row>
    <row r="1401" spans="1:14" x14ac:dyDescent="0.3">
      <c r="A1401" t="s">
        <v>2447</v>
      </c>
      <c r="B1401" t="s">
        <v>152</v>
      </c>
      <c r="C1401" s="1">
        <v>45195</v>
      </c>
      <c r="E1401" t="s">
        <v>39</v>
      </c>
      <c r="F1401">
        <v>41</v>
      </c>
      <c r="G1401" s="12">
        <v>0</v>
      </c>
      <c r="H1401" s="12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1050</v>
      </c>
      <c r="N1401" t="b">
        <v>1</v>
      </c>
    </row>
    <row r="1402" spans="1:14" x14ac:dyDescent="0.3">
      <c r="A1402" t="s">
        <v>2448</v>
      </c>
      <c r="B1402" t="s">
        <v>740</v>
      </c>
      <c r="C1402" s="1">
        <v>45626</v>
      </c>
      <c r="E1402" t="s">
        <v>15</v>
      </c>
      <c r="F1402">
        <v>26</v>
      </c>
      <c r="G1402" s="12">
        <v>494</v>
      </c>
      <c r="H1402" s="1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1047</v>
      </c>
      <c r="N1402" t="b">
        <v>1</v>
      </c>
    </row>
    <row r="1403" spans="1:14" x14ac:dyDescent="0.3">
      <c r="A1403" t="s">
        <v>2449</v>
      </c>
      <c r="B1403" t="s">
        <v>95</v>
      </c>
      <c r="C1403" s="1">
        <v>45413</v>
      </c>
      <c r="E1403" t="s">
        <v>15</v>
      </c>
      <c r="F1403">
        <v>37</v>
      </c>
      <c r="G1403" s="12">
        <v>0</v>
      </c>
      <c r="H1403" s="12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1050</v>
      </c>
      <c r="N1403" t="b">
        <v>0</v>
      </c>
    </row>
    <row r="1404" spans="1:14" x14ac:dyDescent="0.3">
      <c r="A1404" t="s">
        <v>2450</v>
      </c>
      <c r="B1404" t="s">
        <v>234</v>
      </c>
      <c r="C1404" s="1">
        <v>45622</v>
      </c>
      <c r="E1404" t="s">
        <v>39</v>
      </c>
      <c r="F1404">
        <v>14</v>
      </c>
      <c r="G1404" s="12">
        <v>686</v>
      </c>
      <c r="H1404" s="12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1047</v>
      </c>
      <c r="N1404" t="b">
        <v>1</v>
      </c>
    </row>
    <row r="1405" spans="1:14" x14ac:dyDescent="0.3">
      <c r="A1405" t="s">
        <v>2451</v>
      </c>
      <c r="B1405" t="s">
        <v>268</v>
      </c>
      <c r="C1405" s="1">
        <v>45542</v>
      </c>
      <c r="E1405" t="s">
        <v>32</v>
      </c>
      <c r="F1405">
        <v>17</v>
      </c>
      <c r="G1405" s="12">
        <v>3383</v>
      </c>
      <c r="H1405" s="12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1050</v>
      </c>
      <c r="N1405" t="b">
        <v>1</v>
      </c>
    </row>
    <row r="1406" spans="1:14" x14ac:dyDescent="0.3">
      <c r="A1406" t="s">
        <v>2452</v>
      </c>
      <c r="B1406" t="s">
        <v>314</v>
      </c>
      <c r="C1406" s="1">
        <v>45630</v>
      </c>
      <c r="E1406" t="s">
        <v>32</v>
      </c>
      <c r="F1406">
        <v>15</v>
      </c>
      <c r="G1406" s="12">
        <v>0</v>
      </c>
      <c r="H1406" s="12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1050</v>
      </c>
      <c r="N1406" t="b">
        <v>0</v>
      </c>
    </row>
    <row r="1407" spans="1:14" x14ac:dyDescent="0.3">
      <c r="A1407" t="s">
        <v>2453</v>
      </c>
      <c r="B1407" t="s">
        <v>804</v>
      </c>
      <c r="C1407" s="1">
        <v>45461</v>
      </c>
      <c r="E1407" t="s">
        <v>39</v>
      </c>
      <c r="F1407">
        <v>34</v>
      </c>
      <c r="G1407" s="12">
        <v>0</v>
      </c>
      <c r="H1407" s="12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1050</v>
      </c>
      <c r="N1407" t="b">
        <v>1</v>
      </c>
    </row>
    <row r="1408" spans="1:14" x14ac:dyDescent="0.3">
      <c r="A1408" t="s">
        <v>2454</v>
      </c>
      <c r="B1408" t="s">
        <v>712</v>
      </c>
      <c r="C1408" s="1">
        <v>45623</v>
      </c>
      <c r="E1408" t="s">
        <v>39</v>
      </c>
      <c r="F1408">
        <v>70</v>
      </c>
      <c r="G1408" s="12">
        <v>3430</v>
      </c>
      <c r="H1408" s="12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1050</v>
      </c>
      <c r="N1408" t="b">
        <v>1</v>
      </c>
    </row>
    <row r="1409" spans="1:14" x14ac:dyDescent="0.3">
      <c r="A1409" t="s">
        <v>2455</v>
      </c>
      <c r="B1409" t="s">
        <v>552</v>
      </c>
      <c r="C1409" s="1">
        <v>45400</v>
      </c>
      <c r="E1409" t="s">
        <v>15</v>
      </c>
      <c r="F1409">
        <v>8</v>
      </c>
      <c r="G1409" s="12">
        <v>152</v>
      </c>
      <c r="H1409" s="12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1050</v>
      </c>
      <c r="N1409" t="b">
        <v>1</v>
      </c>
    </row>
    <row r="1410" spans="1:14" x14ac:dyDescent="0.3">
      <c r="A1410" t="s">
        <v>2456</v>
      </c>
      <c r="B1410" t="s">
        <v>140</v>
      </c>
      <c r="C1410" s="1">
        <v>45422</v>
      </c>
      <c r="E1410" t="s">
        <v>39</v>
      </c>
      <c r="F1410">
        <v>36</v>
      </c>
      <c r="G1410" s="12">
        <v>1764</v>
      </c>
      <c r="H1410" s="12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1050</v>
      </c>
      <c r="N1410" t="b">
        <v>1</v>
      </c>
    </row>
    <row r="1411" spans="1:14" x14ac:dyDescent="0.3">
      <c r="A1411" t="s">
        <v>2457</v>
      </c>
      <c r="B1411" t="s">
        <v>538</v>
      </c>
      <c r="C1411" s="1">
        <v>45288</v>
      </c>
      <c r="E1411" t="s">
        <v>32</v>
      </c>
      <c r="F1411">
        <v>5</v>
      </c>
      <c r="G1411" s="12">
        <v>995</v>
      </c>
      <c r="H1411" s="12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1047</v>
      </c>
      <c r="N1411" t="b">
        <v>1</v>
      </c>
    </row>
    <row r="1412" spans="1:14" x14ac:dyDescent="0.3">
      <c r="A1412" t="s">
        <v>2458</v>
      </c>
      <c r="B1412" t="s">
        <v>57</v>
      </c>
      <c r="C1412" s="1">
        <v>45227</v>
      </c>
      <c r="E1412" t="s">
        <v>32</v>
      </c>
      <c r="F1412">
        <v>21</v>
      </c>
      <c r="G1412" s="12">
        <v>4179</v>
      </c>
      <c r="H1412" s="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1047</v>
      </c>
      <c r="N1412" t="b">
        <v>1</v>
      </c>
    </row>
    <row r="1413" spans="1:14" x14ac:dyDescent="0.3">
      <c r="A1413" t="s">
        <v>2459</v>
      </c>
      <c r="B1413" t="s">
        <v>880</v>
      </c>
      <c r="C1413" s="1">
        <v>45460</v>
      </c>
      <c r="E1413" t="s">
        <v>39</v>
      </c>
      <c r="F1413">
        <v>25</v>
      </c>
      <c r="G1413" s="12">
        <v>0</v>
      </c>
      <c r="H1413" s="12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1047</v>
      </c>
      <c r="N1413" t="b">
        <v>0</v>
      </c>
    </row>
    <row r="1414" spans="1:14" x14ac:dyDescent="0.3">
      <c r="A1414" t="s">
        <v>2460</v>
      </c>
      <c r="B1414" t="s">
        <v>1024</v>
      </c>
      <c r="C1414" s="1">
        <v>45614</v>
      </c>
      <c r="E1414" t="s">
        <v>39</v>
      </c>
      <c r="F1414">
        <v>62</v>
      </c>
      <c r="G1414" s="12">
        <v>0</v>
      </c>
      <c r="H1414" s="12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1050</v>
      </c>
      <c r="N1414" t="b">
        <v>0</v>
      </c>
    </row>
    <row r="1415" spans="1:14" x14ac:dyDescent="0.3">
      <c r="A1415" t="s">
        <v>2461</v>
      </c>
      <c r="B1415" t="s">
        <v>186</v>
      </c>
      <c r="C1415" s="1">
        <v>45273</v>
      </c>
      <c r="E1415" t="s">
        <v>32</v>
      </c>
      <c r="F1415">
        <v>60</v>
      </c>
      <c r="G1415" s="12">
        <v>11940</v>
      </c>
      <c r="H1415" s="12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1047</v>
      </c>
      <c r="N1415" t="b">
        <v>0</v>
      </c>
    </row>
    <row r="1416" spans="1:14" x14ac:dyDescent="0.3">
      <c r="A1416" t="s">
        <v>2462</v>
      </c>
      <c r="B1416" t="s">
        <v>808</v>
      </c>
      <c r="C1416" s="1">
        <v>45321</v>
      </c>
      <c r="E1416" t="s">
        <v>32</v>
      </c>
      <c r="F1416">
        <v>40</v>
      </c>
      <c r="G1416" s="12">
        <v>7960</v>
      </c>
      <c r="H1416" s="12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1050</v>
      </c>
      <c r="N1416" t="b">
        <v>0</v>
      </c>
    </row>
    <row r="1417" spans="1:14" x14ac:dyDescent="0.3">
      <c r="A1417" t="s">
        <v>2463</v>
      </c>
      <c r="B1417" t="s">
        <v>840</v>
      </c>
      <c r="C1417" s="1">
        <v>45623</v>
      </c>
      <c r="E1417" t="s">
        <v>15</v>
      </c>
      <c r="F1417">
        <v>11</v>
      </c>
      <c r="G1417" s="12">
        <v>209</v>
      </c>
      <c r="H1417" s="12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1050</v>
      </c>
      <c r="N1417" t="b">
        <v>0</v>
      </c>
    </row>
    <row r="1418" spans="1:14" x14ac:dyDescent="0.3">
      <c r="A1418" t="s">
        <v>2464</v>
      </c>
      <c r="B1418" t="s">
        <v>706</v>
      </c>
      <c r="C1418" s="1">
        <v>45600</v>
      </c>
      <c r="E1418" t="s">
        <v>39</v>
      </c>
      <c r="F1418">
        <v>45</v>
      </c>
      <c r="G1418" s="12">
        <v>2205</v>
      </c>
      <c r="H1418" s="12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1050</v>
      </c>
      <c r="N1418" t="b">
        <v>1</v>
      </c>
    </row>
    <row r="1419" spans="1:14" x14ac:dyDescent="0.3">
      <c r="A1419" t="s">
        <v>2465</v>
      </c>
      <c r="B1419" t="s">
        <v>584</v>
      </c>
      <c r="C1419" s="1">
        <v>45483</v>
      </c>
      <c r="E1419" t="s">
        <v>32</v>
      </c>
      <c r="F1419">
        <v>12</v>
      </c>
      <c r="G1419" s="12">
        <v>2388</v>
      </c>
      <c r="H1419" s="12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1047</v>
      </c>
      <c r="N1419" t="b">
        <v>1</v>
      </c>
    </row>
    <row r="1420" spans="1:14" x14ac:dyDescent="0.3">
      <c r="A1420" t="s">
        <v>2466</v>
      </c>
      <c r="B1420" t="s">
        <v>1004</v>
      </c>
      <c r="C1420" s="1">
        <v>45541</v>
      </c>
      <c r="E1420" t="s">
        <v>15</v>
      </c>
      <c r="F1420">
        <v>28</v>
      </c>
      <c r="G1420" s="12">
        <v>532</v>
      </c>
      <c r="H1420" s="12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1050</v>
      </c>
      <c r="N1420" t="b">
        <v>1</v>
      </c>
    </row>
    <row r="1421" spans="1:14" x14ac:dyDescent="0.3">
      <c r="A1421" t="s">
        <v>2467</v>
      </c>
      <c r="B1421" t="s">
        <v>930</v>
      </c>
      <c r="C1421" s="1">
        <v>45128</v>
      </c>
      <c r="D1421" s="1">
        <v>45588</v>
      </c>
      <c r="E1421" t="s">
        <v>39</v>
      </c>
      <c r="F1421">
        <v>40</v>
      </c>
      <c r="G1421" s="12">
        <v>0</v>
      </c>
      <c r="H1421" s="12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1050</v>
      </c>
      <c r="N1421" t="b">
        <v>1</v>
      </c>
    </row>
    <row r="1422" spans="1:14" x14ac:dyDescent="0.3">
      <c r="A1422" t="s">
        <v>2468</v>
      </c>
      <c r="B1422" t="s">
        <v>902</v>
      </c>
      <c r="C1422" s="1">
        <v>45615</v>
      </c>
      <c r="E1422" t="s">
        <v>39</v>
      </c>
      <c r="F1422">
        <v>8</v>
      </c>
      <c r="G1422" s="12">
        <v>0</v>
      </c>
      <c r="H1422" s="1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1050</v>
      </c>
      <c r="N1422" t="b">
        <v>1</v>
      </c>
    </row>
    <row r="1423" spans="1:14" x14ac:dyDescent="0.3">
      <c r="A1423" t="s">
        <v>2469</v>
      </c>
      <c r="B1423" t="s">
        <v>63</v>
      </c>
      <c r="C1423" s="1">
        <v>45027</v>
      </c>
      <c r="E1423" t="s">
        <v>15</v>
      </c>
      <c r="F1423">
        <v>48</v>
      </c>
      <c r="G1423" s="12">
        <v>912</v>
      </c>
      <c r="H1423" s="12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1050</v>
      </c>
      <c r="N1423" t="b">
        <v>0</v>
      </c>
    </row>
    <row r="1424" spans="1:14" x14ac:dyDescent="0.3">
      <c r="A1424" t="s">
        <v>2470</v>
      </c>
      <c r="B1424" t="s">
        <v>934</v>
      </c>
      <c r="C1424" s="1">
        <v>45544</v>
      </c>
      <c r="E1424" t="s">
        <v>39</v>
      </c>
      <c r="F1424">
        <v>46</v>
      </c>
      <c r="G1424" s="12">
        <v>2254</v>
      </c>
      <c r="H1424" s="12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1050</v>
      </c>
      <c r="N1424" t="b">
        <v>1</v>
      </c>
    </row>
    <row r="1425" spans="1:14" x14ac:dyDescent="0.3">
      <c r="A1425" t="s">
        <v>2471</v>
      </c>
      <c r="B1425" t="s">
        <v>166</v>
      </c>
      <c r="C1425" s="1">
        <v>45316</v>
      </c>
      <c r="E1425" t="s">
        <v>32</v>
      </c>
      <c r="F1425">
        <v>18</v>
      </c>
      <c r="G1425" s="12">
        <v>0</v>
      </c>
      <c r="H1425" s="12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1050</v>
      </c>
      <c r="N1425" t="b">
        <v>1</v>
      </c>
    </row>
    <row r="1426" spans="1:14" x14ac:dyDescent="0.3">
      <c r="A1426" t="s">
        <v>2472</v>
      </c>
      <c r="B1426" t="s">
        <v>528</v>
      </c>
      <c r="C1426" s="1">
        <v>45556</v>
      </c>
      <c r="E1426" t="s">
        <v>32</v>
      </c>
      <c r="F1426">
        <v>28</v>
      </c>
      <c r="G1426" s="12">
        <v>5572</v>
      </c>
      <c r="H1426" s="12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1050</v>
      </c>
      <c r="N1426" t="b">
        <v>0</v>
      </c>
    </row>
    <row r="1427" spans="1:14" x14ac:dyDescent="0.3">
      <c r="A1427" t="s">
        <v>2473</v>
      </c>
      <c r="B1427" t="s">
        <v>704</v>
      </c>
      <c r="C1427" s="1">
        <v>45622</v>
      </c>
      <c r="E1427" t="s">
        <v>32</v>
      </c>
      <c r="F1427">
        <v>87</v>
      </c>
      <c r="G1427" s="12">
        <v>17313</v>
      </c>
      <c r="H1427" s="12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1050</v>
      </c>
      <c r="N1427" t="b">
        <v>1</v>
      </c>
    </row>
    <row r="1428" spans="1:14" x14ac:dyDescent="0.3">
      <c r="A1428" t="s">
        <v>2474</v>
      </c>
      <c r="B1428" t="s">
        <v>516</v>
      </c>
      <c r="C1428" s="1">
        <v>45604</v>
      </c>
      <c r="E1428" t="s">
        <v>15</v>
      </c>
      <c r="F1428">
        <v>11</v>
      </c>
      <c r="G1428" s="12">
        <v>209</v>
      </c>
      <c r="H1428" s="12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1047</v>
      </c>
      <c r="N1428" t="b">
        <v>1</v>
      </c>
    </row>
    <row r="1429" spans="1:14" x14ac:dyDescent="0.3">
      <c r="A1429" t="s">
        <v>2475</v>
      </c>
      <c r="B1429" t="s">
        <v>430</v>
      </c>
      <c r="C1429" s="1">
        <v>45359</v>
      </c>
      <c r="E1429" t="s">
        <v>39</v>
      </c>
      <c r="F1429">
        <v>17</v>
      </c>
      <c r="G1429" s="12">
        <v>833</v>
      </c>
      <c r="H1429" s="12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1050</v>
      </c>
      <c r="N1429" t="b">
        <v>1</v>
      </c>
    </row>
    <row r="1430" spans="1:14" x14ac:dyDescent="0.3">
      <c r="A1430" t="s">
        <v>2476</v>
      </c>
      <c r="B1430" t="s">
        <v>660</v>
      </c>
      <c r="C1430" s="1">
        <v>45657</v>
      </c>
      <c r="E1430" t="s">
        <v>39</v>
      </c>
      <c r="F1430">
        <v>14</v>
      </c>
      <c r="G1430" s="12">
        <v>686</v>
      </c>
      <c r="H1430" s="12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1050</v>
      </c>
      <c r="N1430" t="b">
        <v>1</v>
      </c>
    </row>
    <row r="1431" spans="1:14" x14ac:dyDescent="0.3">
      <c r="A1431" t="s">
        <v>2477</v>
      </c>
      <c r="B1431" t="s">
        <v>358</v>
      </c>
      <c r="C1431" s="1">
        <v>45444</v>
      </c>
      <c r="E1431" t="s">
        <v>15</v>
      </c>
      <c r="F1431">
        <v>81</v>
      </c>
      <c r="G1431" s="12">
        <v>1539</v>
      </c>
      <c r="H1431" s="12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1047</v>
      </c>
      <c r="N1431" t="b">
        <v>0</v>
      </c>
    </row>
    <row r="1432" spans="1:14" x14ac:dyDescent="0.3">
      <c r="A1432" t="s">
        <v>2478</v>
      </c>
      <c r="B1432" t="s">
        <v>160</v>
      </c>
      <c r="C1432" s="1">
        <v>45633</v>
      </c>
      <c r="E1432" t="s">
        <v>39</v>
      </c>
      <c r="F1432">
        <v>17</v>
      </c>
      <c r="G1432" s="12">
        <v>833</v>
      </c>
      <c r="H1432" s="1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1047</v>
      </c>
      <c r="N1432" t="b">
        <v>1</v>
      </c>
    </row>
    <row r="1433" spans="1:14" x14ac:dyDescent="0.3">
      <c r="A1433" t="s">
        <v>2479</v>
      </c>
      <c r="B1433" t="s">
        <v>812</v>
      </c>
      <c r="C1433" s="1">
        <v>45400</v>
      </c>
      <c r="E1433" t="s">
        <v>39</v>
      </c>
      <c r="F1433">
        <v>25</v>
      </c>
      <c r="G1433" s="12">
        <v>1225</v>
      </c>
      <c r="H1433" s="12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1047</v>
      </c>
      <c r="N1433" t="b">
        <v>1</v>
      </c>
    </row>
    <row r="1434" spans="1:14" x14ac:dyDescent="0.3">
      <c r="A1434" t="s">
        <v>2480</v>
      </c>
      <c r="B1434" t="s">
        <v>468</v>
      </c>
      <c r="C1434" s="1">
        <v>45450</v>
      </c>
      <c r="E1434" t="s">
        <v>39</v>
      </c>
      <c r="F1434">
        <v>9</v>
      </c>
      <c r="G1434" s="12">
        <v>441</v>
      </c>
      <c r="H1434" s="12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1050</v>
      </c>
      <c r="N1434" t="b">
        <v>1</v>
      </c>
    </row>
    <row r="1435" spans="1:14" x14ac:dyDescent="0.3">
      <c r="A1435" t="s">
        <v>2481</v>
      </c>
      <c r="B1435" t="s">
        <v>388</v>
      </c>
      <c r="C1435" s="1">
        <v>45597</v>
      </c>
      <c r="E1435" t="s">
        <v>32</v>
      </c>
      <c r="F1435">
        <v>5</v>
      </c>
      <c r="G1435" s="12">
        <v>995</v>
      </c>
      <c r="H1435" s="12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1047</v>
      </c>
      <c r="N1435" t="b">
        <v>1</v>
      </c>
    </row>
    <row r="1436" spans="1:14" x14ac:dyDescent="0.3">
      <c r="A1436" t="s">
        <v>2482</v>
      </c>
      <c r="B1436" t="s">
        <v>282</v>
      </c>
      <c r="C1436" s="1">
        <v>45615</v>
      </c>
      <c r="E1436" t="s">
        <v>32</v>
      </c>
      <c r="F1436">
        <v>33</v>
      </c>
      <c r="G1436" s="12">
        <v>6567</v>
      </c>
      <c r="H1436" s="12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1050</v>
      </c>
      <c r="N1436" t="b">
        <v>1</v>
      </c>
    </row>
    <row r="1437" spans="1:14" x14ac:dyDescent="0.3">
      <c r="A1437" t="s">
        <v>2483</v>
      </c>
      <c r="B1437" t="s">
        <v>636</v>
      </c>
      <c r="C1437" s="1">
        <v>45302</v>
      </c>
      <c r="E1437" t="s">
        <v>32</v>
      </c>
      <c r="F1437">
        <v>9</v>
      </c>
      <c r="G1437" s="12">
        <v>0</v>
      </c>
      <c r="H1437" s="12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1047</v>
      </c>
      <c r="N1437" t="b">
        <v>1</v>
      </c>
    </row>
    <row r="1438" spans="1:14" x14ac:dyDescent="0.3">
      <c r="A1438" t="s">
        <v>2484</v>
      </c>
      <c r="B1438" t="s">
        <v>918</v>
      </c>
      <c r="C1438" s="1">
        <v>45643</v>
      </c>
      <c r="D1438" s="1">
        <v>45648</v>
      </c>
      <c r="E1438" t="s">
        <v>15</v>
      </c>
      <c r="F1438">
        <v>5</v>
      </c>
      <c r="G1438" s="12">
        <v>95</v>
      </c>
      <c r="H1438" s="12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1047</v>
      </c>
      <c r="N1438" t="b">
        <v>1</v>
      </c>
    </row>
    <row r="1439" spans="1:14" x14ac:dyDescent="0.3">
      <c r="A1439" t="s">
        <v>2485</v>
      </c>
      <c r="B1439" t="s">
        <v>47</v>
      </c>
      <c r="C1439" s="1">
        <v>45628</v>
      </c>
      <c r="D1439" s="1">
        <v>45629</v>
      </c>
      <c r="E1439" t="s">
        <v>39</v>
      </c>
      <c r="F1439">
        <v>44</v>
      </c>
      <c r="G1439" s="12">
        <v>2156</v>
      </c>
      <c r="H1439" s="12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1050</v>
      </c>
      <c r="N1439" t="b">
        <v>0</v>
      </c>
    </row>
    <row r="1440" spans="1:14" x14ac:dyDescent="0.3">
      <c r="A1440" t="s">
        <v>2486</v>
      </c>
      <c r="B1440" t="s">
        <v>702</v>
      </c>
      <c r="C1440" s="1">
        <v>45591</v>
      </c>
      <c r="E1440" t="s">
        <v>32</v>
      </c>
      <c r="F1440">
        <v>18</v>
      </c>
      <c r="G1440" s="12">
        <v>3582</v>
      </c>
      <c r="H1440" s="12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1050</v>
      </c>
      <c r="N1440" t="b">
        <v>1</v>
      </c>
    </row>
    <row r="1441" spans="1:14" x14ac:dyDescent="0.3">
      <c r="A1441" t="s">
        <v>2487</v>
      </c>
      <c r="B1441" t="s">
        <v>302</v>
      </c>
      <c r="C1441" s="1">
        <v>45255</v>
      </c>
      <c r="E1441" t="s">
        <v>32</v>
      </c>
      <c r="F1441">
        <v>47</v>
      </c>
      <c r="G1441" s="12">
        <v>0</v>
      </c>
      <c r="H1441" s="12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1050</v>
      </c>
      <c r="N1441" t="b">
        <v>1</v>
      </c>
    </row>
    <row r="1442" spans="1:14" x14ac:dyDescent="0.3">
      <c r="A1442" t="s">
        <v>2488</v>
      </c>
      <c r="B1442" t="s">
        <v>632</v>
      </c>
      <c r="C1442" s="1">
        <v>45258</v>
      </c>
      <c r="E1442" t="s">
        <v>39</v>
      </c>
      <c r="F1442">
        <v>17</v>
      </c>
      <c r="G1442" s="12">
        <v>833</v>
      </c>
      <c r="H1442" s="1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1050</v>
      </c>
      <c r="N1442" t="b">
        <v>1</v>
      </c>
    </row>
    <row r="1443" spans="1:14" x14ac:dyDescent="0.3">
      <c r="A1443" t="s">
        <v>2489</v>
      </c>
      <c r="B1443" t="s">
        <v>614</v>
      </c>
      <c r="C1443" s="1">
        <v>45628</v>
      </c>
      <c r="E1443" t="s">
        <v>39</v>
      </c>
      <c r="F1443">
        <v>30</v>
      </c>
      <c r="G1443" s="12">
        <v>1470</v>
      </c>
      <c r="H1443" s="12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1047</v>
      </c>
      <c r="N1443" t="b">
        <v>1</v>
      </c>
    </row>
    <row r="1444" spans="1:14" x14ac:dyDescent="0.3">
      <c r="A1444" t="s">
        <v>2490</v>
      </c>
      <c r="B1444" t="s">
        <v>856</v>
      </c>
      <c r="C1444" s="1">
        <v>45579</v>
      </c>
      <c r="E1444" t="s">
        <v>15</v>
      </c>
      <c r="F1444">
        <v>6</v>
      </c>
      <c r="G1444" s="12">
        <v>0</v>
      </c>
      <c r="H1444" s="12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1047</v>
      </c>
      <c r="N1444" t="b">
        <v>1</v>
      </c>
    </row>
    <row r="1445" spans="1:14" x14ac:dyDescent="0.3">
      <c r="A1445" t="s">
        <v>2491</v>
      </c>
      <c r="B1445" t="s">
        <v>374</v>
      </c>
      <c r="C1445" s="1">
        <v>45636</v>
      </c>
      <c r="E1445" t="s">
        <v>32</v>
      </c>
      <c r="F1445">
        <v>46</v>
      </c>
      <c r="G1445" s="12">
        <v>9154</v>
      </c>
      <c r="H1445" s="12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1050</v>
      </c>
      <c r="N1445" t="b">
        <v>1</v>
      </c>
    </row>
    <row r="1446" spans="1:14" x14ac:dyDescent="0.3">
      <c r="A1446" t="s">
        <v>2492</v>
      </c>
      <c r="B1446" t="s">
        <v>200</v>
      </c>
      <c r="C1446" s="1">
        <v>45553</v>
      </c>
      <c r="E1446" t="s">
        <v>39</v>
      </c>
      <c r="F1446">
        <v>49</v>
      </c>
      <c r="G1446" s="12">
        <v>0</v>
      </c>
      <c r="H1446" s="12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1050</v>
      </c>
      <c r="N1446" t="b">
        <v>1</v>
      </c>
    </row>
    <row r="1447" spans="1:14" x14ac:dyDescent="0.3">
      <c r="A1447" t="s">
        <v>2493</v>
      </c>
      <c r="B1447" t="s">
        <v>1022</v>
      </c>
      <c r="C1447" s="1">
        <v>45504</v>
      </c>
      <c r="E1447" t="s">
        <v>15</v>
      </c>
      <c r="F1447">
        <v>14</v>
      </c>
      <c r="G1447" s="12">
        <v>0</v>
      </c>
      <c r="H1447" s="12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1050</v>
      </c>
      <c r="N1447" t="b">
        <v>1</v>
      </c>
    </row>
    <row r="1448" spans="1:14" x14ac:dyDescent="0.3">
      <c r="A1448" t="s">
        <v>2494</v>
      </c>
      <c r="B1448" t="s">
        <v>680</v>
      </c>
      <c r="C1448" s="1">
        <v>45625</v>
      </c>
      <c r="E1448" t="s">
        <v>32</v>
      </c>
      <c r="F1448">
        <v>28</v>
      </c>
      <c r="G1448" s="12">
        <v>5572</v>
      </c>
      <c r="H1448" s="12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1047</v>
      </c>
      <c r="N1448" t="b">
        <v>1</v>
      </c>
    </row>
    <row r="1449" spans="1:14" x14ac:dyDescent="0.3">
      <c r="A1449" t="s">
        <v>2495</v>
      </c>
      <c r="B1449" t="s">
        <v>324</v>
      </c>
      <c r="C1449" s="1">
        <v>45523</v>
      </c>
      <c r="E1449" t="s">
        <v>15</v>
      </c>
      <c r="F1449">
        <v>86</v>
      </c>
      <c r="G1449" s="12">
        <v>1634</v>
      </c>
      <c r="H1449" s="12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1050</v>
      </c>
      <c r="N1449" t="b">
        <v>0</v>
      </c>
    </row>
    <row r="1450" spans="1:14" x14ac:dyDescent="0.3">
      <c r="A1450" t="s">
        <v>2496</v>
      </c>
      <c r="B1450" t="s">
        <v>616</v>
      </c>
      <c r="C1450" s="1">
        <v>45411</v>
      </c>
      <c r="E1450" t="s">
        <v>15</v>
      </c>
      <c r="F1450">
        <v>5</v>
      </c>
      <c r="G1450" s="12">
        <v>0</v>
      </c>
      <c r="H1450" s="12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1047</v>
      </c>
      <c r="N1450" t="b">
        <v>0</v>
      </c>
    </row>
    <row r="1451" spans="1:14" x14ac:dyDescent="0.3">
      <c r="A1451" t="s">
        <v>2497</v>
      </c>
      <c r="B1451" t="s">
        <v>764</v>
      </c>
      <c r="C1451" s="1">
        <v>45631</v>
      </c>
      <c r="E1451" t="s">
        <v>15</v>
      </c>
      <c r="F1451">
        <v>69</v>
      </c>
      <c r="G1451" s="12">
        <v>1311</v>
      </c>
      <c r="H1451" s="12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1050</v>
      </c>
      <c r="N1451" t="b">
        <v>1</v>
      </c>
    </row>
    <row r="1452" spans="1:14" x14ac:dyDescent="0.3">
      <c r="A1452" t="s">
        <v>2498</v>
      </c>
      <c r="B1452" t="s">
        <v>308</v>
      </c>
      <c r="C1452" s="1">
        <v>45549</v>
      </c>
      <c r="E1452" t="s">
        <v>32</v>
      </c>
      <c r="F1452">
        <v>14</v>
      </c>
      <c r="G1452" s="12">
        <v>2786</v>
      </c>
      <c r="H1452" s="1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1050</v>
      </c>
      <c r="N1452" t="b">
        <v>1</v>
      </c>
    </row>
    <row r="1453" spans="1:14" x14ac:dyDescent="0.3">
      <c r="A1453" t="s">
        <v>2499</v>
      </c>
      <c r="B1453" t="s">
        <v>466</v>
      </c>
      <c r="C1453" s="1">
        <v>45233</v>
      </c>
      <c r="D1453" s="1">
        <v>45640</v>
      </c>
      <c r="E1453" t="s">
        <v>39</v>
      </c>
      <c r="F1453">
        <v>31</v>
      </c>
      <c r="G1453" s="12">
        <v>1519</v>
      </c>
      <c r="H1453" s="12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1047</v>
      </c>
      <c r="N1453" t="b">
        <v>1</v>
      </c>
    </row>
    <row r="1454" spans="1:14" x14ac:dyDescent="0.3">
      <c r="A1454" t="s">
        <v>2500</v>
      </c>
      <c r="B1454" t="s">
        <v>696</v>
      </c>
      <c r="C1454" s="1">
        <v>45556</v>
      </c>
      <c r="E1454" t="s">
        <v>32</v>
      </c>
      <c r="F1454">
        <v>11</v>
      </c>
      <c r="G1454" s="12">
        <v>2189</v>
      </c>
      <c r="H1454" s="12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1050</v>
      </c>
      <c r="N1454" t="b">
        <v>1</v>
      </c>
    </row>
    <row r="1455" spans="1:14" x14ac:dyDescent="0.3">
      <c r="A1455" t="s">
        <v>2501</v>
      </c>
      <c r="B1455" t="s">
        <v>472</v>
      </c>
      <c r="C1455" s="1">
        <v>45516</v>
      </c>
      <c r="E1455" t="s">
        <v>32</v>
      </c>
      <c r="F1455">
        <v>15</v>
      </c>
      <c r="G1455" s="12">
        <v>0</v>
      </c>
      <c r="H1455" s="12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1050</v>
      </c>
      <c r="N1455" t="b">
        <v>1</v>
      </c>
    </row>
    <row r="1456" spans="1:14" x14ac:dyDescent="0.3">
      <c r="A1456" t="s">
        <v>2502</v>
      </c>
      <c r="B1456" t="s">
        <v>234</v>
      </c>
      <c r="C1456" s="1">
        <v>45437</v>
      </c>
      <c r="E1456" t="s">
        <v>39</v>
      </c>
      <c r="F1456">
        <v>14</v>
      </c>
      <c r="G1456" s="12">
        <v>686</v>
      </c>
      <c r="H1456" s="12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1050</v>
      </c>
      <c r="N1456" t="b">
        <v>1</v>
      </c>
    </row>
    <row r="1457" spans="1:14" x14ac:dyDescent="0.3">
      <c r="A1457" t="s">
        <v>2503</v>
      </c>
      <c r="B1457" t="s">
        <v>668</v>
      </c>
      <c r="C1457" s="1">
        <v>45608</v>
      </c>
      <c r="E1457" t="s">
        <v>39</v>
      </c>
      <c r="F1457">
        <v>14</v>
      </c>
      <c r="G1457" s="12">
        <v>686</v>
      </c>
      <c r="H1457" s="12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1047</v>
      </c>
      <c r="N1457" t="b">
        <v>1</v>
      </c>
    </row>
    <row r="1458" spans="1:14" x14ac:dyDescent="0.3">
      <c r="A1458" t="s">
        <v>2504</v>
      </c>
      <c r="B1458" t="s">
        <v>932</v>
      </c>
      <c r="C1458" s="1">
        <v>45421</v>
      </c>
      <c r="E1458" t="s">
        <v>32</v>
      </c>
      <c r="F1458">
        <v>29</v>
      </c>
      <c r="G1458" s="12">
        <v>5771</v>
      </c>
      <c r="H1458" s="12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1047</v>
      </c>
      <c r="N1458" t="b">
        <v>1</v>
      </c>
    </row>
    <row r="1459" spans="1:14" x14ac:dyDescent="0.3">
      <c r="A1459" t="s">
        <v>2505</v>
      </c>
      <c r="B1459" t="s">
        <v>620</v>
      </c>
      <c r="C1459" s="1">
        <v>45593</v>
      </c>
      <c r="E1459" t="s">
        <v>15</v>
      </c>
      <c r="F1459">
        <v>12</v>
      </c>
      <c r="G1459" s="12">
        <v>228</v>
      </c>
      <c r="H1459" s="12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1050</v>
      </c>
      <c r="N1459" t="b">
        <v>1</v>
      </c>
    </row>
    <row r="1460" spans="1:14" x14ac:dyDescent="0.3">
      <c r="A1460" t="s">
        <v>2506</v>
      </c>
      <c r="B1460" t="s">
        <v>304</v>
      </c>
      <c r="C1460" s="1">
        <v>45654</v>
      </c>
      <c r="E1460" t="s">
        <v>32</v>
      </c>
      <c r="F1460">
        <v>82</v>
      </c>
      <c r="G1460" s="12">
        <v>0</v>
      </c>
      <c r="H1460" s="12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1050</v>
      </c>
      <c r="N1460" t="b">
        <v>1</v>
      </c>
    </row>
    <row r="1461" spans="1:14" x14ac:dyDescent="0.3">
      <c r="A1461" t="s">
        <v>2507</v>
      </c>
      <c r="B1461" t="s">
        <v>986</v>
      </c>
      <c r="C1461" s="1">
        <v>45439</v>
      </c>
      <c r="E1461" t="s">
        <v>32</v>
      </c>
      <c r="F1461">
        <v>54</v>
      </c>
      <c r="G1461" s="12">
        <v>0</v>
      </c>
      <c r="H1461" s="12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1047</v>
      </c>
      <c r="N1461" t="b">
        <v>1</v>
      </c>
    </row>
    <row r="1462" spans="1:14" x14ac:dyDescent="0.3">
      <c r="A1462" t="s">
        <v>2508</v>
      </c>
      <c r="B1462" t="s">
        <v>564</v>
      </c>
      <c r="C1462" s="1">
        <v>45656</v>
      </c>
      <c r="E1462" t="s">
        <v>39</v>
      </c>
      <c r="F1462">
        <v>22</v>
      </c>
      <c r="G1462" s="12">
        <v>1078</v>
      </c>
      <c r="H1462" s="1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1050</v>
      </c>
      <c r="N1462" t="b">
        <v>1</v>
      </c>
    </row>
    <row r="1463" spans="1:14" x14ac:dyDescent="0.3">
      <c r="A1463" t="s">
        <v>2509</v>
      </c>
      <c r="B1463" t="s">
        <v>180</v>
      </c>
      <c r="C1463" s="1">
        <v>45391</v>
      </c>
      <c r="E1463" t="s">
        <v>15</v>
      </c>
      <c r="F1463">
        <v>12</v>
      </c>
      <c r="G1463" s="12">
        <v>228</v>
      </c>
      <c r="H1463" s="12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1050</v>
      </c>
      <c r="N1463" t="b">
        <v>1</v>
      </c>
    </row>
    <row r="1464" spans="1:14" x14ac:dyDescent="0.3">
      <c r="A1464" t="s">
        <v>2510</v>
      </c>
      <c r="B1464" t="s">
        <v>894</v>
      </c>
      <c r="C1464" s="1">
        <v>45455</v>
      </c>
      <c r="E1464" t="s">
        <v>39</v>
      </c>
      <c r="F1464">
        <v>77</v>
      </c>
      <c r="G1464" s="12">
        <v>0</v>
      </c>
      <c r="H1464" s="12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1050</v>
      </c>
      <c r="N1464" t="b">
        <v>0</v>
      </c>
    </row>
    <row r="1465" spans="1:14" x14ac:dyDescent="0.3">
      <c r="A1465" t="s">
        <v>2511</v>
      </c>
      <c r="B1465" t="s">
        <v>910</v>
      </c>
      <c r="C1465" s="1">
        <v>45636</v>
      </c>
      <c r="E1465" t="s">
        <v>32</v>
      </c>
      <c r="F1465">
        <v>8</v>
      </c>
      <c r="G1465" s="12">
        <v>1592</v>
      </c>
      <c r="H1465" s="12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1047</v>
      </c>
      <c r="N1465" t="b">
        <v>0</v>
      </c>
    </row>
    <row r="1466" spans="1:14" x14ac:dyDescent="0.3">
      <c r="A1466" t="s">
        <v>2512</v>
      </c>
      <c r="B1466" t="s">
        <v>896</v>
      </c>
      <c r="C1466" s="1">
        <v>45533</v>
      </c>
      <c r="E1466" t="s">
        <v>39</v>
      </c>
      <c r="F1466">
        <v>24</v>
      </c>
      <c r="G1466" s="12">
        <v>0</v>
      </c>
      <c r="H1466" s="12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1050</v>
      </c>
      <c r="N1466" t="b">
        <v>1</v>
      </c>
    </row>
    <row r="1467" spans="1:14" x14ac:dyDescent="0.3">
      <c r="A1467" t="s">
        <v>2513</v>
      </c>
      <c r="B1467" t="s">
        <v>690</v>
      </c>
      <c r="C1467" s="1">
        <v>45379</v>
      </c>
      <c r="E1467" t="s">
        <v>39</v>
      </c>
      <c r="F1467">
        <v>32</v>
      </c>
      <c r="G1467" s="12">
        <v>0</v>
      </c>
      <c r="H1467" s="12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1047</v>
      </c>
      <c r="N1467" t="b">
        <v>0</v>
      </c>
    </row>
    <row r="1468" spans="1:14" x14ac:dyDescent="0.3">
      <c r="A1468" t="s">
        <v>2514</v>
      </c>
      <c r="B1468" t="s">
        <v>444</v>
      </c>
      <c r="C1468" s="1">
        <v>45515</v>
      </c>
      <c r="D1468" s="1">
        <v>45553</v>
      </c>
      <c r="E1468" t="s">
        <v>15</v>
      </c>
      <c r="F1468">
        <v>41</v>
      </c>
      <c r="G1468" s="12">
        <v>779</v>
      </c>
      <c r="H1468" s="12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1047</v>
      </c>
      <c r="N1468" t="b">
        <v>0</v>
      </c>
    </row>
    <row r="1469" spans="1:14" x14ac:dyDescent="0.3">
      <c r="A1469" t="s">
        <v>2515</v>
      </c>
      <c r="B1469" t="s">
        <v>55</v>
      </c>
      <c r="C1469" s="1">
        <v>45641</v>
      </c>
      <c r="E1469" t="s">
        <v>39</v>
      </c>
      <c r="F1469">
        <v>2</v>
      </c>
      <c r="G1469" s="12">
        <v>98</v>
      </c>
      <c r="H1469" s="12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1050</v>
      </c>
      <c r="N1469" t="b">
        <v>1</v>
      </c>
    </row>
    <row r="1470" spans="1:14" x14ac:dyDescent="0.3">
      <c r="A1470" t="s">
        <v>2516</v>
      </c>
      <c r="B1470" t="s">
        <v>526</v>
      </c>
      <c r="C1470" s="1">
        <v>45638</v>
      </c>
      <c r="E1470" t="s">
        <v>39</v>
      </c>
      <c r="F1470">
        <v>47</v>
      </c>
      <c r="G1470" s="12">
        <v>2303</v>
      </c>
      <c r="H1470" s="12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1050</v>
      </c>
      <c r="N1470" t="b">
        <v>1</v>
      </c>
    </row>
    <row r="1471" spans="1:14" x14ac:dyDescent="0.3">
      <c r="A1471" t="s">
        <v>2517</v>
      </c>
      <c r="B1471" t="s">
        <v>692</v>
      </c>
      <c r="C1471" s="1">
        <v>45294</v>
      </c>
      <c r="E1471" t="s">
        <v>15</v>
      </c>
      <c r="F1471">
        <v>24</v>
      </c>
      <c r="G1471" s="12">
        <v>456</v>
      </c>
      <c r="H1471" s="12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1047</v>
      </c>
      <c r="N1471" t="b">
        <v>1</v>
      </c>
    </row>
    <row r="1472" spans="1:14" x14ac:dyDescent="0.3">
      <c r="A1472" t="s">
        <v>2518</v>
      </c>
      <c r="B1472" t="s">
        <v>308</v>
      </c>
      <c r="C1472" s="1">
        <v>45558</v>
      </c>
      <c r="E1472" t="s">
        <v>15</v>
      </c>
      <c r="F1472">
        <v>16</v>
      </c>
      <c r="G1472" s="12">
        <v>304</v>
      </c>
      <c r="H1472" s="1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1050</v>
      </c>
      <c r="N1472" t="b">
        <v>1</v>
      </c>
    </row>
    <row r="1473" spans="1:14" x14ac:dyDescent="0.3">
      <c r="A1473" t="s">
        <v>2519</v>
      </c>
      <c r="B1473" t="s">
        <v>838</v>
      </c>
      <c r="C1473" s="1">
        <v>45386</v>
      </c>
      <c r="E1473" t="s">
        <v>32</v>
      </c>
      <c r="F1473">
        <v>10</v>
      </c>
      <c r="G1473" s="12">
        <v>1990</v>
      </c>
      <c r="H1473" s="12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1047</v>
      </c>
      <c r="N1473" t="b">
        <v>1</v>
      </c>
    </row>
    <row r="1474" spans="1:14" x14ac:dyDescent="0.3">
      <c r="A1474" t="s">
        <v>2520</v>
      </c>
      <c r="B1474" t="s">
        <v>688</v>
      </c>
      <c r="C1474" s="1">
        <v>45615</v>
      </c>
      <c r="E1474" t="s">
        <v>32</v>
      </c>
      <c r="F1474">
        <v>11</v>
      </c>
      <c r="G1474" s="12">
        <v>2189</v>
      </c>
      <c r="H1474" s="12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1050</v>
      </c>
      <c r="N1474" t="b">
        <v>1</v>
      </c>
    </row>
    <row r="1475" spans="1:14" x14ac:dyDescent="0.3">
      <c r="A1475" t="s">
        <v>2521</v>
      </c>
      <c r="B1475" t="s">
        <v>830</v>
      </c>
      <c r="C1475" s="1">
        <v>45653</v>
      </c>
      <c r="E1475" t="s">
        <v>15</v>
      </c>
      <c r="F1475">
        <v>28</v>
      </c>
      <c r="G1475" s="12">
        <v>532</v>
      </c>
      <c r="H1475" s="12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1047</v>
      </c>
      <c r="N1475" t="b">
        <v>1</v>
      </c>
    </row>
    <row r="1476" spans="1:14" x14ac:dyDescent="0.3">
      <c r="A1476" t="s">
        <v>2522</v>
      </c>
      <c r="B1476" t="s">
        <v>350</v>
      </c>
      <c r="C1476" s="1">
        <v>45606</v>
      </c>
      <c r="E1476" t="s">
        <v>15</v>
      </c>
      <c r="F1476">
        <v>47</v>
      </c>
      <c r="G1476" s="12">
        <v>893</v>
      </c>
      <c r="H1476" s="12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1050</v>
      </c>
      <c r="N1476" t="b">
        <v>1</v>
      </c>
    </row>
    <row r="1477" spans="1:14" x14ac:dyDescent="0.3">
      <c r="A1477" t="s">
        <v>2523</v>
      </c>
      <c r="B1477" t="s">
        <v>948</v>
      </c>
      <c r="C1477" s="1">
        <v>45607</v>
      </c>
      <c r="E1477" t="s">
        <v>32</v>
      </c>
      <c r="F1477">
        <v>17</v>
      </c>
      <c r="G1477" s="12">
        <v>3383</v>
      </c>
      <c r="H1477" s="12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1047</v>
      </c>
      <c r="N1477" t="b">
        <v>1</v>
      </c>
    </row>
    <row r="1478" spans="1:14" x14ac:dyDescent="0.3">
      <c r="A1478" t="s">
        <v>2524</v>
      </c>
      <c r="B1478" t="s">
        <v>436</v>
      </c>
      <c r="C1478" s="1">
        <v>45638</v>
      </c>
      <c r="E1478" t="s">
        <v>32</v>
      </c>
      <c r="F1478">
        <v>30</v>
      </c>
      <c r="G1478" s="12">
        <v>5970</v>
      </c>
      <c r="H1478" s="12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1047</v>
      </c>
      <c r="N1478" t="b">
        <v>0</v>
      </c>
    </row>
    <row r="1479" spans="1:14" x14ac:dyDescent="0.3">
      <c r="A1479" t="s">
        <v>2525</v>
      </c>
      <c r="B1479" t="s">
        <v>270</v>
      </c>
      <c r="C1479" s="1">
        <v>45373</v>
      </c>
      <c r="D1479" s="1">
        <v>45629</v>
      </c>
      <c r="E1479" t="s">
        <v>32</v>
      </c>
      <c r="F1479">
        <v>63</v>
      </c>
      <c r="G1479" s="12">
        <v>12537</v>
      </c>
      <c r="H1479" s="12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1047</v>
      </c>
      <c r="N1479" t="b">
        <v>1</v>
      </c>
    </row>
    <row r="1480" spans="1:14" x14ac:dyDescent="0.3">
      <c r="A1480" t="s">
        <v>2526</v>
      </c>
      <c r="B1480" t="s">
        <v>564</v>
      </c>
      <c r="C1480" s="1">
        <v>45657</v>
      </c>
      <c r="E1480" t="s">
        <v>39</v>
      </c>
      <c r="F1480">
        <v>18</v>
      </c>
      <c r="G1480" s="12">
        <v>882</v>
      </c>
      <c r="H1480" s="12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1047</v>
      </c>
      <c r="N1480" t="b">
        <v>1</v>
      </c>
    </row>
    <row r="1481" spans="1:14" x14ac:dyDescent="0.3">
      <c r="A1481" t="s">
        <v>2527</v>
      </c>
      <c r="B1481" t="s">
        <v>272</v>
      </c>
      <c r="C1481" s="1">
        <v>45633</v>
      </c>
      <c r="E1481" t="s">
        <v>15</v>
      </c>
      <c r="F1481">
        <v>119</v>
      </c>
      <c r="G1481" s="12">
        <v>2261</v>
      </c>
      <c r="H1481" s="12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1050</v>
      </c>
      <c r="N1481" t="b">
        <v>1</v>
      </c>
    </row>
    <row r="1482" spans="1:14" x14ac:dyDescent="0.3">
      <c r="A1482" t="s">
        <v>2528</v>
      </c>
      <c r="B1482" t="s">
        <v>366</v>
      </c>
      <c r="C1482" s="1">
        <v>45478</v>
      </c>
      <c r="E1482" t="s">
        <v>32</v>
      </c>
      <c r="F1482">
        <v>31</v>
      </c>
      <c r="G1482" s="12">
        <v>6169</v>
      </c>
      <c r="H1482" s="1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1047</v>
      </c>
      <c r="N1482" t="b">
        <v>1</v>
      </c>
    </row>
    <row r="1483" spans="1:14" x14ac:dyDescent="0.3">
      <c r="A1483" t="s">
        <v>2529</v>
      </c>
      <c r="B1483" t="s">
        <v>986</v>
      </c>
      <c r="C1483" s="1">
        <v>45366</v>
      </c>
      <c r="E1483" t="s">
        <v>15</v>
      </c>
      <c r="F1483">
        <v>3</v>
      </c>
      <c r="G1483" s="12">
        <v>57</v>
      </c>
      <c r="H1483" s="12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1047</v>
      </c>
      <c r="N1483" t="b">
        <v>1</v>
      </c>
    </row>
    <row r="1484" spans="1:14" x14ac:dyDescent="0.3">
      <c r="A1484" t="s">
        <v>2530</v>
      </c>
      <c r="B1484" t="s">
        <v>138</v>
      </c>
      <c r="C1484" s="1">
        <v>45108</v>
      </c>
      <c r="D1484" s="1">
        <v>45389</v>
      </c>
      <c r="E1484" t="s">
        <v>15</v>
      </c>
      <c r="F1484">
        <v>20</v>
      </c>
      <c r="G1484" s="12">
        <v>380</v>
      </c>
      <c r="H1484" s="12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1050</v>
      </c>
      <c r="N1484" t="b">
        <v>1</v>
      </c>
    </row>
    <row r="1485" spans="1:14" x14ac:dyDescent="0.3">
      <c r="A1485" t="s">
        <v>2531</v>
      </c>
      <c r="B1485" t="s">
        <v>448</v>
      </c>
      <c r="C1485" s="1">
        <v>45382</v>
      </c>
      <c r="E1485" t="s">
        <v>32</v>
      </c>
      <c r="F1485">
        <v>27</v>
      </c>
      <c r="G1485" s="12">
        <v>5373</v>
      </c>
      <c r="H1485" s="12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1047</v>
      </c>
      <c r="N1485" t="b">
        <v>1</v>
      </c>
    </row>
    <row r="1486" spans="1:14" x14ac:dyDescent="0.3">
      <c r="A1486" t="s">
        <v>2532</v>
      </c>
      <c r="B1486" t="s">
        <v>532</v>
      </c>
      <c r="C1486" s="1">
        <v>45650</v>
      </c>
      <c r="E1486" t="s">
        <v>39</v>
      </c>
      <c r="F1486">
        <v>72</v>
      </c>
      <c r="G1486" s="12">
        <v>3528</v>
      </c>
      <c r="H1486" s="12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1047</v>
      </c>
      <c r="N1486" t="b">
        <v>1</v>
      </c>
    </row>
    <row r="1487" spans="1:14" x14ac:dyDescent="0.3">
      <c r="A1487" t="s">
        <v>2533</v>
      </c>
      <c r="B1487" t="s">
        <v>354</v>
      </c>
      <c r="C1487" s="1">
        <v>45656</v>
      </c>
      <c r="E1487" t="s">
        <v>39</v>
      </c>
      <c r="F1487">
        <v>31</v>
      </c>
      <c r="G1487" s="12">
        <v>1519</v>
      </c>
      <c r="H1487" s="12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1050</v>
      </c>
      <c r="N1487" t="b">
        <v>0</v>
      </c>
    </row>
    <row r="1488" spans="1:14" x14ac:dyDescent="0.3">
      <c r="A1488" t="s">
        <v>2534</v>
      </c>
      <c r="B1488" t="s">
        <v>728</v>
      </c>
      <c r="C1488" s="1">
        <v>45346</v>
      </c>
      <c r="E1488" t="s">
        <v>39</v>
      </c>
      <c r="F1488">
        <v>23</v>
      </c>
      <c r="G1488" s="12">
        <v>0</v>
      </c>
      <c r="H1488" s="12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1047</v>
      </c>
      <c r="N1488" t="b">
        <v>1</v>
      </c>
    </row>
    <row r="1489" spans="1:14" x14ac:dyDescent="0.3">
      <c r="A1489" t="s">
        <v>2535</v>
      </c>
      <c r="B1489" t="s">
        <v>400</v>
      </c>
      <c r="C1489" s="1">
        <v>45647</v>
      </c>
      <c r="E1489" t="s">
        <v>32</v>
      </c>
      <c r="F1489">
        <v>18</v>
      </c>
      <c r="G1489" s="12">
        <v>3582</v>
      </c>
      <c r="H1489" s="12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1050</v>
      </c>
      <c r="N1489" t="b">
        <v>0</v>
      </c>
    </row>
    <row r="1490" spans="1:14" x14ac:dyDescent="0.3">
      <c r="A1490" t="s">
        <v>2536</v>
      </c>
      <c r="B1490" t="s">
        <v>870</v>
      </c>
      <c r="C1490" s="1">
        <v>45602</v>
      </c>
      <c r="E1490" t="s">
        <v>15</v>
      </c>
      <c r="F1490">
        <v>6</v>
      </c>
      <c r="G1490" s="12">
        <v>114</v>
      </c>
      <c r="H1490" s="12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1047</v>
      </c>
      <c r="N1490" t="b">
        <v>1</v>
      </c>
    </row>
    <row r="1491" spans="1:14" x14ac:dyDescent="0.3">
      <c r="A1491" t="s">
        <v>2537</v>
      </c>
      <c r="B1491" t="s">
        <v>890</v>
      </c>
      <c r="C1491" s="1">
        <v>45647</v>
      </c>
      <c r="E1491" t="s">
        <v>32</v>
      </c>
      <c r="F1491">
        <v>47</v>
      </c>
      <c r="G1491" s="12">
        <v>9353</v>
      </c>
      <c r="H1491" s="12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1047</v>
      </c>
      <c r="N1491" t="b">
        <v>1</v>
      </c>
    </row>
    <row r="1492" spans="1:14" x14ac:dyDescent="0.3">
      <c r="A1492" t="s">
        <v>2538</v>
      </c>
      <c r="B1492" t="s">
        <v>736</v>
      </c>
      <c r="C1492" s="1">
        <v>45638</v>
      </c>
      <c r="E1492" t="s">
        <v>32</v>
      </c>
      <c r="F1492">
        <v>23</v>
      </c>
      <c r="G1492" s="12">
        <v>4577</v>
      </c>
      <c r="H1492" s="1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1047</v>
      </c>
      <c r="N1492" t="b">
        <v>1</v>
      </c>
    </row>
    <row r="1493" spans="1:14" x14ac:dyDescent="0.3">
      <c r="A1493" t="s">
        <v>2539</v>
      </c>
      <c r="B1493" t="s">
        <v>288</v>
      </c>
      <c r="C1493" s="1">
        <v>45640</v>
      </c>
      <c r="E1493" t="s">
        <v>39</v>
      </c>
      <c r="F1493">
        <v>10</v>
      </c>
      <c r="G1493" s="12">
        <v>490</v>
      </c>
      <c r="H1493" s="12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1050</v>
      </c>
      <c r="N1493" t="b">
        <v>0</v>
      </c>
    </row>
    <row r="1494" spans="1:14" x14ac:dyDescent="0.3">
      <c r="A1494" t="s">
        <v>2540</v>
      </c>
      <c r="B1494" t="s">
        <v>684</v>
      </c>
      <c r="C1494" s="1">
        <v>45602</v>
      </c>
      <c r="E1494" t="s">
        <v>39</v>
      </c>
      <c r="F1494">
        <v>36</v>
      </c>
      <c r="G1494" s="12">
        <v>1764</v>
      </c>
      <c r="H1494" s="12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1047</v>
      </c>
      <c r="N1494" t="b">
        <v>1</v>
      </c>
    </row>
    <row r="1495" spans="1:14" x14ac:dyDescent="0.3">
      <c r="A1495" t="s">
        <v>2541</v>
      </c>
      <c r="B1495" t="s">
        <v>576</v>
      </c>
      <c r="C1495" s="1">
        <v>45510</v>
      </c>
      <c r="E1495" t="s">
        <v>39</v>
      </c>
      <c r="F1495">
        <v>8</v>
      </c>
      <c r="G1495" s="12">
        <v>392</v>
      </c>
      <c r="H1495" s="12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1050</v>
      </c>
      <c r="N1495" t="b">
        <v>0</v>
      </c>
    </row>
    <row r="1496" spans="1:14" x14ac:dyDescent="0.3">
      <c r="A1496" t="s">
        <v>2542</v>
      </c>
      <c r="B1496" t="s">
        <v>29</v>
      </c>
      <c r="C1496" s="1">
        <v>45642</v>
      </c>
      <c r="E1496" t="s">
        <v>39</v>
      </c>
      <c r="F1496">
        <v>35</v>
      </c>
      <c r="G1496" s="12">
        <v>1715</v>
      </c>
      <c r="H1496" s="12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1050</v>
      </c>
      <c r="N1496" t="b">
        <v>1</v>
      </c>
    </row>
    <row r="1497" spans="1:14" x14ac:dyDescent="0.3">
      <c r="A1497" t="s">
        <v>2543</v>
      </c>
      <c r="B1497" t="s">
        <v>122</v>
      </c>
      <c r="C1497" s="1">
        <v>45264</v>
      </c>
      <c r="E1497" t="s">
        <v>39</v>
      </c>
      <c r="F1497">
        <v>16</v>
      </c>
      <c r="G1497" s="12">
        <v>784</v>
      </c>
      <c r="H1497" s="12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1047</v>
      </c>
      <c r="N1497" t="b">
        <v>1</v>
      </c>
    </row>
    <row r="1498" spans="1:14" x14ac:dyDescent="0.3">
      <c r="A1498" t="s">
        <v>2544</v>
      </c>
      <c r="B1498" t="s">
        <v>910</v>
      </c>
      <c r="C1498" s="1">
        <v>45639</v>
      </c>
      <c r="E1498" t="s">
        <v>39</v>
      </c>
      <c r="F1498">
        <v>6</v>
      </c>
      <c r="G1498" s="12">
        <v>0</v>
      </c>
      <c r="H1498" s="12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1050</v>
      </c>
      <c r="N1498" t="b">
        <v>1</v>
      </c>
    </row>
    <row r="1499" spans="1:14" x14ac:dyDescent="0.3">
      <c r="A1499" t="s">
        <v>2545</v>
      </c>
      <c r="B1499" t="s">
        <v>930</v>
      </c>
      <c r="C1499" s="1">
        <v>45423</v>
      </c>
      <c r="D1499" s="1">
        <v>45493</v>
      </c>
      <c r="E1499" t="s">
        <v>15</v>
      </c>
      <c r="F1499">
        <v>40</v>
      </c>
      <c r="G1499" s="12">
        <v>760</v>
      </c>
      <c r="H1499" s="12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1047</v>
      </c>
      <c r="N1499" t="b">
        <v>0</v>
      </c>
    </row>
    <row r="1500" spans="1:14" x14ac:dyDescent="0.3">
      <c r="A1500" t="s">
        <v>2546</v>
      </c>
      <c r="B1500" t="s">
        <v>872</v>
      </c>
      <c r="C1500" s="1">
        <v>45637</v>
      </c>
      <c r="E1500" t="s">
        <v>39</v>
      </c>
      <c r="F1500">
        <v>19</v>
      </c>
      <c r="G1500" s="12">
        <v>931</v>
      </c>
      <c r="H1500" s="12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1050</v>
      </c>
      <c r="N1500" t="b">
        <v>1</v>
      </c>
    </row>
    <row r="1501" spans="1:14" x14ac:dyDescent="0.3">
      <c r="A1501" t="s">
        <v>2547</v>
      </c>
      <c r="B1501" t="s">
        <v>784</v>
      </c>
      <c r="C1501" s="1">
        <v>45633</v>
      </c>
      <c r="E1501" t="s">
        <v>39</v>
      </c>
      <c r="F1501">
        <v>18</v>
      </c>
      <c r="G1501" s="12">
        <v>882</v>
      </c>
      <c r="H1501" s="12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1050</v>
      </c>
      <c r="N1501" t="b">
        <v>1</v>
      </c>
    </row>
    <row r="1502" spans="1:14" x14ac:dyDescent="0.3">
      <c r="A1502" t="s">
        <v>2548</v>
      </c>
      <c r="B1502" t="s">
        <v>926</v>
      </c>
      <c r="C1502" s="1">
        <v>45153</v>
      </c>
      <c r="E1502" t="s">
        <v>15</v>
      </c>
      <c r="F1502">
        <v>27</v>
      </c>
      <c r="G1502" s="12">
        <v>0</v>
      </c>
      <c r="H1502" s="1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1050</v>
      </c>
      <c r="N1502" t="b">
        <v>1</v>
      </c>
    </row>
    <row r="1503" spans="1:14" x14ac:dyDescent="0.3">
      <c r="A1503" t="s">
        <v>2549</v>
      </c>
      <c r="B1503" t="s">
        <v>548</v>
      </c>
      <c r="C1503" s="1">
        <v>45496</v>
      </c>
      <c r="E1503" t="s">
        <v>39</v>
      </c>
      <c r="F1503">
        <v>25</v>
      </c>
      <c r="G1503" s="12">
        <v>1225</v>
      </c>
      <c r="H1503" s="12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1050</v>
      </c>
      <c r="N1503" t="b">
        <v>1</v>
      </c>
    </row>
    <row r="1504" spans="1:14" x14ac:dyDescent="0.3">
      <c r="A1504" t="s">
        <v>2550</v>
      </c>
      <c r="B1504" t="s">
        <v>646</v>
      </c>
      <c r="C1504" s="1">
        <v>45566</v>
      </c>
      <c r="E1504" t="s">
        <v>32</v>
      </c>
      <c r="F1504">
        <v>11</v>
      </c>
      <c r="G1504" s="12">
        <v>2189</v>
      </c>
      <c r="H1504" s="12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1050</v>
      </c>
      <c r="N1504" t="b">
        <v>1</v>
      </c>
    </row>
    <row r="1505" spans="1:14" x14ac:dyDescent="0.3">
      <c r="A1505" t="s">
        <v>2551</v>
      </c>
      <c r="B1505" t="s">
        <v>494</v>
      </c>
      <c r="C1505" s="1">
        <v>45005</v>
      </c>
      <c r="E1505" t="s">
        <v>15</v>
      </c>
      <c r="F1505">
        <v>26</v>
      </c>
      <c r="G1505" s="12">
        <v>494</v>
      </c>
      <c r="H1505" s="12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1047</v>
      </c>
      <c r="N1505" t="b">
        <v>1</v>
      </c>
    </row>
    <row r="1506" spans="1:14" x14ac:dyDescent="0.3">
      <c r="A1506" t="s">
        <v>2552</v>
      </c>
      <c r="B1506" t="s">
        <v>674</v>
      </c>
      <c r="C1506" s="1">
        <v>45607</v>
      </c>
      <c r="E1506" t="s">
        <v>32</v>
      </c>
      <c r="F1506">
        <v>25</v>
      </c>
      <c r="G1506" s="12">
        <v>4975</v>
      </c>
      <c r="H1506" s="12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1047</v>
      </c>
      <c r="N1506" t="b">
        <v>1</v>
      </c>
    </row>
    <row r="1507" spans="1:14" x14ac:dyDescent="0.3">
      <c r="A1507" t="s">
        <v>2553</v>
      </c>
      <c r="B1507" t="s">
        <v>16</v>
      </c>
      <c r="C1507" s="1">
        <v>45360</v>
      </c>
      <c r="E1507" t="s">
        <v>15</v>
      </c>
      <c r="F1507">
        <v>27</v>
      </c>
      <c r="G1507" s="12">
        <v>513</v>
      </c>
      <c r="H1507" s="12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1050</v>
      </c>
      <c r="N1507" t="b">
        <v>1</v>
      </c>
    </row>
    <row r="1508" spans="1:14" x14ac:dyDescent="0.3">
      <c r="A1508" t="s">
        <v>2554</v>
      </c>
      <c r="B1508" t="s">
        <v>350</v>
      </c>
      <c r="C1508" s="1">
        <v>45551</v>
      </c>
      <c r="E1508" t="s">
        <v>15</v>
      </c>
      <c r="F1508">
        <v>19</v>
      </c>
      <c r="G1508" s="12">
        <v>0</v>
      </c>
      <c r="H1508" s="12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1047</v>
      </c>
      <c r="N1508" t="b">
        <v>1</v>
      </c>
    </row>
    <row r="1509" spans="1:14" x14ac:dyDescent="0.3">
      <c r="A1509" t="s">
        <v>2555</v>
      </c>
      <c r="B1509" t="s">
        <v>284</v>
      </c>
      <c r="C1509" s="1">
        <v>45506</v>
      </c>
      <c r="E1509" t="s">
        <v>32</v>
      </c>
      <c r="F1509">
        <v>26</v>
      </c>
      <c r="G1509" s="12">
        <v>5174</v>
      </c>
      <c r="H1509" s="12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1047</v>
      </c>
      <c r="N1509" t="b">
        <v>0</v>
      </c>
    </row>
    <row r="1510" spans="1:14" x14ac:dyDescent="0.3">
      <c r="A1510" t="s">
        <v>2556</v>
      </c>
      <c r="B1510" t="s">
        <v>896</v>
      </c>
      <c r="C1510" s="1">
        <v>45580</v>
      </c>
      <c r="E1510" t="s">
        <v>32</v>
      </c>
      <c r="F1510">
        <v>24</v>
      </c>
      <c r="G1510" s="12">
        <v>4776</v>
      </c>
      <c r="H1510" s="12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1050</v>
      </c>
      <c r="N1510" t="b">
        <v>1</v>
      </c>
    </row>
    <row r="1511" spans="1:14" x14ac:dyDescent="0.3">
      <c r="A1511" t="s">
        <v>2557</v>
      </c>
      <c r="B1511" t="s">
        <v>840</v>
      </c>
      <c r="C1511" s="1">
        <v>45585</v>
      </c>
      <c r="E1511" t="s">
        <v>39</v>
      </c>
      <c r="F1511">
        <v>27</v>
      </c>
      <c r="G1511" s="12">
        <v>1323</v>
      </c>
      <c r="H1511" s="12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1050</v>
      </c>
      <c r="N1511" t="b">
        <v>0</v>
      </c>
    </row>
    <row r="1512" spans="1:14" x14ac:dyDescent="0.3">
      <c r="A1512" t="s">
        <v>2558</v>
      </c>
      <c r="B1512" t="s">
        <v>924</v>
      </c>
      <c r="C1512" s="1">
        <v>45606</v>
      </c>
      <c r="D1512" s="1">
        <v>45622</v>
      </c>
      <c r="E1512" t="s">
        <v>15</v>
      </c>
      <c r="F1512">
        <v>12</v>
      </c>
      <c r="G1512" s="12">
        <v>228</v>
      </c>
      <c r="H1512" s="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1047</v>
      </c>
      <c r="N1512" t="b">
        <v>1</v>
      </c>
    </row>
    <row r="1513" spans="1:14" x14ac:dyDescent="0.3">
      <c r="A1513" t="s">
        <v>2559</v>
      </c>
      <c r="B1513" t="s">
        <v>732</v>
      </c>
      <c r="C1513" s="1">
        <v>45492</v>
      </c>
      <c r="E1513" t="s">
        <v>39</v>
      </c>
      <c r="F1513">
        <v>37</v>
      </c>
      <c r="G1513" s="12">
        <v>1813</v>
      </c>
      <c r="H1513" s="12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1050</v>
      </c>
      <c r="N1513" t="b">
        <v>0</v>
      </c>
    </row>
    <row r="1514" spans="1:14" x14ac:dyDescent="0.3">
      <c r="A1514" t="s">
        <v>2560</v>
      </c>
      <c r="B1514" t="s">
        <v>232</v>
      </c>
      <c r="C1514" s="1">
        <v>45231</v>
      </c>
      <c r="E1514" t="s">
        <v>39</v>
      </c>
      <c r="F1514">
        <v>20</v>
      </c>
      <c r="G1514" s="12">
        <v>980</v>
      </c>
      <c r="H1514" s="12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1050</v>
      </c>
      <c r="N1514" t="b">
        <v>0</v>
      </c>
    </row>
    <row r="1515" spans="1:14" x14ac:dyDescent="0.3">
      <c r="A1515" t="s">
        <v>2561</v>
      </c>
      <c r="B1515" t="s">
        <v>216</v>
      </c>
      <c r="C1515" s="1">
        <v>45638</v>
      </c>
      <c r="E1515" t="s">
        <v>39</v>
      </c>
      <c r="F1515">
        <v>31</v>
      </c>
      <c r="G1515" s="12">
        <v>1519</v>
      </c>
      <c r="H1515" s="12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1047</v>
      </c>
      <c r="N1515" t="b">
        <v>1</v>
      </c>
    </row>
    <row r="1516" spans="1:14" x14ac:dyDescent="0.3">
      <c r="A1516" t="s">
        <v>2562</v>
      </c>
      <c r="B1516" t="s">
        <v>47</v>
      </c>
      <c r="C1516" s="1">
        <v>45562</v>
      </c>
      <c r="D1516" s="1">
        <v>45644</v>
      </c>
      <c r="E1516" t="s">
        <v>32</v>
      </c>
      <c r="F1516">
        <v>18</v>
      </c>
      <c r="G1516" s="12">
        <v>3582</v>
      </c>
      <c r="H1516" s="12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1047</v>
      </c>
      <c r="N1516" t="b">
        <v>1</v>
      </c>
    </row>
    <row r="1517" spans="1:14" x14ac:dyDescent="0.3">
      <c r="A1517" t="s">
        <v>2563</v>
      </c>
      <c r="B1517" t="s">
        <v>958</v>
      </c>
      <c r="C1517" s="1">
        <v>45454</v>
      </c>
      <c r="E1517" t="s">
        <v>39</v>
      </c>
      <c r="F1517">
        <v>29</v>
      </c>
      <c r="G1517" s="12">
        <v>1421</v>
      </c>
      <c r="H1517" s="12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1047</v>
      </c>
      <c r="N1517" t="b">
        <v>1</v>
      </c>
    </row>
    <row r="1518" spans="1:14" x14ac:dyDescent="0.3">
      <c r="A1518" t="s">
        <v>2564</v>
      </c>
      <c r="B1518" t="s">
        <v>298</v>
      </c>
      <c r="C1518" s="1">
        <v>45509</v>
      </c>
      <c r="D1518" s="1">
        <v>45521</v>
      </c>
      <c r="E1518" t="s">
        <v>15</v>
      </c>
      <c r="F1518">
        <v>15</v>
      </c>
      <c r="G1518" s="12">
        <v>285</v>
      </c>
      <c r="H1518" s="12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1050</v>
      </c>
      <c r="N1518" t="b">
        <v>1</v>
      </c>
    </row>
    <row r="1519" spans="1:14" x14ac:dyDescent="0.3">
      <c r="A1519" t="s">
        <v>2565</v>
      </c>
      <c r="B1519" t="s">
        <v>662</v>
      </c>
      <c r="C1519" s="1">
        <v>45641</v>
      </c>
      <c r="E1519" t="s">
        <v>32</v>
      </c>
      <c r="F1519">
        <v>41</v>
      </c>
      <c r="G1519" s="12">
        <v>8159</v>
      </c>
      <c r="H1519" s="12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1050</v>
      </c>
      <c r="N1519" t="b">
        <v>0</v>
      </c>
    </row>
    <row r="1520" spans="1:14" x14ac:dyDescent="0.3">
      <c r="A1520" t="s">
        <v>2566</v>
      </c>
      <c r="B1520" t="s">
        <v>182</v>
      </c>
      <c r="C1520" s="1">
        <v>45424</v>
      </c>
      <c r="E1520" t="s">
        <v>39</v>
      </c>
      <c r="F1520">
        <v>44</v>
      </c>
      <c r="G1520" s="12">
        <v>2156</v>
      </c>
      <c r="H1520" s="12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1047</v>
      </c>
      <c r="N1520" t="b">
        <v>1</v>
      </c>
    </row>
    <row r="1521" spans="1:14" x14ac:dyDescent="0.3">
      <c r="A1521" t="s">
        <v>2567</v>
      </c>
      <c r="B1521" t="s">
        <v>998</v>
      </c>
      <c r="C1521" s="1">
        <v>45563</v>
      </c>
      <c r="E1521" t="s">
        <v>15</v>
      </c>
      <c r="F1521">
        <v>40</v>
      </c>
      <c r="G1521" s="12">
        <v>760</v>
      </c>
      <c r="H1521" s="12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1047</v>
      </c>
      <c r="N1521" t="b">
        <v>1</v>
      </c>
    </row>
    <row r="1522" spans="1:14" x14ac:dyDescent="0.3">
      <c r="A1522" t="s">
        <v>2568</v>
      </c>
      <c r="B1522" t="s">
        <v>764</v>
      </c>
      <c r="C1522" s="1">
        <v>45617</v>
      </c>
      <c r="E1522" t="s">
        <v>39</v>
      </c>
      <c r="F1522">
        <v>69</v>
      </c>
      <c r="G1522" s="12">
        <v>3381</v>
      </c>
      <c r="H1522" s="1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1050</v>
      </c>
      <c r="N1522" t="b">
        <v>1</v>
      </c>
    </row>
    <row r="1523" spans="1:14" x14ac:dyDescent="0.3">
      <c r="A1523" t="s">
        <v>2569</v>
      </c>
      <c r="B1523" t="s">
        <v>876</v>
      </c>
      <c r="C1523" s="1">
        <v>45645</v>
      </c>
      <c r="E1523" t="s">
        <v>39</v>
      </c>
      <c r="F1523">
        <v>36</v>
      </c>
      <c r="G1523" s="12">
        <v>1764</v>
      </c>
      <c r="H1523" s="12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1047</v>
      </c>
      <c r="N1523" t="b">
        <v>1</v>
      </c>
    </row>
    <row r="1524" spans="1:14" x14ac:dyDescent="0.3">
      <c r="A1524" t="s">
        <v>2570</v>
      </c>
      <c r="B1524" t="s">
        <v>258</v>
      </c>
      <c r="C1524" s="1">
        <v>45605</v>
      </c>
      <c r="E1524" t="s">
        <v>15</v>
      </c>
      <c r="F1524">
        <v>4</v>
      </c>
      <c r="G1524" s="12">
        <v>76</v>
      </c>
      <c r="H1524" s="12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1047</v>
      </c>
      <c r="N1524" t="b">
        <v>1</v>
      </c>
    </row>
    <row r="1525" spans="1:14" x14ac:dyDescent="0.3">
      <c r="A1525" t="s">
        <v>2571</v>
      </c>
      <c r="B1525" t="s">
        <v>998</v>
      </c>
      <c r="C1525" s="1">
        <v>45255</v>
      </c>
      <c r="E1525" t="s">
        <v>39</v>
      </c>
      <c r="F1525">
        <v>40</v>
      </c>
      <c r="G1525" s="12">
        <v>1960</v>
      </c>
      <c r="H1525" s="12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1050</v>
      </c>
      <c r="N1525" t="b">
        <v>0</v>
      </c>
    </row>
    <row r="1526" spans="1:14" x14ac:dyDescent="0.3">
      <c r="A1526" t="s">
        <v>2572</v>
      </c>
      <c r="B1526" t="s">
        <v>420</v>
      </c>
      <c r="C1526" s="1">
        <v>45445</v>
      </c>
      <c r="E1526" t="s">
        <v>39</v>
      </c>
      <c r="F1526">
        <v>5</v>
      </c>
      <c r="G1526" s="12">
        <v>0</v>
      </c>
      <c r="H1526" s="12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1047</v>
      </c>
      <c r="N1526" t="b">
        <v>1</v>
      </c>
    </row>
    <row r="1527" spans="1:14" x14ac:dyDescent="0.3">
      <c r="A1527" t="s">
        <v>2573</v>
      </c>
      <c r="B1527" t="s">
        <v>644</v>
      </c>
      <c r="C1527" s="1">
        <v>45504</v>
      </c>
      <c r="E1527" t="s">
        <v>39</v>
      </c>
      <c r="F1527">
        <v>55</v>
      </c>
      <c r="G1527" s="12">
        <v>2695</v>
      </c>
      <c r="H1527" s="12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1047</v>
      </c>
      <c r="N1527" t="b">
        <v>0</v>
      </c>
    </row>
    <row r="1528" spans="1:14" x14ac:dyDescent="0.3">
      <c r="A1528" t="s">
        <v>2574</v>
      </c>
      <c r="B1528" t="s">
        <v>458</v>
      </c>
      <c r="C1528" s="1">
        <v>45453</v>
      </c>
      <c r="E1528" t="s">
        <v>39</v>
      </c>
      <c r="F1528">
        <v>11</v>
      </c>
      <c r="G1528" s="12">
        <v>539</v>
      </c>
      <c r="H1528" s="12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1047</v>
      </c>
      <c r="N1528" t="b">
        <v>1</v>
      </c>
    </row>
    <row r="1529" spans="1:14" x14ac:dyDescent="0.3">
      <c r="A1529" t="s">
        <v>2575</v>
      </c>
      <c r="B1529" t="s">
        <v>55</v>
      </c>
      <c r="C1529" s="1">
        <v>45644</v>
      </c>
      <c r="E1529" t="s">
        <v>39</v>
      </c>
      <c r="F1529">
        <v>42</v>
      </c>
      <c r="G1529" s="12">
        <v>2058</v>
      </c>
      <c r="H1529" s="12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1047</v>
      </c>
      <c r="N1529" t="b">
        <v>1</v>
      </c>
    </row>
    <row r="1530" spans="1:14" x14ac:dyDescent="0.3">
      <c r="A1530" t="s">
        <v>2576</v>
      </c>
      <c r="B1530" t="s">
        <v>662</v>
      </c>
      <c r="C1530" s="1">
        <v>45644</v>
      </c>
      <c r="E1530" t="s">
        <v>15</v>
      </c>
      <c r="F1530">
        <v>41</v>
      </c>
      <c r="G1530" s="12">
        <v>0</v>
      </c>
      <c r="H1530" s="12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1050</v>
      </c>
      <c r="N1530" t="b">
        <v>1</v>
      </c>
    </row>
    <row r="1531" spans="1:14" x14ac:dyDescent="0.3">
      <c r="A1531" t="s">
        <v>2577</v>
      </c>
      <c r="B1531" t="s">
        <v>626</v>
      </c>
      <c r="C1531" s="1">
        <v>45601</v>
      </c>
      <c r="E1531" t="s">
        <v>15</v>
      </c>
      <c r="F1531">
        <v>22</v>
      </c>
      <c r="G1531" s="12">
        <v>418</v>
      </c>
      <c r="H1531" s="12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1047</v>
      </c>
      <c r="N1531" t="b">
        <v>1</v>
      </c>
    </row>
    <row r="1532" spans="1:14" x14ac:dyDescent="0.3">
      <c r="A1532" t="s">
        <v>2578</v>
      </c>
      <c r="B1532" t="s">
        <v>510</v>
      </c>
      <c r="C1532" s="1">
        <v>45207</v>
      </c>
      <c r="E1532" t="s">
        <v>39</v>
      </c>
      <c r="F1532">
        <v>55</v>
      </c>
      <c r="G1532" s="12">
        <v>2695</v>
      </c>
      <c r="H1532" s="1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1050</v>
      </c>
      <c r="N1532" t="b">
        <v>1</v>
      </c>
    </row>
    <row r="1533" spans="1:14" x14ac:dyDescent="0.3">
      <c r="A1533" t="s">
        <v>2579</v>
      </c>
      <c r="B1533" t="s">
        <v>732</v>
      </c>
      <c r="C1533" s="1">
        <v>45297</v>
      </c>
      <c r="E1533" t="s">
        <v>32</v>
      </c>
      <c r="F1533">
        <v>32</v>
      </c>
      <c r="G1533" s="12">
        <v>0</v>
      </c>
      <c r="H1533" s="12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1050</v>
      </c>
      <c r="N1533" t="b">
        <v>1</v>
      </c>
    </row>
    <row r="1534" spans="1:14" x14ac:dyDescent="0.3">
      <c r="A1534" t="s">
        <v>2580</v>
      </c>
      <c r="B1534" t="s">
        <v>754</v>
      </c>
      <c r="C1534" s="1">
        <v>45626</v>
      </c>
      <c r="E1534" t="s">
        <v>32</v>
      </c>
      <c r="F1534">
        <v>62</v>
      </c>
      <c r="G1534" s="12">
        <v>12338</v>
      </c>
      <c r="H1534" s="12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1050</v>
      </c>
      <c r="N1534" t="b">
        <v>1</v>
      </c>
    </row>
    <row r="1535" spans="1:14" x14ac:dyDescent="0.3">
      <c r="A1535" t="s">
        <v>2581</v>
      </c>
      <c r="B1535" t="s">
        <v>104</v>
      </c>
      <c r="C1535" s="1">
        <v>45491</v>
      </c>
      <c r="E1535" t="s">
        <v>32</v>
      </c>
      <c r="F1535">
        <v>25</v>
      </c>
      <c r="G1535" s="12">
        <v>4975</v>
      </c>
      <c r="H1535" s="12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1047</v>
      </c>
      <c r="N1535" t="b">
        <v>0</v>
      </c>
    </row>
    <row r="1536" spans="1:14" x14ac:dyDescent="0.3">
      <c r="A1536" t="s">
        <v>2582</v>
      </c>
      <c r="B1536" t="s">
        <v>80</v>
      </c>
      <c r="C1536" s="1">
        <v>45354</v>
      </c>
      <c r="E1536" t="s">
        <v>15</v>
      </c>
      <c r="F1536">
        <v>8</v>
      </c>
      <c r="G1536" s="12">
        <v>152</v>
      </c>
      <c r="H1536" s="12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1050</v>
      </c>
      <c r="N1536" t="b">
        <v>1</v>
      </c>
    </row>
    <row r="1537" spans="1:14" x14ac:dyDescent="0.3">
      <c r="A1537" t="s">
        <v>2583</v>
      </c>
      <c r="B1537" t="s">
        <v>960</v>
      </c>
      <c r="C1537" s="1">
        <v>45486</v>
      </c>
      <c r="E1537" t="s">
        <v>32</v>
      </c>
      <c r="F1537">
        <v>35</v>
      </c>
      <c r="G1537" s="12">
        <v>6965</v>
      </c>
      <c r="H1537" s="12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1047</v>
      </c>
      <c r="N1537" t="b">
        <v>1</v>
      </c>
    </row>
    <row r="1538" spans="1:14" x14ac:dyDescent="0.3">
      <c r="A1538" t="s">
        <v>2584</v>
      </c>
      <c r="B1538" t="s">
        <v>21</v>
      </c>
      <c r="C1538" s="1">
        <v>45563</v>
      </c>
      <c r="D1538" s="1">
        <v>45642</v>
      </c>
      <c r="E1538" t="s">
        <v>32</v>
      </c>
      <c r="F1538">
        <v>6</v>
      </c>
      <c r="G1538" s="12">
        <v>1194</v>
      </c>
      <c r="H1538" s="12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1050</v>
      </c>
      <c r="N1538" t="b">
        <v>1</v>
      </c>
    </row>
    <row r="1539" spans="1:14" x14ac:dyDescent="0.3">
      <c r="A1539" t="s">
        <v>2585</v>
      </c>
      <c r="B1539" t="s">
        <v>338</v>
      </c>
      <c r="C1539" s="1">
        <v>45430</v>
      </c>
      <c r="E1539" t="s">
        <v>32</v>
      </c>
      <c r="F1539">
        <v>27</v>
      </c>
      <c r="G1539" s="12">
        <v>5373</v>
      </c>
      <c r="H1539" s="12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1050</v>
      </c>
      <c r="N1539" t="b">
        <v>1</v>
      </c>
    </row>
    <row r="1540" spans="1:14" x14ac:dyDescent="0.3">
      <c r="A1540" t="s">
        <v>2586</v>
      </c>
      <c r="B1540" t="s">
        <v>164</v>
      </c>
      <c r="C1540" s="1">
        <v>45620</v>
      </c>
      <c r="E1540" t="s">
        <v>15</v>
      </c>
      <c r="F1540">
        <v>3</v>
      </c>
      <c r="G1540" s="12">
        <v>57</v>
      </c>
      <c r="H1540" s="12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1047</v>
      </c>
      <c r="N1540" t="b">
        <v>1</v>
      </c>
    </row>
    <row r="1541" spans="1:14" x14ac:dyDescent="0.3">
      <c r="A1541" t="s">
        <v>2587</v>
      </c>
      <c r="B1541" t="s">
        <v>296</v>
      </c>
      <c r="C1541" s="1">
        <v>45257</v>
      </c>
      <c r="E1541" t="s">
        <v>32</v>
      </c>
      <c r="F1541">
        <v>28</v>
      </c>
      <c r="G1541" s="12">
        <v>5572</v>
      </c>
      <c r="H1541" s="12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1050</v>
      </c>
      <c r="N1541" t="b">
        <v>1</v>
      </c>
    </row>
    <row r="1542" spans="1:14" x14ac:dyDescent="0.3">
      <c r="A1542" t="s">
        <v>2588</v>
      </c>
      <c r="B1542" t="s">
        <v>982</v>
      </c>
      <c r="C1542" s="1">
        <v>45430</v>
      </c>
      <c r="E1542" t="s">
        <v>39</v>
      </c>
      <c r="F1542">
        <v>20</v>
      </c>
      <c r="G1542" s="12">
        <v>980</v>
      </c>
      <c r="H1542" s="1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1047</v>
      </c>
      <c r="N1542" t="b">
        <v>1</v>
      </c>
    </row>
    <row r="1543" spans="1:14" x14ac:dyDescent="0.3">
      <c r="A1543" t="s">
        <v>2589</v>
      </c>
      <c r="B1543" t="s">
        <v>120</v>
      </c>
      <c r="C1543" s="1">
        <v>45492</v>
      </c>
      <c r="E1543" t="s">
        <v>32</v>
      </c>
      <c r="F1543">
        <v>41</v>
      </c>
      <c r="G1543" s="12">
        <v>8159</v>
      </c>
      <c r="H1543" s="12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1050</v>
      </c>
      <c r="N1543" t="b">
        <v>1</v>
      </c>
    </row>
    <row r="1544" spans="1:14" x14ac:dyDescent="0.3">
      <c r="A1544" t="s">
        <v>2590</v>
      </c>
      <c r="B1544" t="s">
        <v>174</v>
      </c>
      <c r="C1544" s="1">
        <v>45338</v>
      </c>
      <c r="E1544" t="s">
        <v>15</v>
      </c>
      <c r="F1544">
        <v>16</v>
      </c>
      <c r="G1544" s="12">
        <v>304</v>
      </c>
      <c r="H1544" s="12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1050</v>
      </c>
      <c r="N1544" t="b">
        <v>1</v>
      </c>
    </row>
    <row r="1545" spans="1:14" x14ac:dyDescent="0.3">
      <c r="A1545" t="s">
        <v>2591</v>
      </c>
      <c r="B1545" t="s">
        <v>72</v>
      </c>
      <c r="C1545" s="1">
        <v>45556</v>
      </c>
      <c r="D1545" s="1">
        <v>45591</v>
      </c>
      <c r="E1545" t="s">
        <v>39</v>
      </c>
      <c r="F1545">
        <v>8</v>
      </c>
      <c r="G1545" s="12">
        <v>392</v>
      </c>
      <c r="H1545" s="12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1050</v>
      </c>
      <c r="N1545" t="b">
        <v>1</v>
      </c>
    </row>
    <row r="1546" spans="1:14" x14ac:dyDescent="0.3">
      <c r="A1546" t="s">
        <v>2592</v>
      </c>
      <c r="B1546" t="s">
        <v>978</v>
      </c>
      <c r="C1546" s="1">
        <v>45551</v>
      </c>
      <c r="E1546" t="s">
        <v>39</v>
      </c>
      <c r="F1546">
        <v>31</v>
      </c>
      <c r="G1546" s="12">
        <v>1519</v>
      </c>
      <c r="H1546" s="12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1050</v>
      </c>
      <c r="N1546" t="b">
        <v>1</v>
      </c>
    </row>
    <row r="1547" spans="1:14" x14ac:dyDescent="0.3">
      <c r="A1547" t="s">
        <v>2593</v>
      </c>
      <c r="B1547" t="s">
        <v>656</v>
      </c>
      <c r="C1547" s="1">
        <v>45514</v>
      </c>
      <c r="E1547" t="s">
        <v>32</v>
      </c>
      <c r="F1547">
        <v>17</v>
      </c>
      <c r="G1547" s="12">
        <v>3383</v>
      </c>
      <c r="H1547" s="12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1050</v>
      </c>
      <c r="N1547" t="b">
        <v>1</v>
      </c>
    </row>
    <row r="1548" spans="1:14" x14ac:dyDescent="0.3">
      <c r="A1548" t="s">
        <v>2594</v>
      </c>
      <c r="B1548" t="s">
        <v>476</v>
      </c>
      <c r="C1548" s="1">
        <v>45636</v>
      </c>
      <c r="E1548" t="s">
        <v>39</v>
      </c>
      <c r="F1548">
        <v>7</v>
      </c>
      <c r="G1548" s="12">
        <v>343</v>
      </c>
      <c r="H1548" s="12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1050</v>
      </c>
      <c r="N1548" t="b">
        <v>1</v>
      </c>
    </row>
    <row r="1549" spans="1:14" x14ac:dyDescent="0.3">
      <c r="A1549" t="s">
        <v>2595</v>
      </c>
      <c r="B1549" t="s">
        <v>812</v>
      </c>
      <c r="C1549" s="1">
        <v>45205</v>
      </c>
      <c r="E1549" t="s">
        <v>32</v>
      </c>
      <c r="F1549">
        <v>49</v>
      </c>
      <c r="G1549" s="12">
        <v>9751</v>
      </c>
      <c r="H1549" s="12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1050</v>
      </c>
      <c r="N1549" t="b">
        <v>1</v>
      </c>
    </row>
    <row r="1550" spans="1:14" x14ac:dyDescent="0.3">
      <c r="A1550" t="s">
        <v>2596</v>
      </c>
      <c r="B1550" t="s">
        <v>83</v>
      </c>
      <c r="C1550" s="1">
        <v>45237</v>
      </c>
      <c r="E1550" t="s">
        <v>15</v>
      </c>
      <c r="F1550">
        <v>25</v>
      </c>
      <c r="G1550" s="12">
        <v>475</v>
      </c>
      <c r="H1550" s="12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1047</v>
      </c>
      <c r="N1550" t="b">
        <v>1</v>
      </c>
    </row>
    <row r="1551" spans="1:14" x14ac:dyDescent="0.3">
      <c r="A1551" t="s">
        <v>2597</v>
      </c>
      <c r="B1551" t="s">
        <v>264</v>
      </c>
      <c r="C1551" s="1">
        <v>45270</v>
      </c>
      <c r="E1551" t="s">
        <v>15</v>
      </c>
      <c r="F1551">
        <v>38</v>
      </c>
      <c r="G1551" s="12">
        <v>722</v>
      </c>
      <c r="H1551" s="12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1050</v>
      </c>
      <c r="N1551" t="b">
        <v>1</v>
      </c>
    </row>
    <row r="1552" spans="1:14" x14ac:dyDescent="0.3">
      <c r="A1552" t="s">
        <v>2598</v>
      </c>
      <c r="B1552" t="s">
        <v>296</v>
      </c>
      <c r="C1552" s="1">
        <v>45254</v>
      </c>
      <c r="D1552" s="1">
        <v>45493</v>
      </c>
      <c r="E1552" t="s">
        <v>32</v>
      </c>
      <c r="F1552">
        <v>28</v>
      </c>
      <c r="G1552" s="12">
        <v>5572</v>
      </c>
      <c r="H1552" s="1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1050</v>
      </c>
      <c r="N1552" t="b">
        <v>1</v>
      </c>
    </row>
    <row r="1553" spans="1:14" x14ac:dyDescent="0.3">
      <c r="A1553" t="s">
        <v>2599</v>
      </c>
      <c r="B1553" t="s">
        <v>148</v>
      </c>
      <c r="C1553" s="1">
        <v>45491</v>
      </c>
      <c r="E1553" t="s">
        <v>15</v>
      </c>
      <c r="F1553">
        <v>9</v>
      </c>
      <c r="G1553" s="12">
        <v>171</v>
      </c>
      <c r="H1553" s="12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1050</v>
      </c>
      <c r="N1553" t="b">
        <v>1</v>
      </c>
    </row>
    <row r="1554" spans="1:14" x14ac:dyDescent="0.3">
      <c r="A1554" t="s">
        <v>2600</v>
      </c>
      <c r="B1554" t="s">
        <v>394</v>
      </c>
      <c r="C1554" s="1">
        <v>45601</v>
      </c>
      <c r="E1554" t="s">
        <v>32</v>
      </c>
      <c r="F1554">
        <v>2</v>
      </c>
      <c r="G1554" s="12">
        <v>398</v>
      </c>
      <c r="H1554" s="12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1050</v>
      </c>
      <c r="N1554" t="b">
        <v>1</v>
      </c>
    </row>
    <row r="1555" spans="1:14" x14ac:dyDescent="0.3">
      <c r="A1555" t="s">
        <v>2601</v>
      </c>
      <c r="B1555" t="s">
        <v>498</v>
      </c>
      <c r="C1555" s="1">
        <v>45435</v>
      </c>
      <c r="E1555" t="s">
        <v>15</v>
      </c>
      <c r="F1555">
        <v>8</v>
      </c>
      <c r="G1555" s="12">
        <v>152</v>
      </c>
      <c r="H1555" s="12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1047</v>
      </c>
      <c r="N1555" t="b">
        <v>1</v>
      </c>
    </row>
    <row r="1556" spans="1:14" x14ac:dyDescent="0.3">
      <c r="A1556" t="s">
        <v>2602</v>
      </c>
      <c r="B1556" t="s">
        <v>156</v>
      </c>
      <c r="C1556" s="1">
        <v>45551</v>
      </c>
      <c r="D1556" s="1">
        <v>45577</v>
      </c>
      <c r="E1556" t="s">
        <v>15</v>
      </c>
      <c r="F1556">
        <v>23</v>
      </c>
      <c r="G1556" s="12">
        <v>437</v>
      </c>
      <c r="H1556" s="12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1050</v>
      </c>
      <c r="N1556" t="b">
        <v>1</v>
      </c>
    </row>
    <row r="1557" spans="1:14" x14ac:dyDescent="0.3">
      <c r="A1557" t="s">
        <v>2603</v>
      </c>
      <c r="B1557" t="s">
        <v>214</v>
      </c>
      <c r="C1557" s="1">
        <v>45459</v>
      </c>
      <c r="E1557" t="s">
        <v>32</v>
      </c>
      <c r="F1557">
        <v>32</v>
      </c>
      <c r="G1557" s="12">
        <v>0</v>
      </c>
      <c r="H1557" s="12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1050</v>
      </c>
      <c r="N1557" t="b">
        <v>0</v>
      </c>
    </row>
    <row r="1558" spans="1:14" x14ac:dyDescent="0.3">
      <c r="A1558" t="s">
        <v>2604</v>
      </c>
      <c r="B1558" t="s">
        <v>606</v>
      </c>
      <c r="C1558" s="1">
        <v>45639</v>
      </c>
      <c r="E1558" t="s">
        <v>32</v>
      </c>
      <c r="F1558">
        <v>17</v>
      </c>
      <c r="G1558" s="12">
        <v>3383</v>
      </c>
      <c r="H1558" s="12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1047</v>
      </c>
      <c r="N1558" t="b">
        <v>1</v>
      </c>
    </row>
    <row r="1559" spans="1:14" x14ac:dyDescent="0.3">
      <c r="A1559" t="s">
        <v>2605</v>
      </c>
      <c r="B1559" t="s">
        <v>626</v>
      </c>
      <c r="C1559" s="1">
        <v>45369</v>
      </c>
      <c r="E1559" t="s">
        <v>32</v>
      </c>
      <c r="F1559">
        <v>40</v>
      </c>
      <c r="G1559" s="12">
        <v>7960</v>
      </c>
      <c r="H1559" s="12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1047</v>
      </c>
      <c r="N1559" t="b">
        <v>0</v>
      </c>
    </row>
    <row r="1560" spans="1:14" x14ac:dyDescent="0.3">
      <c r="A1560" t="s">
        <v>2606</v>
      </c>
      <c r="B1560" t="s">
        <v>456</v>
      </c>
      <c r="C1560" s="1">
        <v>45152</v>
      </c>
      <c r="E1560" t="s">
        <v>15</v>
      </c>
      <c r="F1560">
        <v>55</v>
      </c>
      <c r="G1560" s="12">
        <v>0</v>
      </c>
      <c r="H1560" s="12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1050</v>
      </c>
      <c r="N1560" t="b">
        <v>1</v>
      </c>
    </row>
    <row r="1561" spans="1:14" x14ac:dyDescent="0.3">
      <c r="A1561" t="s">
        <v>2607</v>
      </c>
      <c r="B1561" t="s">
        <v>722</v>
      </c>
      <c r="C1561" s="1">
        <v>45077</v>
      </c>
      <c r="E1561" t="s">
        <v>39</v>
      </c>
      <c r="F1561">
        <v>6</v>
      </c>
      <c r="G1561" s="12">
        <v>294</v>
      </c>
      <c r="H1561" s="12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1047</v>
      </c>
      <c r="N1561" t="b">
        <v>1</v>
      </c>
    </row>
    <row r="1562" spans="1:14" x14ac:dyDescent="0.3">
      <c r="A1562" t="s">
        <v>2608</v>
      </c>
      <c r="B1562" t="s">
        <v>320</v>
      </c>
      <c r="C1562" s="1">
        <v>45577</v>
      </c>
      <c r="E1562" t="s">
        <v>32</v>
      </c>
      <c r="F1562">
        <v>59</v>
      </c>
      <c r="G1562" s="12">
        <v>11741</v>
      </c>
      <c r="H1562" s="1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1047</v>
      </c>
      <c r="N1562" t="b">
        <v>0</v>
      </c>
    </row>
    <row r="1563" spans="1:14" x14ac:dyDescent="0.3">
      <c r="A1563" t="s">
        <v>2609</v>
      </c>
      <c r="B1563" t="s">
        <v>432</v>
      </c>
      <c r="C1563" s="1">
        <v>45505</v>
      </c>
      <c r="E1563" t="s">
        <v>32</v>
      </c>
      <c r="F1563">
        <v>1</v>
      </c>
      <c r="G1563" s="12">
        <v>199</v>
      </c>
      <c r="H1563" s="12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1047</v>
      </c>
      <c r="N1563" t="b">
        <v>1</v>
      </c>
    </row>
    <row r="1564" spans="1:14" x14ac:dyDescent="0.3">
      <c r="A1564" t="s">
        <v>2610</v>
      </c>
      <c r="B1564" t="s">
        <v>886</v>
      </c>
      <c r="C1564" s="1">
        <v>45461</v>
      </c>
      <c r="E1564" t="s">
        <v>15</v>
      </c>
      <c r="F1564">
        <v>17</v>
      </c>
      <c r="G1564" s="12">
        <v>323</v>
      </c>
      <c r="H1564" s="12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1047</v>
      </c>
      <c r="N1564" t="b">
        <v>1</v>
      </c>
    </row>
    <row r="1565" spans="1:14" x14ac:dyDescent="0.3">
      <c r="A1565" t="s">
        <v>2611</v>
      </c>
      <c r="B1565" t="s">
        <v>112</v>
      </c>
      <c r="C1565" s="1">
        <v>45646</v>
      </c>
      <c r="E1565" t="s">
        <v>32</v>
      </c>
      <c r="F1565">
        <v>2</v>
      </c>
      <c r="G1565" s="12">
        <v>398</v>
      </c>
      <c r="H1565" s="12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1050</v>
      </c>
      <c r="N1565" t="b">
        <v>1</v>
      </c>
    </row>
    <row r="1566" spans="1:14" x14ac:dyDescent="0.3">
      <c r="A1566" t="s">
        <v>2612</v>
      </c>
      <c r="B1566" t="s">
        <v>494</v>
      </c>
      <c r="C1566" s="1">
        <v>45620</v>
      </c>
      <c r="D1566" s="1">
        <v>45620</v>
      </c>
      <c r="E1566" t="s">
        <v>39</v>
      </c>
      <c r="F1566">
        <v>14</v>
      </c>
      <c r="G1566" s="12">
        <v>686</v>
      </c>
      <c r="H1566" s="12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1050</v>
      </c>
      <c r="N1566" t="b">
        <v>1</v>
      </c>
    </row>
    <row r="1567" spans="1:14" x14ac:dyDescent="0.3">
      <c r="A1567" t="s">
        <v>2613</v>
      </c>
      <c r="B1567" t="s">
        <v>1022</v>
      </c>
      <c r="C1567" s="1">
        <v>45303</v>
      </c>
      <c r="E1567" t="s">
        <v>32</v>
      </c>
      <c r="F1567">
        <v>38</v>
      </c>
      <c r="G1567" s="12">
        <v>0</v>
      </c>
      <c r="H1567" s="12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1050</v>
      </c>
      <c r="N1567" t="b">
        <v>1</v>
      </c>
    </row>
    <row r="1568" spans="1:14" x14ac:dyDescent="0.3">
      <c r="A1568" t="s">
        <v>2614</v>
      </c>
      <c r="B1568" t="s">
        <v>362</v>
      </c>
      <c r="C1568" s="1">
        <v>45559</v>
      </c>
      <c r="E1568" t="s">
        <v>32</v>
      </c>
      <c r="F1568">
        <v>73</v>
      </c>
      <c r="G1568" s="12">
        <v>14527</v>
      </c>
      <c r="H1568" s="12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1047</v>
      </c>
      <c r="N1568" t="b">
        <v>1</v>
      </c>
    </row>
    <row r="1569" spans="1:14" x14ac:dyDescent="0.3">
      <c r="A1569" t="s">
        <v>2615</v>
      </c>
      <c r="B1569" t="s">
        <v>246</v>
      </c>
      <c r="C1569" s="1">
        <v>45592</v>
      </c>
      <c r="E1569" t="s">
        <v>15</v>
      </c>
      <c r="F1569">
        <v>61</v>
      </c>
      <c r="G1569" s="12">
        <v>1159</v>
      </c>
      <c r="H1569" s="12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1050</v>
      </c>
      <c r="N1569" t="b">
        <v>1</v>
      </c>
    </row>
    <row r="1570" spans="1:14" x14ac:dyDescent="0.3">
      <c r="A1570" t="s">
        <v>2616</v>
      </c>
      <c r="B1570" t="s">
        <v>360</v>
      </c>
      <c r="C1570" s="1">
        <v>45611</v>
      </c>
      <c r="D1570" s="1">
        <v>45615</v>
      </c>
      <c r="E1570" t="s">
        <v>15</v>
      </c>
      <c r="F1570">
        <v>36</v>
      </c>
      <c r="G1570" s="12">
        <v>684</v>
      </c>
      <c r="H1570" s="12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1050</v>
      </c>
      <c r="N1570" t="b">
        <v>0</v>
      </c>
    </row>
    <row r="1571" spans="1:14" x14ac:dyDescent="0.3">
      <c r="A1571" t="s">
        <v>2617</v>
      </c>
      <c r="B1571" t="s">
        <v>124</v>
      </c>
      <c r="C1571" s="1">
        <v>45551</v>
      </c>
      <c r="E1571" t="s">
        <v>39</v>
      </c>
      <c r="F1571">
        <v>39</v>
      </c>
      <c r="G1571" s="12">
        <v>0</v>
      </c>
      <c r="H1571" s="12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1047</v>
      </c>
      <c r="N1571" t="b">
        <v>1</v>
      </c>
    </row>
    <row r="1572" spans="1:14" x14ac:dyDescent="0.3">
      <c r="A1572" t="s">
        <v>2618</v>
      </c>
      <c r="B1572" t="s">
        <v>274</v>
      </c>
      <c r="C1572" s="1">
        <v>45646</v>
      </c>
      <c r="E1572" t="s">
        <v>39</v>
      </c>
      <c r="F1572">
        <v>64</v>
      </c>
      <c r="G1572" s="12">
        <v>3136</v>
      </c>
      <c r="H1572" s="1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1047</v>
      </c>
      <c r="N1572" t="b">
        <v>1</v>
      </c>
    </row>
    <row r="1573" spans="1:14" x14ac:dyDescent="0.3">
      <c r="A1573" t="s">
        <v>2619</v>
      </c>
      <c r="B1573" t="s">
        <v>47</v>
      </c>
      <c r="C1573" s="1">
        <v>45586</v>
      </c>
      <c r="E1573" t="s">
        <v>15</v>
      </c>
      <c r="F1573">
        <v>35</v>
      </c>
      <c r="G1573" s="12">
        <v>665</v>
      </c>
      <c r="H1573" s="12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1050</v>
      </c>
      <c r="N1573" t="b">
        <v>1</v>
      </c>
    </row>
    <row r="1574" spans="1:14" x14ac:dyDescent="0.3">
      <c r="A1574" t="s">
        <v>2620</v>
      </c>
      <c r="B1574" t="s">
        <v>828</v>
      </c>
      <c r="C1574" s="1">
        <v>45560</v>
      </c>
      <c r="E1574" t="s">
        <v>39</v>
      </c>
      <c r="F1574">
        <v>69</v>
      </c>
      <c r="G1574" s="12">
        <v>3381</v>
      </c>
      <c r="H1574" s="12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1047</v>
      </c>
      <c r="N1574" t="b">
        <v>1</v>
      </c>
    </row>
    <row r="1575" spans="1:14" x14ac:dyDescent="0.3">
      <c r="A1575" t="s">
        <v>2621</v>
      </c>
      <c r="B1575" t="s">
        <v>152</v>
      </c>
      <c r="C1575" s="1">
        <v>45354</v>
      </c>
      <c r="E1575" t="s">
        <v>39</v>
      </c>
      <c r="F1575">
        <v>41</v>
      </c>
      <c r="G1575" s="12">
        <v>0</v>
      </c>
      <c r="H1575" s="12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1050</v>
      </c>
      <c r="N1575" t="b">
        <v>1</v>
      </c>
    </row>
    <row r="1576" spans="1:14" x14ac:dyDescent="0.3">
      <c r="A1576" t="s">
        <v>2622</v>
      </c>
      <c r="B1576" t="s">
        <v>782</v>
      </c>
      <c r="C1576" s="1">
        <v>45287</v>
      </c>
      <c r="D1576" s="1">
        <v>45595</v>
      </c>
      <c r="E1576" t="s">
        <v>32</v>
      </c>
      <c r="F1576">
        <v>9</v>
      </c>
      <c r="G1576" s="12">
        <v>1791</v>
      </c>
      <c r="H1576" s="12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1047</v>
      </c>
      <c r="N1576" t="b">
        <v>0</v>
      </c>
    </row>
    <row r="1577" spans="1:14" x14ac:dyDescent="0.3">
      <c r="A1577" t="s">
        <v>2623</v>
      </c>
      <c r="B1577" t="s">
        <v>396</v>
      </c>
      <c r="C1577" s="1">
        <v>45602</v>
      </c>
      <c r="E1577" t="s">
        <v>15</v>
      </c>
      <c r="F1577">
        <v>29</v>
      </c>
      <c r="G1577" s="12">
        <v>551</v>
      </c>
      <c r="H1577" s="12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1050</v>
      </c>
      <c r="N1577" t="b">
        <v>0</v>
      </c>
    </row>
    <row r="1578" spans="1:14" x14ac:dyDescent="0.3">
      <c r="A1578" t="s">
        <v>2624</v>
      </c>
      <c r="B1578" t="s">
        <v>554</v>
      </c>
      <c r="C1578" s="1">
        <v>45460</v>
      </c>
      <c r="E1578" t="s">
        <v>39</v>
      </c>
      <c r="F1578">
        <v>17</v>
      </c>
      <c r="G1578" s="12">
        <v>833</v>
      </c>
      <c r="H1578" s="12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1050</v>
      </c>
      <c r="N1578" t="b">
        <v>1</v>
      </c>
    </row>
    <row r="1579" spans="1:14" x14ac:dyDescent="0.3">
      <c r="A1579" t="s">
        <v>2625</v>
      </c>
      <c r="B1579" t="s">
        <v>936</v>
      </c>
      <c r="C1579" s="1">
        <v>45626</v>
      </c>
      <c r="E1579" t="s">
        <v>39</v>
      </c>
      <c r="F1579">
        <v>17</v>
      </c>
      <c r="G1579" s="12">
        <v>833</v>
      </c>
      <c r="H1579" s="12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1050</v>
      </c>
      <c r="N1579" t="b">
        <v>1</v>
      </c>
    </row>
    <row r="1580" spans="1:14" x14ac:dyDescent="0.3">
      <c r="A1580" t="s">
        <v>2626</v>
      </c>
      <c r="B1580" t="s">
        <v>606</v>
      </c>
      <c r="C1580" s="1">
        <v>45623</v>
      </c>
      <c r="E1580" t="s">
        <v>39</v>
      </c>
      <c r="F1580">
        <v>21</v>
      </c>
      <c r="G1580" s="12">
        <v>1029</v>
      </c>
      <c r="H1580" s="12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1047</v>
      </c>
      <c r="N1580" t="b">
        <v>1</v>
      </c>
    </row>
    <row r="1581" spans="1:14" x14ac:dyDescent="0.3">
      <c r="A1581" t="s">
        <v>2627</v>
      </c>
      <c r="B1581" t="s">
        <v>804</v>
      </c>
      <c r="C1581" s="1">
        <v>45484</v>
      </c>
      <c r="E1581" t="s">
        <v>39</v>
      </c>
      <c r="F1581">
        <v>26</v>
      </c>
      <c r="G1581" s="12">
        <v>1274</v>
      </c>
      <c r="H1581" s="12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1047</v>
      </c>
      <c r="N1581" t="b">
        <v>1</v>
      </c>
    </row>
    <row r="1582" spans="1:14" x14ac:dyDescent="0.3">
      <c r="A1582" t="s">
        <v>2628</v>
      </c>
      <c r="B1582" t="s">
        <v>474</v>
      </c>
      <c r="C1582" s="1">
        <v>45542</v>
      </c>
      <c r="E1582" t="s">
        <v>15</v>
      </c>
      <c r="F1582">
        <v>23</v>
      </c>
      <c r="G1582" s="12">
        <v>437</v>
      </c>
      <c r="H1582" s="1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1047</v>
      </c>
      <c r="N1582" t="b">
        <v>1</v>
      </c>
    </row>
    <row r="1583" spans="1:14" x14ac:dyDescent="0.3">
      <c r="A1583" t="s">
        <v>2629</v>
      </c>
      <c r="B1583" t="s">
        <v>554</v>
      </c>
      <c r="C1583" s="1">
        <v>45532</v>
      </c>
      <c r="E1583" t="s">
        <v>39</v>
      </c>
      <c r="F1583">
        <v>17</v>
      </c>
      <c r="G1583" s="12">
        <v>0</v>
      </c>
      <c r="H1583" s="12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1047</v>
      </c>
      <c r="N1583" t="b">
        <v>1</v>
      </c>
    </row>
    <row r="1584" spans="1:14" x14ac:dyDescent="0.3">
      <c r="A1584" t="s">
        <v>2630</v>
      </c>
      <c r="B1584" t="s">
        <v>692</v>
      </c>
      <c r="C1584" s="1">
        <v>45627</v>
      </c>
      <c r="E1584" t="s">
        <v>32</v>
      </c>
      <c r="F1584">
        <v>37</v>
      </c>
      <c r="G1584" s="12">
        <v>7363</v>
      </c>
      <c r="H1584" s="12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1047</v>
      </c>
      <c r="N1584" t="b">
        <v>1</v>
      </c>
    </row>
    <row r="1585" spans="1:14" x14ac:dyDescent="0.3">
      <c r="A1585" t="s">
        <v>2631</v>
      </c>
      <c r="B1585" t="s">
        <v>982</v>
      </c>
      <c r="C1585" s="1">
        <v>45590</v>
      </c>
      <c r="E1585" t="s">
        <v>32</v>
      </c>
      <c r="F1585">
        <v>20</v>
      </c>
      <c r="G1585" s="12">
        <v>3980</v>
      </c>
      <c r="H1585" s="12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1047</v>
      </c>
      <c r="N1585" t="b">
        <v>1</v>
      </c>
    </row>
    <row r="1586" spans="1:14" x14ac:dyDescent="0.3">
      <c r="A1586" t="s">
        <v>2632</v>
      </c>
      <c r="B1586" t="s">
        <v>326</v>
      </c>
      <c r="C1586" s="1">
        <v>45640</v>
      </c>
      <c r="E1586" t="s">
        <v>39</v>
      </c>
      <c r="F1586">
        <v>33</v>
      </c>
      <c r="G1586" s="12">
        <v>1617</v>
      </c>
      <c r="H1586" s="12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1047</v>
      </c>
      <c r="N1586" t="b">
        <v>1</v>
      </c>
    </row>
    <row r="1587" spans="1:14" x14ac:dyDescent="0.3">
      <c r="A1587" t="s">
        <v>2633</v>
      </c>
      <c r="B1587" t="s">
        <v>958</v>
      </c>
      <c r="C1587" s="1">
        <v>45637</v>
      </c>
      <c r="E1587" t="s">
        <v>39</v>
      </c>
      <c r="F1587">
        <v>14</v>
      </c>
      <c r="G1587" s="12">
        <v>686</v>
      </c>
      <c r="H1587" s="12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1050</v>
      </c>
      <c r="N1587" t="b">
        <v>0</v>
      </c>
    </row>
    <row r="1588" spans="1:14" x14ac:dyDescent="0.3">
      <c r="A1588" t="s">
        <v>2634</v>
      </c>
      <c r="B1588" t="s">
        <v>182</v>
      </c>
      <c r="C1588" s="1">
        <v>45444</v>
      </c>
      <c r="E1588" t="s">
        <v>32</v>
      </c>
      <c r="F1588">
        <v>44</v>
      </c>
      <c r="G1588" s="12">
        <v>8756</v>
      </c>
      <c r="H1588" s="12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1050</v>
      </c>
      <c r="N1588" t="b">
        <v>1</v>
      </c>
    </row>
    <row r="1589" spans="1:14" x14ac:dyDescent="0.3">
      <c r="A1589" t="s">
        <v>2635</v>
      </c>
      <c r="B1589" t="s">
        <v>890</v>
      </c>
      <c r="C1589" s="1">
        <v>45521</v>
      </c>
      <c r="E1589" t="s">
        <v>32</v>
      </c>
      <c r="F1589">
        <v>47</v>
      </c>
      <c r="G1589" s="12">
        <v>9353</v>
      </c>
      <c r="H1589" s="12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1050</v>
      </c>
      <c r="N1589" t="b">
        <v>1</v>
      </c>
    </row>
    <row r="1590" spans="1:14" x14ac:dyDescent="0.3">
      <c r="A1590" t="s">
        <v>2636</v>
      </c>
      <c r="B1590" t="s">
        <v>332</v>
      </c>
      <c r="C1590" s="1">
        <v>45519</v>
      </c>
      <c r="E1590" t="s">
        <v>15</v>
      </c>
      <c r="F1590">
        <v>47</v>
      </c>
      <c r="G1590" s="12">
        <v>0</v>
      </c>
      <c r="H1590" s="12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1047</v>
      </c>
      <c r="N1590" t="b">
        <v>1</v>
      </c>
    </row>
    <row r="1591" spans="1:14" x14ac:dyDescent="0.3">
      <c r="A1591" t="s">
        <v>2637</v>
      </c>
      <c r="B1591" t="s">
        <v>968</v>
      </c>
      <c r="C1591" s="1">
        <v>45116</v>
      </c>
      <c r="E1591" t="s">
        <v>32</v>
      </c>
      <c r="F1591">
        <v>32</v>
      </c>
      <c r="G1591" s="12">
        <v>6368</v>
      </c>
      <c r="H1591" s="12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1047</v>
      </c>
      <c r="N1591" t="b">
        <v>1</v>
      </c>
    </row>
    <row r="1592" spans="1:14" x14ac:dyDescent="0.3">
      <c r="A1592" t="s">
        <v>2638</v>
      </c>
      <c r="B1592" t="s">
        <v>552</v>
      </c>
      <c r="C1592" s="1">
        <v>45475</v>
      </c>
      <c r="E1592" t="s">
        <v>39</v>
      </c>
      <c r="F1592">
        <v>17</v>
      </c>
      <c r="G1592" s="12">
        <v>833</v>
      </c>
      <c r="H1592" s="1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1047</v>
      </c>
      <c r="N1592" t="b">
        <v>1</v>
      </c>
    </row>
    <row r="1593" spans="1:14" x14ac:dyDescent="0.3">
      <c r="A1593" t="s">
        <v>2639</v>
      </c>
      <c r="B1593" t="s">
        <v>504</v>
      </c>
      <c r="C1593" s="1">
        <v>45644</v>
      </c>
      <c r="E1593" t="s">
        <v>39</v>
      </c>
      <c r="F1593">
        <v>18</v>
      </c>
      <c r="G1593" s="12">
        <v>882</v>
      </c>
      <c r="H1593" s="12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1050</v>
      </c>
      <c r="N1593" t="b">
        <v>1</v>
      </c>
    </row>
    <row r="1594" spans="1:14" x14ac:dyDescent="0.3">
      <c r="A1594" t="s">
        <v>2640</v>
      </c>
      <c r="B1594" t="s">
        <v>290</v>
      </c>
      <c r="C1594" s="1">
        <v>45628</v>
      </c>
      <c r="E1594" t="s">
        <v>15</v>
      </c>
      <c r="F1594">
        <v>93</v>
      </c>
      <c r="G1594" s="12">
        <v>1767</v>
      </c>
      <c r="H1594" s="12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1047</v>
      </c>
      <c r="N1594" t="b">
        <v>0</v>
      </c>
    </row>
    <row r="1595" spans="1:14" x14ac:dyDescent="0.3">
      <c r="A1595" t="s">
        <v>2641</v>
      </c>
      <c r="B1595" t="s">
        <v>146</v>
      </c>
      <c r="C1595" s="1">
        <v>45643</v>
      </c>
      <c r="E1595" t="s">
        <v>15</v>
      </c>
      <c r="F1595">
        <v>20</v>
      </c>
      <c r="G1595" s="12">
        <v>380</v>
      </c>
      <c r="H1595" s="12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1047</v>
      </c>
      <c r="N1595" t="b">
        <v>0</v>
      </c>
    </row>
    <row r="1596" spans="1:14" x14ac:dyDescent="0.3">
      <c r="A1596" t="s">
        <v>2642</v>
      </c>
      <c r="B1596" t="s">
        <v>892</v>
      </c>
      <c r="C1596" s="1">
        <v>45463</v>
      </c>
      <c r="D1596" s="1">
        <v>45484</v>
      </c>
      <c r="E1596" t="s">
        <v>15</v>
      </c>
      <c r="F1596">
        <v>23</v>
      </c>
      <c r="G1596" s="12">
        <v>0</v>
      </c>
      <c r="H1596" s="12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1050</v>
      </c>
      <c r="N1596" t="b">
        <v>1</v>
      </c>
    </row>
    <row r="1597" spans="1:14" x14ac:dyDescent="0.3">
      <c r="A1597" t="s">
        <v>2643</v>
      </c>
      <c r="B1597" t="s">
        <v>926</v>
      </c>
      <c r="C1597" s="1">
        <v>45355</v>
      </c>
      <c r="E1597" t="s">
        <v>39</v>
      </c>
      <c r="F1597">
        <v>27</v>
      </c>
      <c r="G1597" s="12">
        <v>1323</v>
      </c>
      <c r="H1597" s="12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1050</v>
      </c>
      <c r="N1597" t="b">
        <v>1</v>
      </c>
    </row>
    <row r="1598" spans="1:14" x14ac:dyDescent="0.3">
      <c r="A1598" t="s">
        <v>2644</v>
      </c>
      <c r="B1598" t="s">
        <v>804</v>
      </c>
      <c r="C1598" s="1">
        <v>45512</v>
      </c>
      <c r="E1598" t="s">
        <v>32</v>
      </c>
      <c r="F1598">
        <v>10</v>
      </c>
      <c r="G1598" s="12">
        <v>1990</v>
      </c>
      <c r="H1598" s="12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1050</v>
      </c>
      <c r="N1598" t="b">
        <v>1</v>
      </c>
    </row>
    <row r="1599" spans="1:14" x14ac:dyDescent="0.3">
      <c r="A1599" t="s">
        <v>2645</v>
      </c>
      <c r="B1599" t="s">
        <v>378</v>
      </c>
      <c r="C1599" s="1">
        <v>45642</v>
      </c>
      <c r="E1599" t="s">
        <v>15</v>
      </c>
      <c r="F1599">
        <v>70</v>
      </c>
      <c r="G1599" s="12">
        <v>1330</v>
      </c>
      <c r="H1599" s="12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1047</v>
      </c>
      <c r="N1599" t="b">
        <v>1</v>
      </c>
    </row>
    <row r="1600" spans="1:14" x14ac:dyDescent="0.3">
      <c r="A1600" t="s">
        <v>2646</v>
      </c>
      <c r="B1600" t="s">
        <v>218</v>
      </c>
      <c r="C1600" s="1">
        <v>45305</v>
      </c>
      <c r="E1600" t="s">
        <v>32</v>
      </c>
      <c r="F1600">
        <v>11</v>
      </c>
      <c r="G1600" s="12">
        <v>2189</v>
      </c>
      <c r="H1600" s="12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1050</v>
      </c>
      <c r="N1600" t="b">
        <v>1</v>
      </c>
    </row>
    <row r="1601" spans="1:14" x14ac:dyDescent="0.3">
      <c r="A1601" t="s">
        <v>2647</v>
      </c>
      <c r="B1601" t="s">
        <v>922</v>
      </c>
      <c r="C1601" s="1">
        <v>45649</v>
      </c>
      <c r="E1601" t="s">
        <v>39</v>
      </c>
      <c r="F1601">
        <v>12</v>
      </c>
      <c r="G1601" s="12">
        <v>588</v>
      </c>
      <c r="H1601" s="12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1047</v>
      </c>
      <c r="N1601" t="b">
        <v>0</v>
      </c>
    </row>
    <row r="1602" spans="1:14" x14ac:dyDescent="0.3">
      <c r="A1602" t="s">
        <v>2648</v>
      </c>
      <c r="B1602" t="s">
        <v>21</v>
      </c>
      <c r="C1602" s="1">
        <v>45581</v>
      </c>
      <c r="E1602" t="s">
        <v>15</v>
      </c>
      <c r="F1602">
        <v>6</v>
      </c>
      <c r="G1602" s="12">
        <v>114</v>
      </c>
      <c r="H1602" s="1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1047</v>
      </c>
      <c r="N1602" t="b">
        <v>1</v>
      </c>
    </row>
    <row r="1603" spans="1:14" x14ac:dyDescent="0.3">
      <c r="A1603" t="s">
        <v>2649</v>
      </c>
      <c r="B1603" t="s">
        <v>204</v>
      </c>
      <c r="C1603" s="1">
        <v>45644</v>
      </c>
      <c r="E1603" t="s">
        <v>39</v>
      </c>
      <c r="F1603">
        <v>92</v>
      </c>
      <c r="G1603" s="12">
        <v>4508</v>
      </c>
      <c r="H1603" s="12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1050</v>
      </c>
      <c r="N1603" t="b">
        <v>1</v>
      </c>
    </row>
    <row r="1604" spans="1:14" x14ac:dyDescent="0.3">
      <c r="A1604" t="s">
        <v>2650</v>
      </c>
      <c r="B1604" t="s">
        <v>918</v>
      </c>
      <c r="C1604" s="1">
        <v>45655</v>
      </c>
      <c r="E1604" t="s">
        <v>39</v>
      </c>
      <c r="F1604">
        <v>5</v>
      </c>
      <c r="G1604" s="12">
        <v>245</v>
      </c>
      <c r="H1604" s="12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1050</v>
      </c>
      <c r="N1604" t="b">
        <v>1</v>
      </c>
    </row>
    <row r="1605" spans="1:14" x14ac:dyDescent="0.3">
      <c r="A1605" t="s">
        <v>2651</v>
      </c>
      <c r="B1605" t="s">
        <v>736</v>
      </c>
      <c r="C1605" s="1">
        <v>45579</v>
      </c>
      <c r="E1605" t="s">
        <v>32</v>
      </c>
      <c r="F1605">
        <v>28</v>
      </c>
      <c r="G1605" s="12">
        <v>5572</v>
      </c>
      <c r="H1605" s="12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1050</v>
      </c>
      <c r="N1605" t="b">
        <v>1</v>
      </c>
    </row>
    <row r="1606" spans="1:14" x14ac:dyDescent="0.3">
      <c r="A1606" t="s">
        <v>2652</v>
      </c>
      <c r="B1606" t="s">
        <v>852</v>
      </c>
      <c r="C1606" s="1">
        <v>45444</v>
      </c>
      <c r="E1606" t="s">
        <v>15</v>
      </c>
      <c r="F1606">
        <v>1</v>
      </c>
      <c r="G1606" s="12">
        <v>19</v>
      </c>
      <c r="H1606" s="12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1047</v>
      </c>
      <c r="N1606" t="b">
        <v>0</v>
      </c>
    </row>
    <row r="1607" spans="1:14" x14ac:dyDescent="0.3">
      <c r="A1607" t="s">
        <v>2653</v>
      </c>
      <c r="B1607" t="s">
        <v>168</v>
      </c>
      <c r="C1607" s="1">
        <v>45486</v>
      </c>
      <c r="E1607" t="s">
        <v>15</v>
      </c>
      <c r="F1607">
        <v>29</v>
      </c>
      <c r="G1607" s="12">
        <v>551</v>
      </c>
      <c r="H1607" s="12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1047</v>
      </c>
      <c r="N1607" t="b">
        <v>1</v>
      </c>
    </row>
    <row r="1608" spans="1:14" x14ac:dyDescent="0.3">
      <c r="A1608" t="s">
        <v>2654</v>
      </c>
      <c r="B1608" t="s">
        <v>864</v>
      </c>
      <c r="C1608" s="1">
        <v>45255</v>
      </c>
      <c r="E1608" t="s">
        <v>32</v>
      </c>
      <c r="F1608">
        <v>13</v>
      </c>
      <c r="G1608" s="12">
        <v>2587</v>
      </c>
      <c r="H1608" s="12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1047</v>
      </c>
      <c r="N1608" t="b">
        <v>0</v>
      </c>
    </row>
    <row r="1609" spans="1:14" x14ac:dyDescent="0.3">
      <c r="A1609" t="s">
        <v>2655</v>
      </c>
      <c r="B1609" t="s">
        <v>908</v>
      </c>
      <c r="C1609" s="1">
        <v>44973</v>
      </c>
      <c r="D1609" s="1">
        <v>45465</v>
      </c>
      <c r="E1609" t="s">
        <v>15</v>
      </c>
      <c r="F1609">
        <v>26</v>
      </c>
      <c r="G1609" s="12">
        <v>494</v>
      </c>
      <c r="H1609" s="12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1047</v>
      </c>
      <c r="N1609" t="b">
        <v>1</v>
      </c>
    </row>
    <row r="1610" spans="1:14" x14ac:dyDescent="0.3">
      <c r="A1610" t="s">
        <v>2656</v>
      </c>
      <c r="B1610" t="s">
        <v>694</v>
      </c>
      <c r="C1610" s="1">
        <v>45253</v>
      </c>
      <c r="D1610" s="1">
        <v>45573</v>
      </c>
      <c r="E1610" t="s">
        <v>39</v>
      </c>
      <c r="F1610">
        <v>49</v>
      </c>
      <c r="G1610" s="12">
        <v>2401</v>
      </c>
      <c r="H1610" s="12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1047</v>
      </c>
      <c r="N1610" t="b">
        <v>1</v>
      </c>
    </row>
    <row r="1611" spans="1:14" x14ac:dyDescent="0.3">
      <c r="A1611" t="s">
        <v>2657</v>
      </c>
      <c r="B1611" t="s">
        <v>118</v>
      </c>
      <c r="C1611" s="1">
        <v>45556</v>
      </c>
      <c r="E1611" t="s">
        <v>39</v>
      </c>
      <c r="F1611">
        <v>35</v>
      </c>
      <c r="G1611" s="12">
        <v>1715</v>
      </c>
      <c r="H1611" s="12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1047</v>
      </c>
      <c r="N1611" t="b">
        <v>1</v>
      </c>
    </row>
    <row r="1612" spans="1:14" x14ac:dyDescent="0.3">
      <c r="A1612" t="s">
        <v>2658</v>
      </c>
      <c r="B1612" t="s">
        <v>514</v>
      </c>
      <c r="C1612" s="1">
        <v>45584</v>
      </c>
      <c r="E1612" t="s">
        <v>15</v>
      </c>
      <c r="F1612">
        <v>5</v>
      </c>
      <c r="G1612" s="12">
        <v>95</v>
      </c>
      <c r="H1612" s="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1047</v>
      </c>
      <c r="N1612" t="b">
        <v>1</v>
      </c>
    </row>
    <row r="1613" spans="1:14" x14ac:dyDescent="0.3">
      <c r="A1613" t="s">
        <v>2659</v>
      </c>
      <c r="B1613" t="s">
        <v>200</v>
      </c>
      <c r="C1613" s="1">
        <v>45317</v>
      </c>
      <c r="E1613" t="s">
        <v>32</v>
      </c>
      <c r="F1613">
        <v>16</v>
      </c>
      <c r="G1613" s="12">
        <v>3184</v>
      </c>
      <c r="H1613" s="12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1050</v>
      </c>
      <c r="N1613" t="b">
        <v>1</v>
      </c>
    </row>
    <row r="1614" spans="1:14" x14ac:dyDescent="0.3">
      <c r="A1614" t="s">
        <v>2660</v>
      </c>
      <c r="B1614" t="s">
        <v>1016</v>
      </c>
      <c r="C1614" s="1">
        <v>45592</v>
      </c>
      <c r="E1614" t="s">
        <v>39</v>
      </c>
      <c r="F1614">
        <v>57</v>
      </c>
      <c r="G1614" s="12">
        <v>2793</v>
      </c>
      <c r="H1614" s="12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1047</v>
      </c>
      <c r="N1614" t="b">
        <v>0</v>
      </c>
    </row>
    <row r="1615" spans="1:14" x14ac:dyDescent="0.3">
      <c r="A1615" t="s">
        <v>2661</v>
      </c>
      <c r="B1615" t="s">
        <v>910</v>
      </c>
      <c r="C1615" s="1">
        <v>45648</v>
      </c>
      <c r="E1615" t="s">
        <v>32</v>
      </c>
      <c r="F1615">
        <v>20</v>
      </c>
      <c r="G1615" s="12">
        <v>0</v>
      </c>
      <c r="H1615" s="12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1047</v>
      </c>
      <c r="N1615" t="b">
        <v>1</v>
      </c>
    </row>
    <row r="1616" spans="1:14" x14ac:dyDescent="0.3">
      <c r="A1616" t="s">
        <v>2662</v>
      </c>
      <c r="B1616" t="s">
        <v>236</v>
      </c>
      <c r="C1616" s="1">
        <v>45323</v>
      </c>
      <c r="D1616" s="1">
        <v>45523</v>
      </c>
      <c r="E1616" t="s">
        <v>32</v>
      </c>
      <c r="F1616">
        <v>22</v>
      </c>
      <c r="G1616" s="12">
        <v>4378</v>
      </c>
      <c r="H1616" s="12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1047</v>
      </c>
      <c r="N1616" t="b">
        <v>1</v>
      </c>
    </row>
    <row r="1617" spans="1:14" x14ac:dyDescent="0.3">
      <c r="A1617" t="s">
        <v>2663</v>
      </c>
      <c r="B1617" t="s">
        <v>370</v>
      </c>
      <c r="C1617" s="1">
        <v>45561</v>
      </c>
      <c r="E1617" t="s">
        <v>15</v>
      </c>
      <c r="F1617">
        <v>19</v>
      </c>
      <c r="G1617" s="12">
        <v>361</v>
      </c>
      <c r="H1617" s="12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1050</v>
      </c>
      <c r="N1617" t="b">
        <v>1</v>
      </c>
    </row>
    <row r="1618" spans="1:14" x14ac:dyDescent="0.3">
      <c r="A1618" t="s">
        <v>2664</v>
      </c>
      <c r="B1618" t="s">
        <v>454</v>
      </c>
      <c r="C1618" s="1">
        <v>45536</v>
      </c>
      <c r="E1618" t="s">
        <v>32</v>
      </c>
      <c r="F1618">
        <v>36</v>
      </c>
      <c r="G1618" s="12">
        <v>7164</v>
      </c>
      <c r="H1618" s="12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1050</v>
      </c>
      <c r="N1618" t="b">
        <v>1</v>
      </c>
    </row>
    <row r="1619" spans="1:14" x14ac:dyDescent="0.3">
      <c r="A1619" t="s">
        <v>2665</v>
      </c>
      <c r="B1619" t="s">
        <v>63</v>
      </c>
      <c r="C1619" s="1">
        <v>45493</v>
      </c>
      <c r="E1619" t="s">
        <v>39</v>
      </c>
      <c r="F1619">
        <v>18</v>
      </c>
      <c r="G1619" s="12">
        <v>882</v>
      </c>
      <c r="H1619" s="12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1050</v>
      </c>
      <c r="N1619" t="b">
        <v>1</v>
      </c>
    </row>
    <row r="1620" spans="1:14" x14ac:dyDescent="0.3">
      <c r="A1620" t="s">
        <v>2666</v>
      </c>
      <c r="B1620" t="s">
        <v>554</v>
      </c>
      <c r="C1620" s="1">
        <v>45607</v>
      </c>
      <c r="E1620" t="s">
        <v>15</v>
      </c>
      <c r="F1620">
        <v>17</v>
      </c>
      <c r="G1620" s="12">
        <v>323</v>
      </c>
      <c r="H1620" s="12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1047</v>
      </c>
      <c r="N1620" t="b">
        <v>1</v>
      </c>
    </row>
    <row r="1621" spans="1:14" x14ac:dyDescent="0.3">
      <c r="A1621" t="s">
        <v>2667</v>
      </c>
      <c r="B1621" t="s">
        <v>570</v>
      </c>
      <c r="C1621" s="1">
        <v>45540</v>
      </c>
      <c r="E1621" t="s">
        <v>39</v>
      </c>
      <c r="F1621">
        <v>83</v>
      </c>
      <c r="G1621" s="12">
        <v>4067</v>
      </c>
      <c r="H1621" s="12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1050</v>
      </c>
      <c r="N1621" t="b">
        <v>1</v>
      </c>
    </row>
    <row r="1622" spans="1:14" x14ac:dyDescent="0.3">
      <c r="A1622" t="s">
        <v>2668</v>
      </c>
      <c r="B1622" t="s">
        <v>596</v>
      </c>
      <c r="C1622" s="1">
        <v>45190</v>
      </c>
      <c r="E1622" t="s">
        <v>39</v>
      </c>
      <c r="F1622">
        <v>18</v>
      </c>
      <c r="G1622" s="12">
        <v>882</v>
      </c>
      <c r="H1622" s="1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1050</v>
      </c>
      <c r="N1622" t="b">
        <v>1</v>
      </c>
    </row>
    <row r="1623" spans="1:14" x14ac:dyDescent="0.3">
      <c r="A1623" t="s">
        <v>2669</v>
      </c>
      <c r="B1623" t="s">
        <v>940</v>
      </c>
      <c r="C1623" s="1">
        <v>45531</v>
      </c>
      <c r="E1623" t="s">
        <v>15</v>
      </c>
      <c r="F1623">
        <v>24</v>
      </c>
      <c r="G1623" s="12">
        <v>456</v>
      </c>
      <c r="H1623" s="12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1050</v>
      </c>
      <c r="N1623" t="b">
        <v>1</v>
      </c>
    </row>
    <row r="1624" spans="1:14" x14ac:dyDescent="0.3">
      <c r="A1624" t="s">
        <v>2670</v>
      </c>
      <c r="B1624" t="s">
        <v>666</v>
      </c>
      <c r="C1624" s="1">
        <v>45600</v>
      </c>
      <c r="E1624" t="s">
        <v>39</v>
      </c>
      <c r="F1624">
        <v>10</v>
      </c>
      <c r="G1624" s="12">
        <v>490</v>
      </c>
      <c r="H1624" s="12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1050</v>
      </c>
      <c r="N1624" t="b">
        <v>0</v>
      </c>
    </row>
    <row r="1625" spans="1:14" x14ac:dyDescent="0.3">
      <c r="A1625" t="s">
        <v>2671</v>
      </c>
      <c r="B1625" t="s">
        <v>47</v>
      </c>
      <c r="C1625" s="1">
        <v>45580</v>
      </c>
      <c r="E1625" t="s">
        <v>39</v>
      </c>
      <c r="F1625">
        <v>18</v>
      </c>
      <c r="G1625" s="12">
        <v>882</v>
      </c>
      <c r="H1625" s="12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1047</v>
      </c>
      <c r="N1625" t="b">
        <v>1</v>
      </c>
    </row>
    <row r="1626" spans="1:14" x14ac:dyDescent="0.3">
      <c r="A1626" t="s">
        <v>2672</v>
      </c>
      <c r="B1626" t="s">
        <v>510</v>
      </c>
      <c r="C1626" s="1">
        <v>45423</v>
      </c>
      <c r="E1626" t="s">
        <v>39</v>
      </c>
      <c r="F1626">
        <v>55</v>
      </c>
      <c r="G1626" s="12">
        <v>2695</v>
      </c>
      <c r="H1626" s="12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1047</v>
      </c>
      <c r="N1626" t="b">
        <v>0</v>
      </c>
    </row>
    <row r="1627" spans="1:14" x14ac:dyDescent="0.3">
      <c r="A1627" t="s">
        <v>2673</v>
      </c>
      <c r="B1627" t="s">
        <v>548</v>
      </c>
      <c r="C1627" s="1">
        <v>45536</v>
      </c>
      <c r="E1627" t="s">
        <v>32</v>
      </c>
      <c r="F1627">
        <v>25</v>
      </c>
      <c r="G1627" s="12">
        <v>4975</v>
      </c>
      <c r="H1627" s="12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1050</v>
      </c>
      <c r="N1627" t="b">
        <v>0</v>
      </c>
    </row>
    <row r="1628" spans="1:14" x14ac:dyDescent="0.3">
      <c r="A1628" t="s">
        <v>2674</v>
      </c>
      <c r="B1628" t="s">
        <v>972</v>
      </c>
      <c r="C1628" s="1">
        <v>45544</v>
      </c>
      <c r="E1628" t="s">
        <v>32</v>
      </c>
      <c r="F1628">
        <v>1</v>
      </c>
      <c r="G1628" s="12">
        <v>199</v>
      </c>
      <c r="H1628" s="12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1050</v>
      </c>
      <c r="N1628" t="b">
        <v>1</v>
      </c>
    </row>
    <row r="1629" spans="1:14" x14ac:dyDescent="0.3">
      <c r="A1629" t="s">
        <v>2675</v>
      </c>
      <c r="B1629" t="s">
        <v>164</v>
      </c>
      <c r="C1629" s="1">
        <v>45552</v>
      </c>
      <c r="E1629" t="s">
        <v>32</v>
      </c>
      <c r="F1629">
        <v>18</v>
      </c>
      <c r="G1629" s="12">
        <v>3582</v>
      </c>
      <c r="H1629" s="12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1050</v>
      </c>
      <c r="N1629" t="b">
        <v>1</v>
      </c>
    </row>
    <row r="1630" spans="1:14" x14ac:dyDescent="0.3">
      <c r="A1630" t="s">
        <v>2676</v>
      </c>
      <c r="B1630" t="s">
        <v>1012</v>
      </c>
      <c r="C1630" s="1">
        <v>45526</v>
      </c>
      <c r="E1630" t="s">
        <v>32</v>
      </c>
      <c r="F1630">
        <v>53</v>
      </c>
      <c r="G1630" s="12">
        <v>10547</v>
      </c>
      <c r="H1630" s="12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1050</v>
      </c>
      <c r="N1630" t="b">
        <v>1</v>
      </c>
    </row>
    <row r="1631" spans="1:14" x14ac:dyDescent="0.3">
      <c r="A1631" t="s">
        <v>2677</v>
      </c>
      <c r="B1631" t="s">
        <v>844</v>
      </c>
      <c r="C1631" s="1">
        <v>45594</v>
      </c>
      <c r="E1631" t="s">
        <v>15</v>
      </c>
      <c r="F1631">
        <v>3</v>
      </c>
      <c r="G1631" s="12">
        <v>57</v>
      </c>
      <c r="H1631" s="12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1047</v>
      </c>
      <c r="N1631" t="b">
        <v>1</v>
      </c>
    </row>
    <row r="1632" spans="1:14" x14ac:dyDescent="0.3">
      <c r="A1632" t="s">
        <v>2678</v>
      </c>
      <c r="B1632" t="s">
        <v>318</v>
      </c>
      <c r="C1632" s="1">
        <v>45556</v>
      </c>
      <c r="E1632" t="s">
        <v>32</v>
      </c>
      <c r="F1632">
        <v>19</v>
      </c>
      <c r="G1632" s="12">
        <v>3781</v>
      </c>
      <c r="H1632" s="1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1047</v>
      </c>
      <c r="N1632" t="b">
        <v>1</v>
      </c>
    </row>
    <row r="1633" spans="1:14" x14ac:dyDescent="0.3">
      <c r="A1633" t="s">
        <v>2679</v>
      </c>
      <c r="B1633" t="s">
        <v>712</v>
      </c>
      <c r="C1633" s="1">
        <v>45607</v>
      </c>
      <c r="E1633" t="s">
        <v>15</v>
      </c>
      <c r="F1633">
        <v>70</v>
      </c>
      <c r="G1633" s="12">
        <v>1330</v>
      </c>
      <c r="H1633" s="12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1047</v>
      </c>
      <c r="N1633" t="b">
        <v>1</v>
      </c>
    </row>
    <row r="1634" spans="1:14" x14ac:dyDescent="0.3">
      <c r="A1634" t="s">
        <v>2680</v>
      </c>
      <c r="B1634" t="s">
        <v>234</v>
      </c>
      <c r="C1634" s="1">
        <v>45173</v>
      </c>
      <c r="D1634" s="1">
        <v>45424</v>
      </c>
      <c r="E1634" t="s">
        <v>32</v>
      </c>
      <c r="F1634">
        <v>16</v>
      </c>
      <c r="G1634" s="12">
        <v>3184</v>
      </c>
      <c r="H1634" s="12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1047</v>
      </c>
      <c r="N1634" t="b">
        <v>1</v>
      </c>
    </row>
    <row r="1635" spans="1:14" x14ac:dyDescent="0.3">
      <c r="A1635" t="s">
        <v>2681</v>
      </c>
      <c r="B1635" t="s">
        <v>842</v>
      </c>
      <c r="C1635" s="1">
        <v>45398</v>
      </c>
      <c r="E1635" t="s">
        <v>39</v>
      </c>
      <c r="F1635">
        <v>21</v>
      </c>
      <c r="G1635" s="12">
        <v>1029</v>
      </c>
      <c r="H1635" s="12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1050</v>
      </c>
      <c r="N1635" t="b">
        <v>1</v>
      </c>
    </row>
    <row r="1636" spans="1:14" x14ac:dyDescent="0.3">
      <c r="A1636" t="s">
        <v>2682</v>
      </c>
      <c r="B1636" t="s">
        <v>270</v>
      </c>
      <c r="C1636" s="1">
        <v>45423</v>
      </c>
      <c r="E1636" t="s">
        <v>32</v>
      </c>
      <c r="F1636">
        <v>9</v>
      </c>
      <c r="G1636" s="12">
        <v>0</v>
      </c>
      <c r="H1636" s="12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1047</v>
      </c>
      <c r="N1636" t="b">
        <v>1</v>
      </c>
    </row>
    <row r="1637" spans="1:14" x14ac:dyDescent="0.3">
      <c r="A1637" t="s">
        <v>2683</v>
      </c>
      <c r="B1637" t="s">
        <v>45</v>
      </c>
      <c r="C1637" s="1">
        <v>45421</v>
      </c>
      <c r="E1637" t="s">
        <v>39</v>
      </c>
      <c r="F1637">
        <v>14</v>
      </c>
      <c r="G1637" s="12">
        <v>686</v>
      </c>
      <c r="H1637" s="12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1050</v>
      </c>
      <c r="N1637" t="b">
        <v>1</v>
      </c>
    </row>
    <row r="1638" spans="1:14" x14ac:dyDescent="0.3">
      <c r="A1638" t="s">
        <v>2684</v>
      </c>
      <c r="B1638" t="s">
        <v>722</v>
      </c>
      <c r="C1638" s="1">
        <v>45143</v>
      </c>
      <c r="E1638" t="s">
        <v>15</v>
      </c>
      <c r="F1638">
        <v>18</v>
      </c>
      <c r="G1638" s="12">
        <v>342</v>
      </c>
      <c r="H1638" s="12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1047</v>
      </c>
      <c r="N1638" t="b">
        <v>1</v>
      </c>
    </row>
    <row r="1639" spans="1:14" x14ac:dyDescent="0.3">
      <c r="A1639" t="s">
        <v>2685</v>
      </c>
      <c r="B1639" t="s">
        <v>856</v>
      </c>
      <c r="C1639" s="1">
        <v>45470</v>
      </c>
      <c r="E1639" t="s">
        <v>39</v>
      </c>
      <c r="F1639">
        <v>5</v>
      </c>
      <c r="G1639" s="12">
        <v>0</v>
      </c>
      <c r="H1639" s="12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1050</v>
      </c>
      <c r="N1639" t="b">
        <v>1</v>
      </c>
    </row>
    <row r="1640" spans="1:14" x14ac:dyDescent="0.3">
      <c r="A1640" t="s">
        <v>2686</v>
      </c>
      <c r="B1640" t="s">
        <v>146</v>
      </c>
      <c r="C1640" s="1">
        <v>45583</v>
      </c>
      <c r="E1640" t="s">
        <v>15</v>
      </c>
      <c r="F1640">
        <v>36</v>
      </c>
      <c r="G1640" s="12">
        <v>0</v>
      </c>
      <c r="H1640" s="12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1047</v>
      </c>
      <c r="N1640" t="b">
        <v>1</v>
      </c>
    </row>
    <row r="1641" spans="1:14" x14ac:dyDescent="0.3">
      <c r="A1641" t="s">
        <v>2687</v>
      </c>
      <c r="B1641" t="s">
        <v>528</v>
      </c>
      <c r="C1641" s="1">
        <v>45594</v>
      </c>
      <c r="E1641" t="s">
        <v>39</v>
      </c>
      <c r="F1641">
        <v>15</v>
      </c>
      <c r="G1641" s="12">
        <v>735</v>
      </c>
      <c r="H1641" s="12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1050</v>
      </c>
      <c r="N1641" t="b">
        <v>1</v>
      </c>
    </row>
    <row r="1642" spans="1:14" x14ac:dyDescent="0.3">
      <c r="A1642" t="s">
        <v>2688</v>
      </c>
      <c r="B1642" t="s">
        <v>816</v>
      </c>
      <c r="C1642" s="1">
        <v>45502</v>
      </c>
      <c r="E1642" t="s">
        <v>32</v>
      </c>
      <c r="F1642">
        <v>15</v>
      </c>
      <c r="G1642" s="12">
        <v>2985</v>
      </c>
      <c r="H1642" s="1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1050</v>
      </c>
      <c r="N1642" t="b">
        <v>0</v>
      </c>
    </row>
    <row r="1643" spans="1:14" x14ac:dyDescent="0.3">
      <c r="A1643" t="s">
        <v>2689</v>
      </c>
      <c r="B1643" t="s">
        <v>946</v>
      </c>
      <c r="C1643" s="1">
        <v>45296</v>
      </c>
      <c r="E1643" t="s">
        <v>32</v>
      </c>
      <c r="F1643">
        <v>58</v>
      </c>
      <c r="G1643" s="12">
        <v>0</v>
      </c>
      <c r="H1643" s="12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1047</v>
      </c>
      <c r="N1643" t="b">
        <v>1</v>
      </c>
    </row>
    <row r="1644" spans="1:14" x14ac:dyDescent="0.3">
      <c r="A1644" t="s">
        <v>2690</v>
      </c>
      <c r="B1644" t="s">
        <v>752</v>
      </c>
      <c r="C1644" s="1">
        <v>44994</v>
      </c>
      <c r="E1644" t="s">
        <v>39</v>
      </c>
      <c r="F1644">
        <v>42</v>
      </c>
      <c r="G1644" s="12">
        <v>2058</v>
      </c>
      <c r="H1644" s="12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1050</v>
      </c>
      <c r="N1644" t="b">
        <v>0</v>
      </c>
    </row>
    <row r="1645" spans="1:14" x14ac:dyDescent="0.3">
      <c r="A1645" t="s">
        <v>2691</v>
      </c>
      <c r="B1645" t="s">
        <v>1014</v>
      </c>
      <c r="C1645" s="1">
        <v>45649</v>
      </c>
      <c r="E1645" t="s">
        <v>15</v>
      </c>
      <c r="F1645">
        <v>32</v>
      </c>
      <c r="G1645" s="12">
        <v>608</v>
      </c>
      <c r="H1645" s="12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1047</v>
      </c>
      <c r="N1645" t="b">
        <v>1</v>
      </c>
    </row>
    <row r="1646" spans="1:14" x14ac:dyDescent="0.3">
      <c r="A1646" t="s">
        <v>2692</v>
      </c>
      <c r="B1646" t="s">
        <v>830</v>
      </c>
      <c r="C1646" s="1">
        <v>45657</v>
      </c>
      <c r="E1646" t="s">
        <v>32</v>
      </c>
      <c r="F1646">
        <v>28</v>
      </c>
      <c r="G1646" s="12">
        <v>5572</v>
      </c>
      <c r="H1646" s="12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1047</v>
      </c>
      <c r="N1646" t="b">
        <v>0</v>
      </c>
    </row>
    <row r="1647" spans="1:14" x14ac:dyDescent="0.3">
      <c r="A1647" t="s">
        <v>2693</v>
      </c>
      <c r="B1647" t="s">
        <v>872</v>
      </c>
      <c r="C1647" s="1">
        <v>45609</v>
      </c>
      <c r="E1647" t="s">
        <v>15</v>
      </c>
      <c r="F1647">
        <v>54</v>
      </c>
      <c r="G1647" s="12">
        <v>1026</v>
      </c>
      <c r="H1647" s="12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1047</v>
      </c>
      <c r="N1647" t="b">
        <v>1</v>
      </c>
    </row>
    <row r="1648" spans="1:14" x14ac:dyDescent="0.3">
      <c r="A1648" t="s">
        <v>2694</v>
      </c>
      <c r="B1648" t="s">
        <v>200</v>
      </c>
      <c r="C1648" s="1">
        <v>45561</v>
      </c>
      <c r="E1648" t="s">
        <v>15</v>
      </c>
      <c r="F1648">
        <v>27</v>
      </c>
      <c r="G1648" s="12">
        <v>513</v>
      </c>
      <c r="H1648" s="12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1047</v>
      </c>
      <c r="N1648" t="b">
        <v>1</v>
      </c>
    </row>
    <row r="1649" spans="1:14" x14ac:dyDescent="0.3">
      <c r="A1649" t="s">
        <v>2695</v>
      </c>
      <c r="B1649" t="s">
        <v>962</v>
      </c>
      <c r="C1649" s="1">
        <v>45375</v>
      </c>
      <c r="E1649" t="s">
        <v>15</v>
      </c>
      <c r="F1649">
        <v>19</v>
      </c>
      <c r="G1649" s="12">
        <v>361</v>
      </c>
      <c r="H1649" s="12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1050</v>
      </c>
      <c r="N1649" t="b">
        <v>0</v>
      </c>
    </row>
    <row r="1650" spans="1:14" x14ac:dyDescent="0.3">
      <c r="A1650" t="s">
        <v>2696</v>
      </c>
      <c r="B1650" t="s">
        <v>754</v>
      </c>
      <c r="C1650" s="1">
        <v>45627</v>
      </c>
      <c r="D1650" s="1">
        <v>45642</v>
      </c>
      <c r="E1650" t="s">
        <v>32</v>
      </c>
      <c r="F1650">
        <v>91</v>
      </c>
      <c r="G1650" s="12">
        <v>18109</v>
      </c>
      <c r="H1650" s="12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1047</v>
      </c>
      <c r="N1650" t="b">
        <v>1</v>
      </c>
    </row>
    <row r="1651" spans="1:14" x14ac:dyDescent="0.3">
      <c r="A1651" t="s">
        <v>2697</v>
      </c>
      <c r="B1651" t="s">
        <v>186</v>
      </c>
      <c r="C1651" s="1">
        <v>45625</v>
      </c>
      <c r="E1651" t="s">
        <v>39</v>
      </c>
      <c r="F1651">
        <v>31</v>
      </c>
      <c r="G1651" s="12">
        <v>1519</v>
      </c>
      <c r="H1651" s="12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1050</v>
      </c>
      <c r="N1651" t="b">
        <v>1</v>
      </c>
    </row>
    <row r="1652" spans="1:14" x14ac:dyDescent="0.3">
      <c r="A1652" t="s">
        <v>2698</v>
      </c>
      <c r="B1652" t="s">
        <v>868</v>
      </c>
      <c r="C1652" s="1">
        <v>45160</v>
      </c>
      <c r="E1652" t="s">
        <v>15</v>
      </c>
      <c r="F1652">
        <v>13</v>
      </c>
      <c r="G1652" s="12">
        <v>247</v>
      </c>
      <c r="H1652" s="1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1047</v>
      </c>
      <c r="N1652" t="b">
        <v>1</v>
      </c>
    </row>
    <row r="1653" spans="1:14" x14ac:dyDescent="0.3">
      <c r="A1653" t="s">
        <v>2699</v>
      </c>
      <c r="B1653" t="s">
        <v>478</v>
      </c>
      <c r="C1653" s="1">
        <v>45376</v>
      </c>
      <c r="E1653" t="s">
        <v>15</v>
      </c>
      <c r="F1653">
        <v>4</v>
      </c>
      <c r="G1653" s="12">
        <v>76</v>
      </c>
      <c r="H1653" s="12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1047</v>
      </c>
      <c r="N1653" t="b">
        <v>1</v>
      </c>
    </row>
    <row r="1654" spans="1:14" x14ac:dyDescent="0.3">
      <c r="A1654" t="s">
        <v>2700</v>
      </c>
      <c r="B1654" t="s">
        <v>884</v>
      </c>
      <c r="C1654" s="1">
        <v>45551</v>
      </c>
      <c r="E1654" t="s">
        <v>39</v>
      </c>
      <c r="F1654">
        <v>24</v>
      </c>
      <c r="G1654" s="12">
        <v>0</v>
      </c>
      <c r="H1654" s="12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1050</v>
      </c>
      <c r="N1654" t="b">
        <v>1</v>
      </c>
    </row>
    <row r="1655" spans="1:14" x14ac:dyDescent="0.3">
      <c r="A1655" t="s">
        <v>2701</v>
      </c>
      <c r="B1655" t="s">
        <v>546</v>
      </c>
      <c r="C1655" s="1">
        <v>45253</v>
      </c>
      <c r="E1655" t="s">
        <v>15</v>
      </c>
      <c r="F1655">
        <v>31</v>
      </c>
      <c r="G1655" s="12">
        <v>589</v>
      </c>
      <c r="H1655" s="12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1050</v>
      </c>
      <c r="N1655" t="b">
        <v>1</v>
      </c>
    </row>
    <row r="1656" spans="1:14" x14ac:dyDescent="0.3">
      <c r="A1656" t="s">
        <v>2702</v>
      </c>
      <c r="B1656" t="s">
        <v>410</v>
      </c>
      <c r="C1656" s="1">
        <v>45630</v>
      </c>
      <c r="E1656" t="s">
        <v>39</v>
      </c>
      <c r="F1656">
        <v>35</v>
      </c>
      <c r="G1656" s="12">
        <v>1715</v>
      </c>
      <c r="H1656" s="12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1050</v>
      </c>
      <c r="N1656" t="b">
        <v>1</v>
      </c>
    </row>
    <row r="1657" spans="1:14" x14ac:dyDescent="0.3">
      <c r="A1657" t="s">
        <v>2703</v>
      </c>
      <c r="B1657" t="s">
        <v>674</v>
      </c>
      <c r="C1657" s="1">
        <v>45636</v>
      </c>
      <c r="E1657" t="s">
        <v>15</v>
      </c>
      <c r="F1657">
        <v>25</v>
      </c>
      <c r="G1657" s="12">
        <v>475</v>
      </c>
      <c r="H1657" s="12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1047</v>
      </c>
      <c r="N1657" t="b">
        <v>1</v>
      </c>
    </row>
    <row r="1658" spans="1:14" x14ac:dyDescent="0.3">
      <c r="A1658" t="s">
        <v>2704</v>
      </c>
      <c r="B1658" t="s">
        <v>800</v>
      </c>
      <c r="C1658" s="1">
        <v>45589</v>
      </c>
      <c r="E1658" t="s">
        <v>39</v>
      </c>
      <c r="F1658">
        <v>27</v>
      </c>
      <c r="G1658" s="12">
        <v>1323</v>
      </c>
      <c r="H1658" s="12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1047</v>
      </c>
      <c r="N1658" t="b">
        <v>1</v>
      </c>
    </row>
    <row r="1659" spans="1:14" x14ac:dyDescent="0.3">
      <c r="A1659" t="s">
        <v>2705</v>
      </c>
      <c r="B1659" t="s">
        <v>170</v>
      </c>
      <c r="C1659" s="1">
        <v>45637</v>
      </c>
      <c r="E1659" t="s">
        <v>39</v>
      </c>
      <c r="F1659">
        <v>15</v>
      </c>
      <c r="G1659" s="12">
        <v>735</v>
      </c>
      <c r="H1659" s="12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1050</v>
      </c>
      <c r="N1659" t="b">
        <v>1</v>
      </c>
    </row>
    <row r="1660" spans="1:14" x14ac:dyDescent="0.3">
      <c r="A1660" t="s">
        <v>2706</v>
      </c>
      <c r="B1660" t="s">
        <v>948</v>
      </c>
      <c r="C1660" s="1">
        <v>45631</v>
      </c>
      <c r="E1660" t="s">
        <v>32</v>
      </c>
      <c r="F1660">
        <v>14</v>
      </c>
      <c r="G1660" s="12">
        <v>2786</v>
      </c>
      <c r="H1660" s="12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1050</v>
      </c>
      <c r="N1660" t="b">
        <v>1</v>
      </c>
    </row>
    <row r="1661" spans="1:14" x14ac:dyDescent="0.3">
      <c r="A1661" t="s">
        <v>2707</v>
      </c>
      <c r="B1661" t="s">
        <v>996</v>
      </c>
      <c r="C1661" s="1">
        <v>45531</v>
      </c>
      <c r="E1661" t="s">
        <v>39</v>
      </c>
      <c r="F1661">
        <v>85</v>
      </c>
      <c r="G1661" s="12">
        <v>0</v>
      </c>
      <c r="H1661" s="12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1047</v>
      </c>
      <c r="N1661" t="b">
        <v>0</v>
      </c>
    </row>
    <row r="1662" spans="1:14" x14ac:dyDescent="0.3">
      <c r="A1662" t="s">
        <v>2708</v>
      </c>
      <c r="B1662" t="s">
        <v>818</v>
      </c>
      <c r="C1662" s="1">
        <v>45248</v>
      </c>
      <c r="E1662" t="s">
        <v>32</v>
      </c>
      <c r="F1662">
        <v>20</v>
      </c>
      <c r="G1662" s="12">
        <v>0</v>
      </c>
      <c r="H1662" s="1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1047</v>
      </c>
      <c r="N1662" t="b">
        <v>1</v>
      </c>
    </row>
    <row r="1663" spans="1:14" x14ac:dyDescent="0.3">
      <c r="A1663" t="s">
        <v>2709</v>
      </c>
      <c r="B1663" t="s">
        <v>116</v>
      </c>
      <c r="C1663" s="1">
        <v>45345</v>
      </c>
      <c r="E1663" t="s">
        <v>39</v>
      </c>
      <c r="F1663">
        <v>14</v>
      </c>
      <c r="G1663" s="12">
        <v>686</v>
      </c>
      <c r="H1663" s="12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1050</v>
      </c>
      <c r="N1663" t="b">
        <v>1</v>
      </c>
    </row>
    <row r="1664" spans="1:14" x14ac:dyDescent="0.3">
      <c r="A1664" t="s">
        <v>2710</v>
      </c>
      <c r="B1664" t="s">
        <v>820</v>
      </c>
      <c r="C1664" s="1">
        <v>45431</v>
      </c>
      <c r="E1664" t="s">
        <v>39</v>
      </c>
      <c r="F1664">
        <v>130</v>
      </c>
      <c r="G1664" s="12">
        <v>6370</v>
      </c>
      <c r="H1664" s="12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1047</v>
      </c>
      <c r="N1664" t="b">
        <v>1</v>
      </c>
    </row>
    <row r="1665" spans="1:14" x14ac:dyDescent="0.3">
      <c r="A1665" t="s">
        <v>2711</v>
      </c>
      <c r="B1665" t="s">
        <v>432</v>
      </c>
      <c r="C1665" s="1">
        <v>45604</v>
      </c>
      <c r="E1665" t="s">
        <v>15</v>
      </c>
      <c r="F1665">
        <v>7</v>
      </c>
      <c r="G1665" s="12">
        <v>133</v>
      </c>
      <c r="H1665" s="12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1047</v>
      </c>
      <c r="N1665" t="b">
        <v>1</v>
      </c>
    </row>
    <row r="1666" spans="1:14" x14ac:dyDescent="0.3">
      <c r="A1666" t="s">
        <v>2712</v>
      </c>
      <c r="B1666" t="s">
        <v>954</v>
      </c>
      <c r="C1666" s="1">
        <v>45524</v>
      </c>
      <c r="E1666" t="s">
        <v>15</v>
      </c>
      <c r="F1666">
        <v>29</v>
      </c>
      <c r="G1666" s="12">
        <v>551</v>
      </c>
      <c r="H1666" s="12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1050</v>
      </c>
      <c r="N1666" t="b">
        <v>1</v>
      </c>
    </row>
    <row r="1667" spans="1:14" x14ac:dyDescent="0.3">
      <c r="A1667" t="s">
        <v>2713</v>
      </c>
      <c r="B1667" t="s">
        <v>458</v>
      </c>
      <c r="C1667" s="1">
        <v>45509</v>
      </c>
      <c r="E1667" t="s">
        <v>32</v>
      </c>
      <c r="F1667">
        <v>56</v>
      </c>
      <c r="G1667" s="12">
        <v>11144</v>
      </c>
      <c r="H1667" s="12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1050</v>
      </c>
      <c r="N1667" t="b">
        <v>1</v>
      </c>
    </row>
    <row r="1668" spans="1:14" x14ac:dyDescent="0.3">
      <c r="A1668" t="s">
        <v>2714</v>
      </c>
      <c r="B1668" t="s">
        <v>768</v>
      </c>
      <c r="C1668" s="1">
        <v>45375</v>
      </c>
      <c r="E1668" t="s">
        <v>39</v>
      </c>
      <c r="F1668">
        <v>28</v>
      </c>
      <c r="G1668" s="12">
        <v>1372</v>
      </c>
      <c r="H1668" s="12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1047</v>
      </c>
      <c r="N1668" t="b">
        <v>0</v>
      </c>
    </row>
    <row r="1669" spans="1:14" x14ac:dyDescent="0.3">
      <c r="A1669" t="s">
        <v>2715</v>
      </c>
      <c r="B1669" t="s">
        <v>876</v>
      </c>
      <c r="C1669" s="1">
        <v>45444</v>
      </c>
      <c r="E1669" t="s">
        <v>32</v>
      </c>
      <c r="F1669">
        <v>22</v>
      </c>
      <c r="G1669" s="12">
        <v>4378</v>
      </c>
      <c r="H1669" s="12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1047</v>
      </c>
      <c r="N1669" t="b">
        <v>1</v>
      </c>
    </row>
    <row r="1670" spans="1:14" x14ac:dyDescent="0.3">
      <c r="A1670" t="s">
        <v>2716</v>
      </c>
      <c r="B1670" t="s">
        <v>746</v>
      </c>
      <c r="C1670" s="1">
        <v>45502</v>
      </c>
      <c r="D1670" s="1">
        <v>45554</v>
      </c>
      <c r="E1670" t="s">
        <v>39</v>
      </c>
      <c r="F1670">
        <v>87</v>
      </c>
      <c r="G1670" s="12">
        <v>4263</v>
      </c>
      <c r="H1670" s="12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1050</v>
      </c>
      <c r="N1670" t="b">
        <v>1</v>
      </c>
    </row>
    <row r="1671" spans="1:14" x14ac:dyDescent="0.3">
      <c r="A1671" t="s">
        <v>2717</v>
      </c>
      <c r="B1671" t="s">
        <v>744</v>
      </c>
      <c r="C1671" s="1">
        <v>45349</v>
      </c>
      <c r="E1671" t="s">
        <v>32</v>
      </c>
      <c r="F1671">
        <v>26</v>
      </c>
      <c r="G1671" s="12">
        <v>5174</v>
      </c>
      <c r="H1671" s="12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1050</v>
      </c>
      <c r="N1671" t="b">
        <v>0</v>
      </c>
    </row>
    <row r="1672" spans="1:14" x14ac:dyDescent="0.3">
      <c r="A1672" t="s">
        <v>2718</v>
      </c>
      <c r="B1672" t="s">
        <v>824</v>
      </c>
      <c r="C1672" s="1">
        <v>45260</v>
      </c>
      <c r="E1672" t="s">
        <v>39</v>
      </c>
      <c r="F1672">
        <v>23</v>
      </c>
      <c r="G1672" s="12">
        <v>0</v>
      </c>
      <c r="H1672" s="1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1047</v>
      </c>
      <c r="N1672" t="b">
        <v>1</v>
      </c>
    </row>
    <row r="1673" spans="1:14" x14ac:dyDescent="0.3">
      <c r="A1673" t="s">
        <v>2719</v>
      </c>
      <c r="B1673" t="s">
        <v>63</v>
      </c>
      <c r="C1673" s="1">
        <v>45544</v>
      </c>
      <c r="E1673" t="s">
        <v>39</v>
      </c>
      <c r="F1673">
        <v>18</v>
      </c>
      <c r="G1673" s="12">
        <v>882</v>
      </c>
      <c r="H1673" s="12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1050</v>
      </c>
      <c r="N1673" t="b">
        <v>1</v>
      </c>
    </row>
    <row r="1674" spans="1:14" x14ac:dyDescent="0.3">
      <c r="A1674" t="s">
        <v>2720</v>
      </c>
      <c r="B1674" t="s">
        <v>772</v>
      </c>
      <c r="C1674" s="1">
        <v>45639</v>
      </c>
      <c r="E1674" t="s">
        <v>32</v>
      </c>
      <c r="F1674">
        <v>46</v>
      </c>
      <c r="G1674" s="12">
        <v>0</v>
      </c>
      <c r="H1674" s="12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1050</v>
      </c>
      <c r="N1674" t="b">
        <v>1</v>
      </c>
    </row>
    <row r="1675" spans="1:14" x14ac:dyDescent="0.3">
      <c r="A1675" t="s">
        <v>2721</v>
      </c>
      <c r="B1675" t="s">
        <v>248</v>
      </c>
      <c r="C1675" s="1">
        <v>45073</v>
      </c>
      <c r="E1675" t="s">
        <v>32</v>
      </c>
      <c r="F1675">
        <v>18</v>
      </c>
      <c r="G1675" s="12">
        <v>3582</v>
      </c>
      <c r="H1675" s="12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1050</v>
      </c>
      <c r="N1675" t="b">
        <v>1</v>
      </c>
    </row>
    <row r="1676" spans="1:14" x14ac:dyDescent="0.3">
      <c r="A1676" t="s">
        <v>2722</v>
      </c>
      <c r="B1676" t="s">
        <v>562</v>
      </c>
      <c r="C1676" s="1">
        <v>45504</v>
      </c>
      <c r="E1676" t="s">
        <v>32</v>
      </c>
      <c r="F1676">
        <v>23</v>
      </c>
      <c r="G1676" s="12">
        <v>4577</v>
      </c>
      <c r="H1676" s="12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1047</v>
      </c>
      <c r="N1676" t="b">
        <v>0</v>
      </c>
    </row>
    <row r="1677" spans="1:14" x14ac:dyDescent="0.3">
      <c r="A1677" t="s">
        <v>2723</v>
      </c>
      <c r="B1677" t="s">
        <v>49</v>
      </c>
      <c r="C1677" s="1">
        <v>45605</v>
      </c>
      <c r="E1677" t="s">
        <v>32</v>
      </c>
      <c r="F1677">
        <v>59</v>
      </c>
      <c r="G1677" s="12">
        <v>11741</v>
      </c>
      <c r="H1677" s="12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1050</v>
      </c>
      <c r="N1677" t="b">
        <v>1</v>
      </c>
    </row>
    <row r="1678" spans="1:14" x14ac:dyDescent="0.3">
      <c r="A1678" t="s">
        <v>2724</v>
      </c>
      <c r="B1678" t="s">
        <v>276</v>
      </c>
      <c r="C1678" s="1">
        <v>45267</v>
      </c>
      <c r="E1678" t="s">
        <v>32</v>
      </c>
      <c r="F1678">
        <v>39</v>
      </c>
      <c r="G1678" s="12">
        <v>7761</v>
      </c>
      <c r="H1678" s="12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1050</v>
      </c>
      <c r="N1678" t="b">
        <v>1</v>
      </c>
    </row>
    <row r="1679" spans="1:14" x14ac:dyDescent="0.3">
      <c r="A1679" t="s">
        <v>2725</v>
      </c>
      <c r="B1679" t="s">
        <v>546</v>
      </c>
      <c r="C1679" s="1">
        <v>45191</v>
      </c>
      <c r="E1679" t="s">
        <v>32</v>
      </c>
      <c r="F1679">
        <v>40</v>
      </c>
      <c r="G1679" s="12">
        <v>7960</v>
      </c>
      <c r="H1679" s="12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1047</v>
      </c>
      <c r="N1679" t="b">
        <v>1</v>
      </c>
    </row>
    <row r="1680" spans="1:14" x14ac:dyDescent="0.3">
      <c r="A1680" t="s">
        <v>2726</v>
      </c>
      <c r="B1680" t="s">
        <v>890</v>
      </c>
      <c r="C1680" s="1">
        <v>45553</v>
      </c>
      <c r="E1680" t="s">
        <v>39</v>
      </c>
      <c r="F1680">
        <v>10</v>
      </c>
      <c r="G1680" s="12">
        <v>490</v>
      </c>
      <c r="H1680" s="12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1050</v>
      </c>
      <c r="N1680" t="b">
        <v>1</v>
      </c>
    </row>
    <row r="1681" spans="1:14" x14ac:dyDescent="0.3">
      <c r="A1681" t="s">
        <v>2727</v>
      </c>
      <c r="B1681" t="s">
        <v>156</v>
      </c>
      <c r="C1681" s="1">
        <v>45474</v>
      </c>
      <c r="E1681" t="s">
        <v>32</v>
      </c>
      <c r="F1681">
        <v>30</v>
      </c>
      <c r="G1681" s="12">
        <v>5970</v>
      </c>
      <c r="H1681" s="12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1047</v>
      </c>
      <c r="N1681" t="b">
        <v>0</v>
      </c>
    </row>
    <row r="1682" spans="1:14" x14ac:dyDescent="0.3">
      <c r="A1682" t="s">
        <v>2728</v>
      </c>
      <c r="B1682" t="s">
        <v>488</v>
      </c>
      <c r="C1682" s="1">
        <v>45497</v>
      </c>
      <c r="E1682" t="s">
        <v>32</v>
      </c>
      <c r="F1682">
        <v>6</v>
      </c>
      <c r="G1682" s="12">
        <v>1194</v>
      </c>
      <c r="H1682" s="1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1047</v>
      </c>
      <c r="N1682" t="b">
        <v>1</v>
      </c>
    </row>
    <row r="1683" spans="1:14" x14ac:dyDescent="0.3">
      <c r="A1683" t="s">
        <v>2729</v>
      </c>
      <c r="B1683" t="s">
        <v>494</v>
      </c>
      <c r="C1683" s="1">
        <v>45324</v>
      </c>
      <c r="E1683" t="s">
        <v>15</v>
      </c>
      <c r="F1683">
        <v>10</v>
      </c>
      <c r="G1683" s="12">
        <v>0</v>
      </c>
      <c r="H1683" s="12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1047</v>
      </c>
      <c r="N1683" t="b">
        <v>0</v>
      </c>
    </row>
    <row r="1684" spans="1:14" x14ac:dyDescent="0.3">
      <c r="A1684" t="s">
        <v>2730</v>
      </c>
      <c r="B1684" t="s">
        <v>388</v>
      </c>
      <c r="C1684" s="1">
        <v>45628</v>
      </c>
      <c r="E1684" t="s">
        <v>39</v>
      </c>
      <c r="F1684">
        <v>8</v>
      </c>
      <c r="G1684" s="12">
        <v>392</v>
      </c>
      <c r="H1684" s="12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1047</v>
      </c>
      <c r="N1684" t="b">
        <v>1</v>
      </c>
    </row>
    <row r="1685" spans="1:14" x14ac:dyDescent="0.3">
      <c r="A1685" t="s">
        <v>2731</v>
      </c>
      <c r="B1685" t="s">
        <v>760</v>
      </c>
      <c r="C1685" s="1">
        <v>45588</v>
      </c>
      <c r="E1685" t="s">
        <v>32</v>
      </c>
      <c r="F1685">
        <v>4</v>
      </c>
      <c r="G1685" s="12">
        <v>796</v>
      </c>
      <c r="H1685" s="12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1047</v>
      </c>
      <c r="N1685" t="b">
        <v>0</v>
      </c>
    </row>
    <row r="1686" spans="1:14" x14ac:dyDescent="0.3">
      <c r="A1686" t="s">
        <v>2732</v>
      </c>
      <c r="B1686" t="s">
        <v>136</v>
      </c>
      <c r="C1686" s="1">
        <v>45480</v>
      </c>
      <c r="E1686" t="s">
        <v>32</v>
      </c>
      <c r="F1686">
        <v>26</v>
      </c>
      <c r="G1686" s="12">
        <v>5174</v>
      </c>
      <c r="H1686" s="12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1047</v>
      </c>
      <c r="N1686" t="b">
        <v>1</v>
      </c>
    </row>
    <row r="1687" spans="1:14" x14ac:dyDescent="0.3">
      <c r="A1687" t="s">
        <v>2733</v>
      </c>
      <c r="B1687" t="s">
        <v>872</v>
      </c>
      <c r="C1687" s="1">
        <v>45637</v>
      </c>
      <c r="E1687" t="s">
        <v>39</v>
      </c>
      <c r="F1687">
        <v>46</v>
      </c>
      <c r="G1687" s="12">
        <v>2254</v>
      </c>
      <c r="H1687" s="12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1050</v>
      </c>
      <c r="N1687" t="b">
        <v>1</v>
      </c>
    </row>
    <row r="1688" spans="1:14" x14ac:dyDescent="0.3">
      <c r="A1688" t="s">
        <v>2734</v>
      </c>
      <c r="B1688" t="s">
        <v>130</v>
      </c>
      <c r="C1688" s="1">
        <v>45434</v>
      </c>
      <c r="E1688" t="s">
        <v>32</v>
      </c>
      <c r="F1688">
        <v>47</v>
      </c>
      <c r="G1688" s="12">
        <v>0</v>
      </c>
      <c r="H1688" s="12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1050</v>
      </c>
      <c r="N1688" t="b">
        <v>1</v>
      </c>
    </row>
    <row r="1689" spans="1:14" x14ac:dyDescent="0.3">
      <c r="A1689" t="s">
        <v>2735</v>
      </c>
      <c r="B1689" t="s">
        <v>878</v>
      </c>
      <c r="C1689" s="1">
        <v>45547</v>
      </c>
      <c r="E1689" t="s">
        <v>15</v>
      </c>
      <c r="F1689">
        <v>30</v>
      </c>
      <c r="G1689" s="12">
        <v>0</v>
      </c>
      <c r="H1689" s="12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1047</v>
      </c>
      <c r="N1689" t="b">
        <v>1</v>
      </c>
    </row>
    <row r="1690" spans="1:14" x14ac:dyDescent="0.3">
      <c r="A1690" t="s">
        <v>2736</v>
      </c>
      <c r="B1690" t="s">
        <v>91</v>
      </c>
      <c r="C1690" s="1">
        <v>45565</v>
      </c>
      <c r="E1690" t="s">
        <v>15</v>
      </c>
      <c r="F1690">
        <v>16</v>
      </c>
      <c r="G1690" s="12">
        <v>304</v>
      </c>
      <c r="H1690" s="12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1050</v>
      </c>
      <c r="N1690" t="b">
        <v>0</v>
      </c>
    </row>
    <row r="1691" spans="1:14" x14ac:dyDescent="0.3">
      <c r="A1691" t="s">
        <v>2737</v>
      </c>
      <c r="B1691" t="s">
        <v>248</v>
      </c>
      <c r="C1691" s="1">
        <v>45434</v>
      </c>
      <c r="E1691" t="s">
        <v>15</v>
      </c>
      <c r="F1691">
        <v>18</v>
      </c>
      <c r="G1691" s="12">
        <v>342</v>
      </c>
      <c r="H1691" s="12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1050</v>
      </c>
      <c r="N1691" t="b">
        <v>1</v>
      </c>
    </row>
    <row r="1692" spans="1:14" x14ac:dyDescent="0.3">
      <c r="A1692" t="s">
        <v>2738</v>
      </c>
      <c r="B1692" t="s">
        <v>722</v>
      </c>
      <c r="C1692" s="1">
        <v>45519</v>
      </c>
      <c r="E1692" t="s">
        <v>39</v>
      </c>
      <c r="F1692">
        <v>85</v>
      </c>
      <c r="G1692" s="12">
        <v>4165</v>
      </c>
      <c r="H1692" s="1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1050</v>
      </c>
      <c r="N1692" t="b">
        <v>1</v>
      </c>
    </row>
    <row r="1693" spans="1:14" x14ac:dyDescent="0.3">
      <c r="A1693" t="s">
        <v>2739</v>
      </c>
      <c r="B1693" t="s">
        <v>922</v>
      </c>
      <c r="C1693" s="1">
        <v>45652</v>
      </c>
      <c r="D1693" s="1">
        <v>45655</v>
      </c>
      <c r="E1693" t="s">
        <v>32</v>
      </c>
      <c r="F1693">
        <v>8</v>
      </c>
      <c r="G1693" s="12">
        <v>1592</v>
      </c>
      <c r="H1693" s="12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1050</v>
      </c>
      <c r="N1693" t="b">
        <v>1</v>
      </c>
    </row>
    <row r="1694" spans="1:14" x14ac:dyDescent="0.3">
      <c r="A1694" t="s">
        <v>2740</v>
      </c>
      <c r="B1694" t="s">
        <v>480</v>
      </c>
      <c r="C1694" s="1">
        <v>45653</v>
      </c>
      <c r="E1694" t="s">
        <v>39</v>
      </c>
      <c r="F1694">
        <v>80</v>
      </c>
      <c r="G1694" s="12">
        <v>3920</v>
      </c>
      <c r="H1694" s="12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1050</v>
      </c>
      <c r="N1694" t="b">
        <v>0</v>
      </c>
    </row>
    <row r="1695" spans="1:14" x14ac:dyDescent="0.3">
      <c r="A1695" t="s">
        <v>2741</v>
      </c>
      <c r="B1695" t="s">
        <v>872</v>
      </c>
      <c r="C1695" s="1">
        <v>45558</v>
      </c>
      <c r="E1695" t="s">
        <v>15</v>
      </c>
      <c r="F1695">
        <v>12</v>
      </c>
      <c r="G1695" s="12">
        <v>228</v>
      </c>
      <c r="H1695" s="12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1047</v>
      </c>
      <c r="N1695" t="b">
        <v>1</v>
      </c>
    </row>
    <row r="1696" spans="1:14" x14ac:dyDescent="0.3">
      <c r="A1696" t="s">
        <v>2742</v>
      </c>
      <c r="B1696" t="s">
        <v>526</v>
      </c>
      <c r="C1696" s="1">
        <v>45533</v>
      </c>
      <c r="E1696" t="s">
        <v>15</v>
      </c>
      <c r="F1696">
        <v>30</v>
      </c>
      <c r="G1696" s="12">
        <v>570</v>
      </c>
      <c r="H1696" s="12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1047</v>
      </c>
      <c r="N1696" t="b">
        <v>1</v>
      </c>
    </row>
    <row r="1697" spans="1:14" x14ac:dyDescent="0.3">
      <c r="A1697" t="s">
        <v>2743</v>
      </c>
      <c r="B1697" t="s">
        <v>740</v>
      </c>
      <c r="C1697" s="1">
        <v>45529</v>
      </c>
      <c r="E1697" t="s">
        <v>39</v>
      </c>
      <c r="F1697">
        <v>26</v>
      </c>
      <c r="G1697" s="12">
        <v>0</v>
      </c>
      <c r="H1697" s="12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1050</v>
      </c>
      <c r="N1697" t="b">
        <v>1</v>
      </c>
    </row>
    <row r="1698" spans="1:14" x14ac:dyDescent="0.3">
      <c r="A1698" t="s">
        <v>2744</v>
      </c>
      <c r="B1698" t="s">
        <v>59</v>
      </c>
      <c r="C1698" s="1">
        <v>45654</v>
      </c>
      <c r="E1698" t="s">
        <v>15</v>
      </c>
      <c r="F1698">
        <v>15</v>
      </c>
      <c r="G1698" s="12">
        <v>285</v>
      </c>
      <c r="H1698" s="12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1050</v>
      </c>
      <c r="N1698" t="b">
        <v>1</v>
      </c>
    </row>
    <row r="1699" spans="1:14" x14ac:dyDescent="0.3">
      <c r="A1699" t="s">
        <v>2745</v>
      </c>
      <c r="B1699" t="s">
        <v>972</v>
      </c>
      <c r="C1699" s="1">
        <v>45296</v>
      </c>
      <c r="E1699" t="s">
        <v>32</v>
      </c>
      <c r="F1699">
        <v>13</v>
      </c>
      <c r="G1699" s="12">
        <v>2587</v>
      </c>
      <c r="H1699" s="12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1050</v>
      </c>
      <c r="N1699" t="b">
        <v>1</v>
      </c>
    </row>
    <row r="1700" spans="1:14" x14ac:dyDescent="0.3">
      <c r="A1700" t="s">
        <v>2746</v>
      </c>
      <c r="B1700" t="s">
        <v>142</v>
      </c>
      <c r="C1700" s="1">
        <v>45244</v>
      </c>
      <c r="E1700" t="s">
        <v>39</v>
      </c>
      <c r="F1700">
        <v>7</v>
      </c>
      <c r="G1700" s="12">
        <v>343</v>
      </c>
      <c r="H1700" s="12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1050</v>
      </c>
      <c r="N1700" t="b">
        <v>0</v>
      </c>
    </row>
    <row r="1701" spans="1:14" x14ac:dyDescent="0.3">
      <c r="A1701" t="s">
        <v>2747</v>
      </c>
      <c r="B1701" t="s">
        <v>68</v>
      </c>
      <c r="C1701" s="1">
        <v>45474</v>
      </c>
      <c r="E1701" t="s">
        <v>15</v>
      </c>
      <c r="F1701">
        <v>9</v>
      </c>
      <c r="G1701" s="12">
        <v>171</v>
      </c>
      <c r="H1701" s="12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1050</v>
      </c>
      <c r="N1701" t="b">
        <v>1</v>
      </c>
    </row>
    <row r="1702" spans="1:14" x14ac:dyDescent="0.3">
      <c r="A1702" t="s">
        <v>2748</v>
      </c>
      <c r="B1702" t="s">
        <v>342</v>
      </c>
      <c r="C1702" s="1">
        <v>45470</v>
      </c>
      <c r="E1702" t="s">
        <v>39</v>
      </c>
      <c r="F1702">
        <v>5</v>
      </c>
      <c r="G1702" s="12">
        <v>245</v>
      </c>
      <c r="H1702" s="1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1050</v>
      </c>
      <c r="N1702" t="b">
        <v>1</v>
      </c>
    </row>
    <row r="1703" spans="1:14" x14ac:dyDescent="0.3">
      <c r="A1703" t="s">
        <v>2749</v>
      </c>
      <c r="B1703" t="s">
        <v>526</v>
      </c>
      <c r="C1703" s="1">
        <v>45093</v>
      </c>
      <c r="E1703" t="s">
        <v>15</v>
      </c>
      <c r="F1703">
        <v>59</v>
      </c>
      <c r="G1703" s="12">
        <v>1121</v>
      </c>
      <c r="H1703" s="12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1047</v>
      </c>
      <c r="N1703" t="b">
        <v>1</v>
      </c>
    </row>
    <row r="1704" spans="1:14" x14ac:dyDescent="0.3">
      <c r="A1704" t="s">
        <v>2750</v>
      </c>
      <c r="B1704" t="s">
        <v>832</v>
      </c>
      <c r="C1704" s="1">
        <v>45610</v>
      </c>
      <c r="E1704" t="s">
        <v>39</v>
      </c>
      <c r="F1704">
        <v>23</v>
      </c>
      <c r="G1704" s="12">
        <v>1127</v>
      </c>
      <c r="H1704" s="12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1047</v>
      </c>
      <c r="N1704" t="b">
        <v>1</v>
      </c>
    </row>
    <row r="1705" spans="1:14" x14ac:dyDescent="0.3">
      <c r="A1705" t="s">
        <v>2751</v>
      </c>
      <c r="B1705" t="s">
        <v>988</v>
      </c>
      <c r="C1705" s="1">
        <v>45543</v>
      </c>
      <c r="E1705" t="s">
        <v>39</v>
      </c>
      <c r="F1705">
        <v>24</v>
      </c>
      <c r="G1705" s="12">
        <v>1176</v>
      </c>
      <c r="H1705" s="12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1047</v>
      </c>
      <c r="N1705" t="b">
        <v>1</v>
      </c>
    </row>
    <row r="1706" spans="1:14" x14ac:dyDescent="0.3">
      <c r="A1706" t="s">
        <v>2752</v>
      </c>
      <c r="B1706" t="s">
        <v>216</v>
      </c>
      <c r="C1706" s="1">
        <v>45644</v>
      </c>
      <c r="E1706" t="s">
        <v>15</v>
      </c>
      <c r="F1706">
        <v>31</v>
      </c>
      <c r="G1706" s="12">
        <v>589</v>
      </c>
      <c r="H1706" s="12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1047</v>
      </c>
      <c r="N1706" t="b">
        <v>1</v>
      </c>
    </row>
    <row r="1707" spans="1:14" x14ac:dyDescent="0.3">
      <c r="A1707" t="s">
        <v>2753</v>
      </c>
      <c r="B1707" t="s">
        <v>590</v>
      </c>
      <c r="C1707" s="1">
        <v>45585</v>
      </c>
      <c r="E1707" t="s">
        <v>15</v>
      </c>
      <c r="F1707">
        <v>24</v>
      </c>
      <c r="G1707" s="12">
        <v>456</v>
      </c>
      <c r="H1707" s="12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1047</v>
      </c>
      <c r="N1707" t="b">
        <v>1</v>
      </c>
    </row>
    <row r="1708" spans="1:14" x14ac:dyDescent="0.3">
      <c r="A1708" t="s">
        <v>2754</v>
      </c>
      <c r="B1708" t="s">
        <v>456</v>
      </c>
      <c r="C1708" s="1">
        <v>45566</v>
      </c>
      <c r="E1708" t="s">
        <v>32</v>
      </c>
      <c r="F1708">
        <v>19</v>
      </c>
      <c r="G1708" s="12">
        <v>3781</v>
      </c>
      <c r="H1708" s="12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1050</v>
      </c>
      <c r="N1708" t="b">
        <v>1</v>
      </c>
    </row>
    <row r="1709" spans="1:14" x14ac:dyDescent="0.3">
      <c r="A1709" t="s">
        <v>2755</v>
      </c>
      <c r="B1709" t="s">
        <v>608</v>
      </c>
      <c r="C1709" s="1">
        <v>45551</v>
      </c>
      <c r="E1709" t="s">
        <v>39</v>
      </c>
      <c r="F1709">
        <v>7</v>
      </c>
      <c r="G1709" s="12">
        <v>343</v>
      </c>
      <c r="H1709" s="12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1050</v>
      </c>
      <c r="N1709" t="b">
        <v>1</v>
      </c>
    </row>
    <row r="1710" spans="1:14" x14ac:dyDescent="0.3">
      <c r="A1710" t="s">
        <v>2756</v>
      </c>
      <c r="B1710" t="s">
        <v>516</v>
      </c>
      <c r="C1710" s="1">
        <v>45627</v>
      </c>
      <c r="E1710" t="s">
        <v>15</v>
      </c>
      <c r="F1710">
        <v>5</v>
      </c>
      <c r="G1710" s="12">
        <v>0</v>
      </c>
      <c r="H1710" s="12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1047</v>
      </c>
      <c r="N1710" t="b">
        <v>1</v>
      </c>
    </row>
    <row r="1711" spans="1:14" x14ac:dyDescent="0.3">
      <c r="A1711" t="s">
        <v>2757</v>
      </c>
      <c r="B1711" t="s">
        <v>546</v>
      </c>
      <c r="C1711" s="1">
        <v>45549</v>
      </c>
      <c r="E1711" t="s">
        <v>39</v>
      </c>
      <c r="F1711">
        <v>31</v>
      </c>
      <c r="G1711" s="12">
        <v>1519</v>
      </c>
      <c r="H1711" s="12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1050</v>
      </c>
      <c r="N1711" t="b">
        <v>1</v>
      </c>
    </row>
    <row r="1712" spans="1:14" x14ac:dyDescent="0.3">
      <c r="A1712" t="s">
        <v>2758</v>
      </c>
      <c r="B1712" t="s">
        <v>182</v>
      </c>
      <c r="C1712" s="1">
        <v>45545</v>
      </c>
      <c r="E1712" t="s">
        <v>15</v>
      </c>
      <c r="F1712">
        <v>44</v>
      </c>
      <c r="G1712" s="12">
        <v>0</v>
      </c>
      <c r="H1712" s="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1050</v>
      </c>
      <c r="N1712" t="b">
        <v>1</v>
      </c>
    </row>
    <row r="1713" spans="1:14" x14ac:dyDescent="0.3">
      <c r="A1713" t="s">
        <v>2759</v>
      </c>
      <c r="B1713" t="s">
        <v>426</v>
      </c>
      <c r="C1713" s="1">
        <v>45550</v>
      </c>
      <c r="D1713" s="1">
        <v>45593</v>
      </c>
      <c r="E1713" t="s">
        <v>39</v>
      </c>
      <c r="F1713">
        <v>45</v>
      </c>
      <c r="G1713" s="12">
        <v>0</v>
      </c>
      <c r="H1713" s="12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1047</v>
      </c>
      <c r="N1713" t="b">
        <v>1</v>
      </c>
    </row>
    <row r="1714" spans="1:14" x14ac:dyDescent="0.3">
      <c r="A1714" t="s">
        <v>2760</v>
      </c>
      <c r="B1714" t="s">
        <v>1010</v>
      </c>
      <c r="C1714" s="1">
        <v>45639</v>
      </c>
      <c r="E1714" t="s">
        <v>32</v>
      </c>
      <c r="F1714">
        <v>16</v>
      </c>
      <c r="G1714" s="12">
        <v>3184</v>
      </c>
      <c r="H1714" s="12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1050</v>
      </c>
      <c r="N1714" t="b">
        <v>1</v>
      </c>
    </row>
    <row r="1715" spans="1:14" x14ac:dyDescent="0.3">
      <c r="A1715" t="s">
        <v>2761</v>
      </c>
      <c r="B1715" t="s">
        <v>690</v>
      </c>
      <c r="C1715" s="1">
        <v>45342</v>
      </c>
      <c r="E1715" t="s">
        <v>15</v>
      </c>
      <c r="F1715">
        <v>39</v>
      </c>
      <c r="G1715" s="12">
        <v>741</v>
      </c>
      <c r="H1715" s="12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1047</v>
      </c>
      <c r="N1715" t="b">
        <v>1</v>
      </c>
    </row>
    <row r="1716" spans="1:14" x14ac:dyDescent="0.3">
      <c r="A1716" t="s">
        <v>2762</v>
      </c>
      <c r="B1716" t="s">
        <v>614</v>
      </c>
      <c r="C1716" s="1">
        <v>45644</v>
      </c>
      <c r="E1716" t="s">
        <v>32</v>
      </c>
      <c r="F1716">
        <v>25</v>
      </c>
      <c r="G1716" s="12">
        <v>4975</v>
      </c>
      <c r="H1716" s="12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1050</v>
      </c>
      <c r="N1716" t="b">
        <v>1</v>
      </c>
    </row>
    <row r="1717" spans="1:14" x14ac:dyDescent="0.3">
      <c r="A1717" t="s">
        <v>2763</v>
      </c>
      <c r="B1717" t="s">
        <v>604</v>
      </c>
      <c r="C1717" s="1">
        <v>45641</v>
      </c>
      <c r="E1717" t="s">
        <v>15</v>
      </c>
      <c r="F1717">
        <v>34</v>
      </c>
      <c r="G1717" s="12">
        <v>0</v>
      </c>
      <c r="H1717" s="12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1047</v>
      </c>
      <c r="N1717" t="b">
        <v>0</v>
      </c>
    </row>
    <row r="1718" spans="1:14" x14ac:dyDescent="0.3">
      <c r="A1718" t="s">
        <v>2764</v>
      </c>
      <c r="B1718" t="s">
        <v>226</v>
      </c>
      <c r="C1718" s="1">
        <v>45647</v>
      </c>
      <c r="E1718" t="s">
        <v>32</v>
      </c>
      <c r="F1718">
        <v>5</v>
      </c>
      <c r="G1718" s="12">
        <v>995</v>
      </c>
      <c r="H1718" s="12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1047</v>
      </c>
      <c r="N1718" t="b">
        <v>1</v>
      </c>
    </row>
    <row r="1719" spans="1:14" x14ac:dyDescent="0.3">
      <c r="A1719" t="s">
        <v>2765</v>
      </c>
      <c r="B1719" t="s">
        <v>1010</v>
      </c>
      <c r="C1719" s="1">
        <v>45655</v>
      </c>
      <c r="E1719" t="s">
        <v>32</v>
      </c>
      <c r="F1719">
        <v>16</v>
      </c>
      <c r="G1719" s="12">
        <v>3184</v>
      </c>
      <c r="H1719" s="12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1047</v>
      </c>
      <c r="N1719" t="b">
        <v>1</v>
      </c>
    </row>
    <row r="1720" spans="1:14" x14ac:dyDescent="0.3">
      <c r="A1720" t="s">
        <v>2766</v>
      </c>
      <c r="B1720" t="s">
        <v>798</v>
      </c>
      <c r="C1720" s="1">
        <v>45440</v>
      </c>
      <c r="E1720" t="s">
        <v>32</v>
      </c>
      <c r="F1720">
        <v>23</v>
      </c>
      <c r="G1720" s="12">
        <v>0</v>
      </c>
      <c r="H1720" s="12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1047</v>
      </c>
      <c r="N1720" t="b">
        <v>1</v>
      </c>
    </row>
    <row r="1721" spans="1:14" x14ac:dyDescent="0.3">
      <c r="A1721" t="s">
        <v>2767</v>
      </c>
      <c r="B1721" t="s">
        <v>152</v>
      </c>
      <c r="C1721" s="1">
        <v>45593</v>
      </c>
      <c r="E1721" t="s">
        <v>15</v>
      </c>
      <c r="F1721">
        <v>41</v>
      </c>
      <c r="G1721" s="12">
        <v>779</v>
      </c>
      <c r="H1721" s="12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1047</v>
      </c>
      <c r="N1721" t="b">
        <v>1</v>
      </c>
    </row>
    <row r="1722" spans="1:14" x14ac:dyDescent="0.3">
      <c r="A1722" t="s">
        <v>2768</v>
      </c>
      <c r="B1722" t="s">
        <v>310</v>
      </c>
      <c r="C1722" s="1">
        <v>45387</v>
      </c>
      <c r="E1722" t="s">
        <v>15</v>
      </c>
      <c r="F1722">
        <v>51</v>
      </c>
      <c r="G1722" s="12">
        <v>969</v>
      </c>
      <c r="H1722" s="1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1050</v>
      </c>
      <c r="N1722" t="b">
        <v>1</v>
      </c>
    </row>
    <row r="1723" spans="1:14" x14ac:dyDescent="0.3">
      <c r="A1723" t="s">
        <v>2769</v>
      </c>
      <c r="B1723" t="s">
        <v>116</v>
      </c>
      <c r="C1723" s="1">
        <v>45545</v>
      </c>
      <c r="E1723" t="s">
        <v>32</v>
      </c>
      <c r="F1723">
        <v>14</v>
      </c>
      <c r="G1723" s="12">
        <v>2786</v>
      </c>
      <c r="H1723" s="12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1050</v>
      </c>
      <c r="N1723" t="b">
        <v>0</v>
      </c>
    </row>
    <row r="1724" spans="1:14" x14ac:dyDescent="0.3">
      <c r="A1724" t="s">
        <v>2770</v>
      </c>
      <c r="B1724" t="s">
        <v>440</v>
      </c>
      <c r="C1724" s="1">
        <v>45639</v>
      </c>
      <c r="E1724" t="s">
        <v>15</v>
      </c>
      <c r="F1724">
        <v>50</v>
      </c>
      <c r="G1724" s="12">
        <v>950</v>
      </c>
      <c r="H1724" s="12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1050</v>
      </c>
      <c r="N1724" t="b">
        <v>1</v>
      </c>
    </row>
    <row r="1725" spans="1:14" x14ac:dyDescent="0.3">
      <c r="A1725" t="s">
        <v>2771</v>
      </c>
      <c r="B1725" t="s">
        <v>912</v>
      </c>
      <c r="C1725" s="1">
        <v>45013</v>
      </c>
      <c r="D1725" s="1">
        <v>45460</v>
      </c>
      <c r="E1725" t="s">
        <v>39</v>
      </c>
      <c r="F1725">
        <v>4</v>
      </c>
      <c r="G1725" s="12">
        <v>196</v>
      </c>
      <c r="H1725" s="12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1047</v>
      </c>
      <c r="N1725" t="b">
        <v>1</v>
      </c>
    </row>
    <row r="1726" spans="1:14" x14ac:dyDescent="0.3">
      <c r="A1726" t="s">
        <v>2772</v>
      </c>
      <c r="B1726" t="s">
        <v>454</v>
      </c>
      <c r="C1726" s="1">
        <v>45053</v>
      </c>
      <c r="E1726" t="s">
        <v>32</v>
      </c>
      <c r="F1726">
        <v>80</v>
      </c>
      <c r="G1726" s="12">
        <v>0</v>
      </c>
      <c r="H1726" s="12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1050</v>
      </c>
      <c r="N1726" t="b">
        <v>0</v>
      </c>
    </row>
    <row r="1727" spans="1:14" x14ac:dyDescent="0.3">
      <c r="A1727" t="s">
        <v>2773</v>
      </c>
      <c r="B1727" t="s">
        <v>420</v>
      </c>
      <c r="C1727" s="1">
        <v>45510</v>
      </c>
      <c r="E1727" t="s">
        <v>15</v>
      </c>
      <c r="F1727">
        <v>6</v>
      </c>
      <c r="G1727" s="12">
        <v>114</v>
      </c>
      <c r="H1727" s="12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1047</v>
      </c>
      <c r="N1727" t="b">
        <v>1</v>
      </c>
    </row>
    <row r="1728" spans="1:14" x14ac:dyDescent="0.3">
      <c r="A1728" t="s">
        <v>2774</v>
      </c>
      <c r="B1728" t="s">
        <v>130</v>
      </c>
      <c r="C1728" s="1">
        <v>45636</v>
      </c>
      <c r="E1728" t="s">
        <v>15</v>
      </c>
      <c r="F1728">
        <v>47</v>
      </c>
      <c r="G1728" s="12">
        <v>893</v>
      </c>
      <c r="H1728" s="12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1050</v>
      </c>
      <c r="N1728" t="b">
        <v>1</v>
      </c>
    </row>
    <row r="1729" spans="1:14" x14ac:dyDescent="0.3">
      <c r="A1729" t="s">
        <v>2775</v>
      </c>
      <c r="B1729" t="s">
        <v>176</v>
      </c>
      <c r="C1729" s="1">
        <v>45635</v>
      </c>
      <c r="E1729" t="s">
        <v>39</v>
      </c>
      <c r="F1729">
        <v>37</v>
      </c>
      <c r="G1729" s="12">
        <v>1813</v>
      </c>
      <c r="H1729" s="12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1047</v>
      </c>
      <c r="N1729" t="b">
        <v>1</v>
      </c>
    </row>
    <row r="1730" spans="1:14" x14ac:dyDescent="0.3">
      <c r="A1730" t="s">
        <v>2776</v>
      </c>
      <c r="B1730" t="s">
        <v>186</v>
      </c>
      <c r="C1730" s="1">
        <v>45277</v>
      </c>
      <c r="E1730" t="s">
        <v>39</v>
      </c>
      <c r="F1730">
        <v>19</v>
      </c>
      <c r="G1730" s="12">
        <v>931</v>
      </c>
      <c r="H1730" s="12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1047</v>
      </c>
      <c r="N1730" t="b">
        <v>1</v>
      </c>
    </row>
    <row r="1731" spans="1:14" x14ac:dyDescent="0.3">
      <c r="A1731" t="s">
        <v>2777</v>
      </c>
      <c r="B1731" t="s">
        <v>89</v>
      </c>
      <c r="C1731" s="1">
        <v>45645</v>
      </c>
      <c r="E1731" t="s">
        <v>39</v>
      </c>
      <c r="F1731">
        <v>34</v>
      </c>
      <c r="G1731" s="12">
        <v>1666</v>
      </c>
      <c r="H1731" s="12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1047</v>
      </c>
      <c r="N1731" t="b">
        <v>0</v>
      </c>
    </row>
    <row r="1732" spans="1:14" x14ac:dyDescent="0.3">
      <c r="A1732" t="s">
        <v>2778</v>
      </c>
      <c r="B1732" t="s">
        <v>53</v>
      </c>
      <c r="C1732" s="1">
        <v>45335</v>
      </c>
      <c r="E1732" t="s">
        <v>39</v>
      </c>
      <c r="F1732">
        <v>13</v>
      </c>
      <c r="G1732" s="12">
        <v>637</v>
      </c>
      <c r="H1732" s="1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1050</v>
      </c>
      <c r="N1732" t="b">
        <v>1</v>
      </c>
    </row>
    <row r="1733" spans="1:14" x14ac:dyDescent="0.3">
      <c r="A1733" t="s">
        <v>2779</v>
      </c>
      <c r="B1733" t="s">
        <v>130</v>
      </c>
      <c r="C1733" s="1">
        <v>45522</v>
      </c>
      <c r="E1733" t="s">
        <v>15</v>
      </c>
      <c r="F1733">
        <v>47</v>
      </c>
      <c r="G1733" s="12">
        <v>893</v>
      </c>
      <c r="H1733" s="12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1050</v>
      </c>
      <c r="N1733" t="b">
        <v>1</v>
      </c>
    </row>
    <row r="1734" spans="1:14" x14ac:dyDescent="0.3">
      <c r="A1734" t="s">
        <v>2780</v>
      </c>
      <c r="B1734" t="s">
        <v>944</v>
      </c>
      <c r="C1734" s="1">
        <v>45634</v>
      </c>
      <c r="E1734" t="s">
        <v>39</v>
      </c>
      <c r="F1734">
        <v>3</v>
      </c>
      <c r="G1734" s="12">
        <v>147</v>
      </c>
      <c r="H1734" s="12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1050</v>
      </c>
      <c r="N1734" t="b">
        <v>0</v>
      </c>
    </row>
    <row r="1735" spans="1:14" x14ac:dyDescent="0.3">
      <c r="A1735" t="s">
        <v>2781</v>
      </c>
      <c r="B1735" t="s">
        <v>994</v>
      </c>
      <c r="C1735" s="1">
        <v>45489</v>
      </c>
      <c r="D1735" s="1">
        <v>45540</v>
      </c>
      <c r="E1735" t="s">
        <v>15</v>
      </c>
      <c r="F1735">
        <v>23</v>
      </c>
      <c r="G1735" s="12">
        <v>0</v>
      </c>
      <c r="H1735" s="12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1047</v>
      </c>
      <c r="N1735" t="b">
        <v>1</v>
      </c>
    </row>
    <row r="1736" spans="1:14" x14ac:dyDescent="0.3">
      <c r="A1736" t="s">
        <v>2782</v>
      </c>
      <c r="B1736" t="s">
        <v>800</v>
      </c>
      <c r="C1736" s="1">
        <v>45647</v>
      </c>
      <c r="E1736" t="s">
        <v>15</v>
      </c>
      <c r="F1736">
        <v>27</v>
      </c>
      <c r="G1736" s="12">
        <v>513</v>
      </c>
      <c r="H1736" s="12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1050</v>
      </c>
      <c r="N1736" t="b">
        <v>1</v>
      </c>
    </row>
    <row r="1737" spans="1:14" x14ac:dyDescent="0.3">
      <c r="A1737" t="s">
        <v>2783</v>
      </c>
      <c r="B1737" t="s">
        <v>550</v>
      </c>
      <c r="C1737" s="1">
        <v>45469</v>
      </c>
      <c r="E1737" t="s">
        <v>39</v>
      </c>
      <c r="F1737">
        <v>52</v>
      </c>
      <c r="G1737" s="12">
        <v>2548</v>
      </c>
      <c r="H1737" s="12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1047</v>
      </c>
      <c r="N1737" t="b">
        <v>0</v>
      </c>
    </row>
    <row r="1738" spans="1:14" x14ac:dyDescent="0.3">
      <c r="A1738" t="s">
        <v>2784</v>
      </c>
      <c r="B1738" t="s">
        <v>304</v>
      </c>
      <c r="C1738" s="1">
        <v>45623</v>
      </c>
      <c r="E1738" t="s">
        <v>39</v>
      </c>
      <c r="F1738">
        <v>59</v>
      </c>
      <c r="G1738" s="12">
        <v>2891</v>
      </c>
      <c r="H1738" s="12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1050</v>
      </c>
      <c r="N1738" t="b">
        <v>1</v>
      </c>
    </row>
    <row r="1739" spans="1:14" x14ac:dyDescent="0.3">
      <c r="A1739" t="s">
        <v>2785</v>
      </c>
      <c r="B1739" t="s">
        <v>596</v>
      </c>
      <c r="C1739" s="1">
        <v>45366</v>
      </c>
      <c r="E1739" t="s">
        <v>15</v>
      </c>
      <c r="F1739">
        <v>18</v>
      </c>
      <c r="G1739" s="12">
        <v>342</v>
      </c>
      <c r="H1739" s="12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1050</v>
      </c>
      <c r="N1739" t="b">
        <v>1</v>
      </c>
    </row>
    <row r="1740" spans="1:14" x14ac:dyDescent="0.3">
      <c r="A1740" t="s">
        <v>2786</v>
      </c>
      <c r="B1740" t="s">
        <v>55</v>
      </c>
      <c r="C1740" s="1">
        <v>45652</v>
      </c>
      <c r="E1740" t="s">
        <v>32</v>
      </c>
      <c r="F1740">
        <v>12</v>
      </c>
      <c r="G1740" s="12">
        <v>2388</v>
      </c>
      <c r="H1740" s="12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1047</v>
      </c>
      <c r="N1740" t="b">
        <v>1</v>
      </c>
    </row>
    <row r="1741" spans="1:14" x14ac:dyDescent="0.3">
      <c r="A1741" t="s">
        <v>2787</v>
      </c>
      <c r="B1741" t="s">
        <v>964</v>
      </c>
      <c r="C1741" s="1">
        <v>45512</v>
      </c>
      <c r="E1741" t="s">
        <v>39</v>
      </c>
      <c r="F1741">
        <v>9</v>
      </c>
      <c r="G1741" s="12">
        <v>441</v>
      </c>
      <c r="H1741" s="12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1047</v>
      </c>
      <c r="N1741" t="b">
        <v>1</v>
      </c>
    </row>
    <row r="1742" spans="1:14" x14ac:dyDescent="0.3">
      <c r="A1742" t="s">
        <v>2788</v>
      </c>
      <c r="B1742" t="s">
        <v>282</v>
      </c>
      <c r="C1742" s="1">
        <v>45656</v>
      </c>
      <c r="E1742" t="s">
        <v>32</v>
      </c>
      <c r="F1742">
        <v>33</v>
      </c>
      <c r="G1742" s="12">
        <v>0</v>
      </c>
      <c r="H1742" s="1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1047</v>
      </c>
      <c r="N1742" t="b">
        <v>0</v>
      </c>
    </row>
    <row r="1743" spans="1:14" x14ac:dyDescent="0.3">
      <c r="A1743" t="s">
        <v>2789</v>
      </c>
      <c r="B1743" t="s">
        <v>340</v>
      </c>
      <c r="C1743" s="1">
        <v>45642</v>
      </c>
      <c r="E1743" t="s">
        <v>39</v>
      </c>
      <c r="F1743">
        <v>9</v>
      </c>
      <c r="G1743" s="12">
        <v>441</v>
      </c>
      <c r="H1743" s="12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1050</v>
      </c>
      <c r="N1743" t="b">
        <v>1</v>
      </c>
    </row>
    <row r="1744" spans="1:14" x14ac:dyDescent="0.3">
      <c r="A1744" t="s">
        <v>2790</v>
      </c>
      <c r="B1744" t="s">
        <v>114</v>
      </c>
      <c r="C1744" s="1">
        <v>45650</v>
      </c>
      <c r="E1744" t="s">
        <v>32</v>
      </c>
      <c r="F1744">
        <v>34</v>
      </c>
      <c r="G1744" s="12">
        <v>6766</v>
      </c>
      <c r="H1744" s="12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1047</v>
      </c>
      <c r="N1744" t="b">
        <v>0</v>
      </c>
    </row>
    <row r="1745" spans="1:14" x14ac:dyDescent="0.3">
      <c r="A1745" t="s">
        <v>2791</v>
      </c>
      <c r="B1745" t="s">
        <v>830</v>
      </c>
      <c r="C1745" s="1">
        <v>45654</v>
      </c>
      <c r="E1745" t="s">
        <v>39</v>
      </c>
      <c r="F1745">
        <v>28</v>
      </c>
      <c r="G1745" s="12">
        <v>1372</v>
      </c>
      <c r="H1745" s="12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1047</v>
      </c>
      <c r="N1745" t="b">
        <v>1</v>
      </c>
    </row>
    <row r="1746" spans="1:14" x14ac:dyDescent="0.3">
      <c r="A1746" t="s">
        <v>2792</v>
      </c>
      <c r="B1746" t="s">
        <v>830</v>
      </c>
      <c r="C1746" s="1">
        <v>45654</v>
      </c>
      <c r="E1746" t="s">
        <v>32</v>
      </c>
      <c r="F1746">
        <v>28</v>
      </c>
      <c r="G1746" s="12">
        <v>5572</v>
      </c>
      <c r="H1746" s="12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1050</v>
      </c>
      <c r="N1746" t="b">
        <v>1</v>
      </c>
    </row>
    <row r="1747" spans="1:14" x14ac:dyDescent="0.3">
      <c r="A1747" t="s">
        <v>2793</v>
      </c>
      <c r="B1747" t="s">
        <v>1014</v>
      </c>
      <c r="C1747" s="1">
        <v>45654</v>
      </c>
      <c r="E1747" t="s">
        <v>32</v>
      </c>
      <c r="F1747">
        <v>32</v>
      </c>
      <c r="G1747" s="12">
        <v>6368</v>
      </c>
      <c r="H1747" s="12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1050</v>
      </c>
      <c r="N1747" t="b">
        <v>0</v>
      </c>
    </row>
    <row r="1748" spans="1:14" x14ac:dyDescent="0.3">
      <c r="A1748" t="s">
        <v>2794</v>
      </c>
      <c r="B1748" t="s">
        <v>70</v>
      </c>
      <c r="C1748" s="1">
        <v>45501</v>
      </c>
      <c r="E1748" t="s">
        <v>39</v>
      </c>
      <c r="F1748">
        <v>11</v>
      </c>
      <c r="G1748" s="12">
        <v>539</v>
      </c>
      <c r="H1748" s="12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1050</v>
      </c>
      <c r="N1748" t="b">
        <v>1</v>
      </c>
    </row>
    <row r="1749" spans="1:14" x14ac:dyDescent="0.3">
      <c r="A1749" t="s">
        <v>2795</v>
      </c>
      <c r="B1749" t="s">
        <v>698</v>
      </c>
      <c r="C1749" s="1">
        <v>45232</v>
      </c>
      <c r="E1749" t="s">
        <v>15</v>
      </c>
      <c r="F1749">
        <v>41</v>
      </c>
      <c r="G1749" s="12">
        <v>0</v>
      </c>
      <c r="H1749" s="12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1047</v>
      </c>
      <c r="N1749" t="b">
        <v>1</v>
      </c>
    </row>
    <row r="1750" spans="1:14" x14ac:dyDescent="0.3">
      <c r="A1750" t="s">
        <v>2796</v>
      </c>
      <c r="B1750" t="s">
        <v>984</v>
      </c>
      <c r="C1750" s="1">
        <v>45598</v>
      </c>
      <c r="E1750" t="s">
        <v>39</v>
      </c>
      <c r="F1750">
        <v>29</v>
      </c>
      <c r="G1750" s="12">
        <v>1421</v>
      </c>
      <c r="H1750" s="12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1050</v>
      </c>
      <c r="N1750" t="b">
        <v>1</v>
      </c>
    </row>
    <row r="1751" spans="1:14" x14ac:dyDescent="0.3">
      <c r="A1751" t="s">
        <v>2797</v>
      </c>
      <c r="B1751" t="s">
        <v>888</v>
      </c>
      <c r="C1751" s="1">
        <v>45362</v>
      </c>
      <c r="E1751" t="s">
        <v>39</v>
      </c>
      <c r="F1751">
        <v>76</v>
      </c>
      <c r="G1751" s="12">
        <v>0</v>
      </c>
      <c r="H1751" s="12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1047</v>
      </c>
      <c r="N1751" t="b">
        <v>1</v>
      </c>
    </row>
    <row r="1752" spans="1:14" x14ac:dyDescent="0.3">
      <c r="A1752" t="s">
        <v>2798</v>
      </c>
      <c r="B1752" t="s">
        <v>628</v>
      </c>
      <c r="C1752" s="1">
        <v>45592</v>
      </c>
      <c r="E1752" t="s">
        <v>32</v>
      </c>
      <c r="F1752">
        <v>45</v>
      </c>
      <c r="G1752" s="12">
        <v>0</v>
      </c>
      <c r="H1752" s="1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1050</v>
      </c>
      <c r="N1752" t="b">
        <v>0</v>
      </c>
    </row>
    <row r="1753" spans="1:14" x14ac:dyDescent="0.3">
      <c r="A1753" t="s">
        <v>2799</v>
      </c>
      <c r="B1753" t="s">
        <v>74</v>
      </c>
      <c r="C1753" s="1">
        <v>45473</v>
      </c>
      <c r="E1753" t="s">
        <v>32</v>
      </c>
      <c r="F1753">
        <v>86</v>
      </c>
      <c r="G1753" s="12">
        <v>17114</v>
      </c>
      <c r="H1753" s="12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1047</v>
      </c>
      <c r="N1753" t="b">
        <v>1</v>
      </c>
    </row>
    <row r="1754" spans="1:14" x14ac:dyDescent="0.3">
      <c r="A1754" t="s">
        <v>2800</v>
      </c>
      <c r="B1754" t="s">
        <v>336</v>
      </c>
      <c r="C1754" s="1">
        <v>45436</v>
      </c>
      <c r="E1754" t="s">
        <v>39</v>
      </c>
      <c r="F1754">
        <v>43</v>
      </c>
      <c r="G1754" s="12">
        <v>2107</v>
      </c>
      <c r="H1754" s="12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1047</v>
      </c>
      <c r="N1754" t="b">
        <v>0</v>
      </c>
    </row>
    <row r="1755" spans="1:14" x14ac:dyDescent="0.3">
      <c r="A1755" t="s">
        <v>2801</v>
      </c>
      <c r="B1755" t="s">
        <v>880</v>
      </c>
      <c r="C1755" s="1">
        <v>45478</v>
      </c>
      <c r="E1755" t="s">
        <v>32</v>
      </c>
      <c r="F1755">
        <v>3</v>
      </c>
      <c r="G1755" s="12">
        <v>0</v>
      </c>
      <c r="H1755" s="12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1050</v>
      </c>
      <c r="N1755" t="b">
        <v>0</v>
      </c>
    </row>
    <row r="1756" spans="1:14" x14ac:dyDescent="0.3">
      <c r="A1756" t="s">
        <v>2802</v>
      </c>
      <c r="B1756" t="s">
        <v>928</v>
      </c>
      <c r="C1756" s="1">
        <v>45501</v>
      </c>
      <c r="E1756" t="s">
        <v>15</v>
      </c>
      <c r="F1756">
        <v>11</v>
      </c>
      <c r="G1756" s="12">
        <v>0</v>
      </c>
      <c r="H1756" s="12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1050</v>
      </c>
      <c r="N1756" t="b">
        <v>1</v>
      </c>
    </row>
    <row r="1757" spans="1:14" x14ac:dyDescent="0.3">
      <c r="A1757" t="s">
        <v>2803</v>
      </c>
      <c r="B1757" t="s">
        <v>934</v>
      </c>
      <c r="C1757" s="1">
        <v>45589</v>
      </c>
      <c r="E1757" t="s">
        <v>32</v>
      </c>
      <c r="F1757">
        <v>46</v>
      </c>
      <c r="G1757" s="12">
        <v>9154</v>
      </c>
      <c r="H1757" s="12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1050</v>
      </c>
      <c r="N1757" t="b">
        <v>1</v>
      </c>
    </row>
    <row r="1758" spans="1:14" x14ac:dyDescent="0.3">
      <c r="A1758" t="s">
        <v>2804</v>
      </c>
      <c r="B1758" t="s">
        <v>800</v>
      </c>
      <c r="C1758" s="1">
        <v>45510</v>
      </c>
      <c r="E1758" t="s">
        <v>39</v>
      </c>
      <c r="F1758">
        <v>27</v>
      </c>
      <c r="G1758" s="12">
        <v>1323</v>
      </c>
      <c r="H1758" s="12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1047</v>
      </c>
      <c r="N1758" t="b">
        <v>1</v>
      </c>
    </row>
    <row r="1759" spans="1:14" x14ac:dyDescent="0.3">
      <c r="A1759" t="s">
        <v>2805</v>
      </c>
      <c r="B1759" t="s">
        <v>708</v>
      </c>
      <c r="C1759" s="1">
        <v>45467</v>
      </c>
      <c r="E1759" t="s">
        <v>39</v>
      </c>
      <c r="F1759">
        <v>37</v>
      </c>
      <c r="G1759" s="12">
        <v>1813</v>
      </c>
      <c r="H1759" s="12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1047</v>
      </c>
      <c r="N1759" t="b">
        <v>0</v>
      </c>
    </row>
    <row r="1760" spans="1:14" x14ac:dyDescent="0.3">
      <c r="A1760" t="s">
        <v>2806</v>
      </c>
      <c r="B1760" t="s">
        <v>500</v>
      </c>
      <c r="C1760" s="1">
        <v>45546</v>
      </c>
      <c r="E1760" t="s">
        <v>15</v>
      </c>
      <c r="F1760">
        <v>92</v>
      </c>
      <c r="G1760" s="12">
        <v>1748</v>
      </c>
      <c r="H1760" s="12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1047</v>
      </c>
      <c r="N1760" t="b">
        <v>1</v>
      </c>
    </row>
    <row r="1761" spans="1:14" x14ac:dyDescent="0.3">
      <c r="A1761" t="s">
        <v>2807</v>
      </c>
      <c r="B1761" t="s">
        <v>690</v>
      </c>
      <c r="C1761" s="1">
        <v>45298</v>
      </c>
      <c r="E1761" t="s">
        <v>32</v>
      </c>
      <c r="F1761">
        <v>32</v>
      </c>
      <c r="G1761" s="12">
        <v>6368</v>
      </c>
      <c r="H1761" s="12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1050</v>
      </c>
      <c r="N1761" t="b">
        <v>1</v>
      </c>
    </row>
    <row r="1762" spans="1:14" x14ac:dyDescent="0.3">
      <c r="A1762" t="s">
        <v>2808</v>
      </c>
      <c r="B1762" t="s">
        <v>21</v>
      </c>
      <c r="C1762" s="1">
        <v>45646</v>
      </c>
      <c r="E1762" t="s">
        <v>15</v>
      </c>
      <c r="F1762">
        <v>60</v>
      </c>
      <c r="G1762" s="12">
        <v>1140</v>
      </c>
      <c r="H1762" s="1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1047</v>
      </c>
      <c r="N1762" t="b">
        <v>1</v>
      </c>
    </row>
    <row r="1763" spans="1:14" x14ac:dyDescent="0.3">
      <c r="A1763" t="s">
        <v>2809</v>
      </c>
      <c r="B1763" t="s">
        <v>452</v>
      </c>
      <c r="C1763" s="1">
        <v>45583</v>
      </c>
      <c r="E1763" t="s">
        <v>32</v>
      </c>
      <c r="F1763">
        <v>15</v>
      </c>
      <c r="G1763" s="12">
        <v>2985</v>
      </c>
      <c r="H1763" s="12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1050</v>
      </c>
      <c r="N1763" t="b">
        <v>1</v>
      </c>
    </row>
    <row r="1764" spans="1:14" x14ac:dyDescent="0.3">
      <c r="A1764" t="s">
        <v>2810</v>
      </c>
      <c r="B1764" t="s">
        <v>810</v>
      </c>
      <c r="C1764" s="1">
        <v>45490</v>
      </c>
      <c r="E1764" t="s">
        <v>32</v>
      </c>
      <c r="F1764">
        <v>19</v>
      </c>
      <c r="G1764" s="12">
        <v>3781</v>
      </c>
      <c r="H1764" s="12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1047</v>
      </c>
      <c r="N1764" t="b">
        <v>1</v>
      </c>
    </row>
    <row r="1765" spans="1:14" x14ac:dyDescent="0.3">
      <c r="A1765" t="s">
        <v>2811</v>
      </c>
      <c r="B1765" t="s">
        <v>836</v>
      </c>
      <c r="C1765" s="1">
        <v>45592</v>
      </c>
      <c r="E1765" t="s">
        <v>32</v>
      </c>
      <c r="F1765">
        <v>117</v>
      </c>
      <c r="G1765" s="12">
        <v>23283</v>
      </c>
      <c r="H1765" s="12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1047</v>
      </c>
      <c r="N1765" t="b">
        <v>1</v>
      </c>
    </row>
    <row r="1766" spans="1:14" x14ac:dyDescent="0.3">
      <c r="A1766" t="s">
        <v>2812</v>
      </c>
      <c r="B1766" t="s">
        <v>942</v>
      </c>
      <c r="C1766" s="1">
        <v>45603</v>
      </c>
      <c r="E1766" t="s">
        <v>32</v>
      </c>
      <c r="F1766">
        <v>3</v>
      </c>
      <c r="G1766" s="12">
        <v>597</v>
      </c>
      <c r="H1766" s="12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1047</v>
      </c>
      <c r="N1766" t="b">
        <v>1</v>
      </c>
    </row>
    <row r="1767" spans="1:14" x14ac:dyDescent="0.3">
      <c r="A1767" t="s">
        <v>2813</v>
      </c>
      <c r="B1767" t="s">
        <v>390</v>
      </c>
      <c r="C1767" s="1">
        <v>45373</v>
      </c>
      <c r="E1767" t="s">
        <v>32</v>
      </c>
      <c r="F1767">
        <v>61</v>
      </c>
      <c r="G1767" s="12">
        <v>12139</v>
      </c>
      <c r="H1767" s="12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1050</v>
      </c>
      <c r="N1767" t="b">
        <v>1</v>
      </c>
    </row>
    <row r="1768" spans="1:14" x14ac:dyDescent="0.3">
      <c r="A1768" t="s">
        <v>2814</v>
      </c>
      <c r="B1768" t="s">
        <v>426</v>
      </c>
      <c r="C1768" s="1">
        <v>45536</v>
      </c>
      <c r="E1768" t="s">
        <v>32</v>
      </c>
      <c r="F1768">
        <v>45</v>
      </c>
      <c r="G1768" s="12">
        <v>8955</v>
      </c>
      <c r="H1768" s="12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1047</v>
      </c>
      <c r="N1768" t="b">
        <v>1</v>
      </c>
    </row>
    <row r="1769" spans="1:14" x14ac:dyDescent="0.3">
      <c r="A1769" t="s">
        <v>2815</v>
      </c>
      <c r="B1769" t="s">
        <v>156</v>
      </c>
      <c r="C1769" s="1">
        <v>45580</v>
      </c>
      <c r="E1769" t="s">
        <v>39</v>
      </c>
      <c r="F1769">
        <v>77</v>
      </c>
      <c r="G1769" s="12">
        <v>3773</v>
      </c>
      <c r="H1769" s="12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1047</v>
      </c>
      <c r="N1769" t="b">
        <v>1</v>
      </c>
    </row>
    <row r="1770" spans="1:14" x14ac:dyDescent="0.3">
      <c r="A1770" t="s">
        <v>2816</v>
      </c>
      <c r="B1770" t="s">
        <v>484</v>
      </c>
      <c r="C1770" s="1">
        <v>45530</v>
      </c>
      <c r="E1770" t="s">
        <v>15</v>
      </c>
      <c r="F1770">
        <v>11</v>
      </c>
      <c r="G1770" s="12">
        <v>209</v>
      </c>
      <c r="H1770" s="12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1047</v>
      </c>
      <c r="N1770" t="b">
        <v>0</v>
      </c>
    </row>
    <row r="1771" spans="1:14" x14ac:dyDescent="0.3">
      <c r="A1771" t="s">
        <v>2817</v>
      </c>
      <c r="B1771" t="s">
        <v>806</v>
      </c>
      <c r="C1771" s="1">
        <v>45657</v>
      </c>
      <c r="E1771" t="s">
        <v>32</v>
      </c>
      <c r="F1771">
        <v>108</v>
      </c>
      <c r="G1771" s="12">
        <v>0</v>
      </c>
      <c r="H1771" s="12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1050</v>
      </c>
      <c r="N1771" t="b">
        <v>1</v>
      </c>
    </row>
    <row r="1772" spans="1:14" x14ac:dyDescent="0.3">
      <c r="A1772" t="s">
        <v>2818</v>
      </c>
      <c r="B1772" t="s">
        <v>226</v>
      </c>
      <c r="C1772" s="1">
        <v>45532</v>
      </c>
      <c r="E1772" t="s">
        <v>32</v>
      </c>
      <c r="F1772">
        <v>8</v>
      </c>
      <c r="G1772" s="12">
        <v>1592</v>
      </c>
      <c r="H1772" s="1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1050</v>
      </c>
      <c r="N1772" t="b">
        <v>0</v>
      </c>
    </row>
    <row r="1773" spans="1:14" x14ac:dyDescent="0.3">
      <c r="A1773" t="s">
        <v>2819</v>
      </c>
      <c r="B1773" t="s">
        <v>856</v>
      </c>
      <c r="C1773" s="1">
        <v>45637</v>
      </c>
      <c r="E1773" t="s">
        <v>15</v>
      </c>
      <c r="F1773">
        <v>6</v>
      </c>
      <c r="G1773" s="12">
        <v>114</v>
      </c>
      <c r="H1773" s="12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1047</v>
      </c>
      <c r="N1773" t="b">
        <v>1</v>
      </c>
    </row>
    <row r="1774" spans="1:14" x14ac:dyDescent="0.3">
      <c r="A1774" t="s">
        <v>2820</v>
      </c>
      <c r="B1774" t="s">
        <v>534</v>
      </c>
      <c r="C1774" s="1">
        <v>45483</v>
      </c>
      <c r="E1774" t="s">
        <v>15</v>
      </c>
      <c r="F1774">
        <v>19</v>
      </c>
      <c r="G1774" s="12">
        <v>0</v>
      </c>
      <c r="H1774" s="12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1050</v>
      </c>
      <c r="N1774" t="b">
        <v>1</v>
      </c>
    </row>
    <row r="1775" spans="1:14" x14ac:dyDescent="0.3">
      <c r="A1775" t="s">
        <v>2821</v>
      </c>
      <c r="B1775" t="s">
        <v>534</v>
      </c>
      <c r="C1775" s="1">
        <v>45608</v>
      </c>
      <c r="E1775" t="s">
        <v>15</v>
      </c>
      <c r="F1775">
        <v>19</v>
      </c>
      <c r="G1775" s="12">
        <v>361</v>
      </c>
      <c r="H1775" s="12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1047</v>
      </c>
      <c r="N1775" t="b">
        <v>1</v>
      </c>
    </row>
    <row r="1776" spans="1:14" x14ac:dyDescent="0.3">
      <c r="A1776" t="s">
        <v>2822</v>
      </c>
      <c r="B1776" t="s">
        <v>230</v>
      </c>
      <c r="C1776" s="1">
        <v>45649</v>
      </c>
      <c r="D1776" s="1">
        <v>45655</v>
      </c>
      <c r="E1776" t="s">
        <v>32</v>
      </c>
      <c r="F1776">
        <v>12</v>
      </c>
      <c r="G1776" s="12">
        <v>2388</v>
      </c>
      <c r="H1776" s="12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1047</v>
      </c>
      <c r="N1776" t="b">
        <v>1</v>
      </c>
    </row>
    <row r="1777" spans="1:14" x14ac:dyDescent="0.3">
      <c r="A1777" t="s">
        <v>2823</v>
      </c>
      <c r="B1777" t="s">
        <v>920</v>
      </c>
      <c r="C1777" s="1">
        <v>45354</v>
      </c>
      <c r="E1777" t="s">
        <v>32</v>
      </c>
      <c r="F1777">
        <v>21</v>
      </c>
      <c r="G1777" s="12">
        <v>4179</v>
      </c>
      <c r="H1777" s="12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1050</v>
      </c>
      <c r="N1777" t="b">
        <v>1</v>
      </c>
    </row>
    <row r="1778" spans="1:14" x14ac:dyDescent="0.3">
      <c r="A1778" t="s">
        <v>2824</v>
      </c>
      <c r="B1778" t="s">
        <v>204</v>
      </c>
      <c r="C1778" s="1">
        <v>45653</v>
      </c>
      <c r="E1778" t="s">
        <v>15</v>
      </c>
      <c r="F1778">
        <v>92</v>
      </c>
      <c r="G1778" s="12">
        <v>0</v>
      </c>
      <c r="H1778" s="12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1047</v>
      </c>
      <c r="N1778" t="b">
        <v>1</v>
      </c>
    </row>
    <row r="1779" spans="1:14" x14ac:dyDescent="0.3">
      <c r="A1779" t="s">
        <v>2825</v>
      </c>
      <c r="B1779" t="s">
        <v>95</v>
      </c>
      <c r="C1779" s="1">
        <v>45643</v>
      </c>
      <c r="E1779" t="s">
        <v>15</v>
      </c>
      <c r="F1779">
        <v>15</v>
      </c>
      <c r="G1779" s="12">
        <v>285</v>
      </c>
      <c r="H1779" s="12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1047</v>
      </c>
      <c r="N1779" t="b">
        <v>1</v>
      </c>
    </row>
    <row r="1780" spans="1:14" x14ac:dyDescent="0.3">
      <c r="A1780" t="s">
        <v>2826</v>
      </c>
      <c r="B1780" t="s">
        <v>160</v>
      </c>
      <c r="C1780" s="1">
        <v>45620</v>
      </c>
      <c r="E1780" t="s">
        <v>32</v>
      </c>
      <c r="F1780">
        <v>16</v>
      </c>
      <c r="G1780" s="12">
        <v>3184</v>
      </c>
      <c r="H1780" s="12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1047</v>
      </c>
      <c r="N1780" t="b">
        <v>0</v>
      </c>
    </row>
    <row r="1781" spans="1:14" x14ac:dyDescent="0.3">
      <c r="A1781" t="s">
        <v>2827</v>
      </c>
      <c r="B1781" t="s">
        <v>932</v>
      </c>
      <c r="C1781" s="1">
        <v>45550</v>
      </c>
      <c r="D1781" s="1">
        <v>45650</v>
      </c>
      <c r="E1781" t="s">
        <v>32</v>
      </c>
      <c r="F1781">
        <v>25</v>
      </c>
      <c r="G1781" s="12">
        <v>4975</v>
      </c>
      <c r="H1781" s="12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1050</v>
      </c>
      <c r="N1781" t="b">
        <v>1</v>
      </c>
    </row>
    <row r="1782" spans="1:14" x14ac:dyDescent="0.3">
      <c r="A1782" t="s">
        <v>2828</v>
      </c>
      <c r="B1782" t="s">
        <v>226</v>
      </c>
      <c r="C1782" s="1">
        <v>45514</v>
      </c>
      <c r="E1782" t="s">
        <v>32</v>
      </c>
      <c r="F1782">
        <v>6</v>
      </c>
      <c r="G1782" s="12">
        <v>1194</v>
      </c>
      <c r="H1782" s="1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1050</v>
      </c>
      <c r="N1782" t="b">
        <v>1</v>
      </c>
    </row>
    <row r="1783" spans="1:14" x14ac:dyDescent="0.3">
      <c r="A1783" t="s">
        <v>2829</v>
      </c>
      <c r="B1783" t="s">
        <v>726</v>
      </c>
      <c r="C1783" s="1">
        <v>45650</v>
      </c>
      <c r="E1783" t="s">
        <v>15</v>
      </c>
      <c r="F1783">
        <v>43</v>
      </c>
      <c r="G1783" s="12">
        <v>817</v>
      </c>
      <c r="H1783" s="12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1050</v>
      </c>
      <c r="N1783" t="b">
        <v>1</v>
      </c>
    </row>
    <row r="1784" spans="1:14" x14ac:dyDescent="0.3">
      <c r="A1784" t="s">
        <v>2830</v>
      </c>
      <c r="B1784" t="s">
        <v>686</v>
      </c>
      <c r="C1784" s="1">
        <v>45512</v>
      </c>
      <c r="E1784" t="s">
        <v>39</v>
      </c>
      <c r="F1784">
        <v>56</v>
      </c>
      <c r="G1784" s="12">
        <v>2744</v>
      </c>
      <c r="H1784" s="12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1050</v>
      </c>
      <c r="N1784" t="b">
        <v>1</v>
      </c>
    </row>
    <row r="1785" spans="1:14" x14ac:dyDescent="0.3">
      <c r="A1785" t="s">
        <v>2831</v>
      </c>
      <c r="B1785" t="s">
        <v>894</v>
      </c>
      <c r="C1785" s="1">
        <v>45441</v>
      </c>
      <c r="E1785" t="s">
        <v>39</v>
      </c>
      <c r="F1785">
        <v>6</v>
      </c>
      <c r="G1785" s="12">
        <v>294</v>
      </c>
      <c r="H1785" s="12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1047</v>
      </c>
      <c r="N1785" t="b">
        <v>1</v>
      </c>
    </row>
    <row r="1786" spans="1:14" x14ac:dyDescent="0.3">
      <c r="A1786" t="s">
        <v>2832</v>
      </c>
      <c r="B1786" t="s">
        <v>726</v>
      </c>
      <c r="C1786" s="1">
        <v>45651</v>
      </c>
      <c r="E1786" t="s">
        <v>39</v>
      </c>
      <c r="F1786">
        <v>43</v>
      </c>
      <c r="G1786" s="12">
        <v>0</v>
      </c>
      <c r="H1786" s="12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1050</v>
      </c>
      <c r="N1786" t="b">
        <v>1</v>
      </c>
    </row>
    <row r="1787" spans="1:14" x14ac:dyDescent="0.3">
      <c r="A1787" t="s">
        <v>2833</v>
      </c>
      <c r="B1787" t="s">
        <v>558</v>
      </c>
      <c r="C1787" s="1">
        <v>45636</v>
      </c>
      <c r="E1787" t="s">
        <v>15</v>
      </c>
      <c r="F1787">
        <v>19</v>
      </c>
      <c r="G1787" s="12">
        <v>361</v>
      </c>
      <c r="H1787" s="12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1047</v>
      </c>
      <c r="N1787" t="b">
        <v>1</v>
      </c>
    </row>
    <row r="1788" spans="1:14" x14ac:dyDescent="0.3">
      <c r="A1788" t="s">
        <v>2834</v>
      </c>
      <c r="B1788" t="s">
        <v>76</v>
      </c>
      <c r="C1788" s="1">
        <v>45604</v>
      </c>
      <c r="E1788" t="s">
        <v>39</v>
      </c>
      <c r="F1788">
        <v>13</v>
      </c>
      <c r="G1788" s="12">
        <v>637</v>
      </c>
      <c r="H1788" s="12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1050</v>
      </c>
      <c r="N1788" t="b">
        <v>1</v>
      </c>
    </row>
    <row r="1789" spans="1:14" x14ac:dyDescent="0.3">
      <c r="A1789" t="s">
        <v>2835</v>
      </c>
      <c r="B1789" t="s">
        <v>352</v>
      </c>
      <c r="C1789" s="1">
        <v>45232</v>
      </c>
      <c r="E1789" t="s">
        <v>39</v>
      </c>
      <c r="F1789">
        <v>19</v>
      </c>
      <c r="G1789" s="12">
        <v>931</v>
      </c>
      <c r="H1789" s="12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1047</v>
      </c>
      <c r="N1789" t="b">
        <v>1</v>
      </c>
    </row>
    <row r="1790" spans="1:14" x14ac:dyDescent="0.3">
      <c r="A1790" t="s">
        <v>2836</v>
      </c>
      <c r="B1790" t="s">
        <v>372</v>
      </c>
      <c r="C1790" s="1">
        <v>45421</v>
      </c>
      <c r="E1790" t="s">
        <v>32</v>
      </c>
      <c r="F1790">
        <v>40</v>
      </c>
      <c r="G1790" s="12">
        <v>7960</v>
      </c>
      <c r="H1790" s="12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1047</v>
      </c>
      <c r="N1790" t="b">
        <v>1</v>
      </c>
    </row>
    <row r="1791" spans="1:14" x14ac:dyDescent="0.3">
      <c r="A1791" t="s">
        <v>2837</v>
      </c>
      <c r="B1791" t="s">
        <v>784</v>
      </c>
      <c r="C1791" s="1">
        <v>45609</v>
      </c>
      <c r="E1791" t="s">
        <v>32</v>
      </c>
      <c r="F1791">
        <v>13</v>
      </c>
      <c r="G1791" s="12">
        <v>2587</v>
      </c>
      <c r="H1791" s="12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1050</v>
      </c>
      <c r="N1791" t="b">
        <v>0</v>
      </c>
    </row>
    <row r="1792" spans="1:14" x14ac:dyDescent="0.3">
      <c r="A1792" t="s">
        <v>2838</v>
      </c>
      <c r="B1792" t="s">
        <v>1010</v>
      </c>
      <c r="C1792" s="1">
        <v>45592</v>
      </c>
      <c r="E1792" t="s">
        <v>15</v>
      </c>
      <c r="F1792">
        <v>16</v>
      </c>
      <c r="G1792" s="12">
        <v>0</v>
      </c>
      <c r="H1792" s="1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1047</v>
      </c>
      <c r="N1792" t="b">
        <v>1</v>
      </c>
    </row>
    <row r="1793" spans="1:14" x14ac:dyDescent="0.3">
      <c r="A1793" t="s">
        <v>2839</v>
      </c>
      <c r="B1793" t="s">
        <v>198</v>
      </c>
      <c r="C1793" s="1">
        <v>45303</v>
      </c>
      <c r="E1793" t="s">
        <v>39</v>
      </c>
      <c r="F1793">
        <v>38</v>
      </c>
      <c r="G1793" s="12">
        <v>0</v>
      </c>
      <c r="H1793" s="12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1047</v>
      </c>
      <c r="N1793" t="b">
        <v>1</v>
      </c>
    </row>
    <row r="1794" spans="1:14" x14ac:dyDescent="0.3">
      <c r="A1794" t="s">
        <v>2840</v>
      </c>
      <c r="B1794" t="s">
        <v>670</v>
      </c>
      <c r="C1794" s="1">
        <v>45653</v>
      </c>
      <c r="E1794" t="s">
        <v>15</v>
      </c>
      <c r="F1794">
        <v>29</v>
      </c>
      <c r="G1794" s="12">
        <v>551</v>
      </c>
      <c r="H1794" s="12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1047</v>
      </c>
      <c r="N1794" t="b">
        <v>1</v>
      </c>
    </row>
    <row r="1795" spans="1:14" x14ac:dyDescent="0.3">
      <c r="A1795" t="s">
        <v>2841</v>
      </c>
      <c r="B1795" t="s">
        <v>520</v>
      </c>
      <c r="C1795" s="1">
        <v>45606</v>
      </c>
      <c r="E1795" t="s">
        <v>15</v>
      </c>
      <c r="F1795">
        <v>41</v>
      </c>
      <c r="G1795" s="12">
        <v>779</v>
      </c>
      <c r="H1795" s="12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1050</v>
      </c>
      <c r="N1795" t="b">
        <v>1</v>
      </c>
    </row>
    <row r="1796" spans="1:14" x14ac:dyDescent="0.3">
      <c r="A1796" t="s">
        <v>2842</v>
      </c>
      <c r="B1796" t="s">
        <v>890</v>
      </c>
      <c r="C1796" s="1">
        <v>45522</v>
      </c>
      <c r="D1796" s="1">
        <v>45549</v>
      </c>
      <c r="E1796" t="s">
        <v>15</v>
      </c>
      <c r="F1796">
        <v>29</v>
      </c>
      <c r="G1796" s="12">
        <v>551</v>
      </c>
      <c r="H1796" s="12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1050</v>
      </c>
      <c r="N1796" t="b">
        <v>1</v>
      </c>
    </row>
    <row r="1797" spans="1:14" x14ac:dyDescent="0.3">
      <c r="A1797" t="s">
        <v>2843</v>
      </c>
      <c r="B1797" t="s">
        <v>274</v>
      </c>
      <c r="C1797" s="1">
        <v>45642</v>
      </c>
      <c r="E1797" t="s">
        <v>39</v>
      </c>
      <c r="F1797">
        <v>64</v>
      </c>
      <c r="G1797" s="12">
        <v>0</v>
      </c>
      <c r="H1797" s="12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1047</v>
      </c>
      <c r="N1797" t="b">
        <v>1</v>
      </c>
    </row>
    <row r="1798" spans="1:14" x14ac:dyDescent="0.3">
      <c r="A1798" t="s">
        <v>2844</v>
      </c>
      <c r="B1798" t="s">
        <v>870</v>
      </c>
      <c r="C1798" s="1">
        <v>45609</v>
      </c>
      <c r="E1798" t="s">
        <v>32</v>
      </c>
      <c r="F1798">
        <v>27</v>
      </c>
      <c r="G1798" s="12">
        <v>5373</v>
      </c>
      <c r="H1798" s="12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1047</v>
      </c>
      <c r="N1798" t="b">
        <v>0</v>
      </c>
    </row>
    <row r="1799" spans="1:14" x14ac:dyDescent="0.3">
      <c r="A1799" t="s">
        <v>2845</v>
      </c>
      <c r="B1799" t="s">
        <v>996</v>
      </c>
      <c r="C1799" s="1">
        <v>45542</v>
      </c>
      <c r="E1799" t="s">
        <v>32</v>
      </c>
      <c r="F1799">
        <v>22</v>
      </c>
      <c r="G1799" s="12">
        <v>4378</v>
      </c>
      <c r="H1799" s="12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1050</v>
      </c>
      <c r="N1799" t="b">
        <v>1</v>
      </c>
    </row>
    <row r="1800" spans="1:14" x14ac:dyDescent="0.3">
      <c r="A1800" t="s">
        <v>2846</v>
      </c>
      <c r="B1800" t="s">
        <v>812</v>
      </c>
      <c r="C1800" s="1">
        <v>45148</v>
      </c>
      <c r="E1800" t="s">
        <v>32</v>
      </c>
      <c r="F1800">
        <v>6</v>
      </c>
      <c r="G1800" s="12">
        <v>0</v>
      </c>
      <c r="H1800" s="12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1050</v>
      </c>
      <c r="N1800" t="b">
        <v>1</v>
      </c>
    </row>
    <row r="1801" spans="1:14" x14ac:dyDescent="0.3">
      <c r="A1801" t="s">
        <v>2847</v>
      </c>
      <c r="B1801" t="s">
        <v>622</v>
      </c>
      <c r="C1801" s="1">
        <v>45110</v>
      </c>
      <c r="E1801" t="s">
        <v>15</v>
      </c>
      <c r="F1801">
        <v>5</v>
      </c>
      <c r="G1801" s="12">
        <v>95</v>
      </c>
      <c r="H1801" s="12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1047</v>
      </c>
      <c r="N1801" t="b">
        <v>1</v>
      </c>
    </row>
    <row r="1802" spans="1:14" x14ac:dyDescent="0.3">
      <c r="A1802" t="s">
        <v>2848</v>
      </c>
      <c r="B1802" t="s">
        <v>968</v>
      </c>
      <c r="C1802" s="1">
        <v>45104</v>
      </c>
      <c r="E1802" t="s">
        <v>39</v>
      </c>
      <c r="F1802">
        <v>57</v>
      </c>
      <c r="G1802" s="12">
        <v>2793</v>
      </c>
      <c r="H1802" s="1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1050</v>
      </c>
      <c r="N1802" t="b">
        <v>1</v>
      </c>
    </row>
    <row r="1803" spans="1:14" x14ac:dyDescent="0.3">
      <c r="A1803" t="s">
        <v>2849</v>
      </c>
      <c r="B1803" t="s">
        <v>940</v>
      </c>
      <c r="C1803" s="1">
        <v>45627</v>
      </c>
      <c r="E1803" t="s">
        <v>32</v>
      </c>
      <c r="F1803">
        <v>14</v>
      </c>
      <c r="G1803" s="12">
        <v>2786</v>
      </c>
      <c r="H1803" s="12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1047</v>
      </c>
      <c r="N1803" t="b">
        <v>1</v>
      </c>
    </row>
    <row r="1804" spans="1:14" x14ac:dyDescent="0.3">
      <c r="A1804" t="s">
        <v>2850</v>
      </c>
      <c r="B1804" t="s">
        <v>830</v>
      </c>
      <c r="C1804" s="1">
        <v>45654</v>
      </c>
      <c r="E1804" t="s">
        <v>15</v>
      </c>
      <c r="F1804">
        <v>28</v>
      </c>
      <c r="G1804" s="12">
        <v>532</v>
      </c>
      <c r="H1804" s="12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1050</v>
      </c>
      <c r="N1804" t="b">
        <v>1</v>
      </c>
    </row>
    <row r="1805" spans="1:14" x14ac:dyDescent="0.3">
      <c r="A1805" t="s">
        <v>2851</v>
      </c>
      <c r="B1805" t="s">
        <v>85</v>
      </c>
      <c r="C1805" s="1">
        <v>45381</v>
      </c>
      <c r="E1805" t="s">
        <v>32</v>
      </c>
      <c r="F1805">
        <v>7</v>
      </c>
      <c r="G1805" s="12">
        <v>1393</v>
      </c>
      <c r="H1805" s="12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1050</v>
      </c>
      <c r="N1805" t="b">
        <v>1</v>
      </c>
    </row>
    <row r="1806" spans="1:14" x14ac:dyDescent="0.3">
      <c r="A1806" t="s">
        <v>2852</v>
      </c>
      <c r="B1806" t="s">
        <v>95</v>
      </c>
      <c r="C1806" s="1">
        <v>45145</v>
      </c>
      <c r="E1806" t="s">
        <v>32</v>
      </c>
      <c r="F1806">
        <v>4</v>
      </c>
      <c r="G1806" s="12">
        <v>796</v>
      </c>
      <c r="H1806" s="12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1047</v>
      </c>
      <c r="N1806" t="b">
        <v>1</v>
      </c>
    </row>
    <row r="1807" spans="1:14" x14ac:dyDescent="0.3">
      <c r="A1807" t="s">
        <v>2853</v>
      </c>
      <c r="B1807" t="s">
        <v>602</v>
      </c>
      <c r="C1807" s="1">
        <v>45312</v>
      </c>
      <c r="E1807" t="s">
        <v>39</v>
      </c>
      <c r="F1807">
        <v>18</v>
      </c>
      <c r="G1807" s="12">
        <v>882</v>
      </c>
      <c r="H1807" s="12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1050</v>
      </c>
      <c r="N1807" t="b">
        <v>1</v>
      </c>
    </row>
    <row r="1808" spans="1:14" x14ac:dyDescent="0.3">
      <c r="A1808" t="s">
        <v>2854</v>
      </c>
      <c r="B1808" t="s">
        <v>440</v>
      </c>
      <c r="C1808" s="1">
        <v>45608</v>
      </c>
      <c r="E1808" t="s">
        <v>32</v>
      </c>
      <c r="F1808">
        <v>50</v>
      </c>
      <c r="G1808" s="12">
        <v>9950</v>
      </c>
      <c r="H1808" s="12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1050</v>
      </c>
      <c r="N1808" t="b">
        <v>1</v>
      </c>
    </row>
    <row r="1809" spans="1:14" x14ac:dyDescent="0.3">
      <c r="A1809" t="s">
        <v>2855</v>
      </c>
      <c r="B1809" t="s">
        <v>268</v>
      </c>
      <c r="C1809" s="1">
        <v>45631</v>
      </c>
      <c r="E1809" t="s">
        <v>32</v>
      </c>
      <c r="F1809">
        <v>17</v>
      </c>
      <c r="G1809" s="12">
        <v>3383</v>
      </c>
      <c r="H1809" s="12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1047</v>
      </c>
      <c r="N1809" t="b">
        <v>1</v>
      </c>
    </row>
    <row r="1810" spans="1:14" x14ac:dyDescent="0.3">
      <c r="A1810" t="s">
        <v>2856</v>
      </c>
      <c r="B1810" t="s">
        <v>494</v>
      </c>
      <c r="C1810" s="1">
        <v>45370</v>
      </c>
      <c r="E1810" t="s">
        <v>39</v>
      </c>
      <c r="F1810">
        <v>6</v>
      </c>
      <c r="G1810" s="12">
        <v>294</v>
      </c>
      <c r="H1810" s="12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1050</v>
      </c>
      <c r="N1810" t="b">
        <v>1</v>
      </c>
    </row>
    <row r="1811" spans="1:14" x14ac:dyDescent="0.3">
      <c r="A1811" t="s">
        <v>2857</v>
      </c>
      <c r="B1811" t="s">
        <v>930</v>
      </c>
      <c r="C1811" s="1">
        <v>45642</v>
      </c>
      <c r="E1811" t="s">
        <v>32</v>
      </c>
      <c r="F1811">
        <v>40</v>
      </c>
      <c r="G1811" s="12">
        <v>7960</v>
      </c>
      <c r="H1811" s="12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1047</v>
      </c>
      <c r="N1811" t="b">
        <v>1</v>
      </c>
    </row>
    <row r="1812" spans="1:14" x14ac:dyDescent="0.3">
      <c r="A1812" t="s">
        <v>2858</v>
      </c>
      <c r="B1812" t="s">
        <v>376</v>
      </c>
      <c r="C1812" s="1">
        <v>45650</v>
      </c>
      <c r="E1812" t="s">
        <v>32</v>
      </c>
      <c r="F1812">
        <v>29</v>
      </c>
      <c r="G1812" s="12">
        <v>5771</v>
      </c>
      <c r="H1812" s="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1047</v>
      </c>
      <c r="N1812" t="b">
        <v>1</v>
      </c>
    </row>
    <row r="1813" spans="1:14" x14ac:dyDescent="0.3">
      <c r="A1813" t="s">
        <v>2859</v>
      </c>
      <c r="B1813" t="s">
        <v>494</v>
      </c>
      <c r="C1813" s="1">
        <v>45506</v>
      </c>
      <c r="E1813" t="s">
        <v>39</v>
      </c>
      <c r="F1813">
        <v>35</v>
      </c>
      <c r="G1813" s="12">
        <v>1715</v>
      </c>
      <c r="H1813" s="12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1047</v>
      </c>
      <c r="N1813" t="b">
        <v>1</v>
      </c>
    </row>
    <row r="1814" spans="1:14" x14ac:dyDescent="0.3">
      <c r="A1814" t="s">
        <v>2860</v>
      </c>
      <c r="B1814" t="s">
        <v>140</v>
      </c>
      <c r="C1814" s="1">
        <v>45412</v>
      </c>
      <c r="E1814" t="s">
        <v>15</v>
      </c>
      <c r="F1814">
        <v>36</v>
      </c>
      <c r="G1814" s="12">
        <v>684</v>
      </c>
      <c r="H1814" s="12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1047</v>
      </c>
      <c r="N1814" t="b">
        <v>1</v>
      </c>
    </row>
    <row r="1815" spans="1:14" x14ac:dyDescent="0.3">
      <c r="A1815" t="s">
        <v>2861</v>
      </c>
      <c r="B1815" t="s">
        <v>636</v>
      </c>
      <c r="C1815" s="1">
        <v>45358</v>
      </c>
      <c r="E1815" t="s">
        <v>32</v>
      </c>
      <c r="F1815">
        <v>14</v>
      </c>
      <c r="G1815" s="12">
        <v>2786</v>
      </c>
      <c r="H1815" s="12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1047</v>
      </c>
      <c r="N1815" t="b">
        <v>1</v>
      </c>
    </row>
    <row r="1816" spans="1:14" x14ac:dyDescent="0.3">
      <c r="A1816" t="s">
        <v>2862</v>
      </c>
      <c r="B1816" t="s">
        <v>682</v>
      </c>
      <c r="C1816" s="1">
        <v>45528</v>
      </c>
      <c r="E1816" t="s">
        <v>39</v>
      </c>
      <c r="F1816">
        <v>13</v>
      </c>
      <c r="G1816" s="12">
        <v>637</v>
      </c>
      <c r="H1816" s="12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1050</v>
      </c>
      <c r="N1816" t="b">
        <v>1</v>
      </c>
    </row>
    <row r="1817" spans="1:14" x14ac:dyDescent="0.3">
      <c r="A1817" t="s">
        <v>2863</v>
      </c>
      <c r="B1817" t="s">
        <v>460</v>
      </c>
      <c r="C1817" s="1">
        <v>45501</v>
      </c>
      <c r="E1817" t="s">
        <v>32</v>
      </c>
      <c r="F1817">
        <v>44</v>
      </c>
      <c r="G1817" s="12">
        <v>8756</v>
      </c>
      <c r="H1817" s="12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1050</v>
      </c>
      <c r="N1817" t="b">
        <v>1</v>
      </c>
    </row>
    <row r="1818" spans="1:14" x14ac:dyDescent="0.3">
      <c r="A1818" t="s">
        <v>2864</v>
      </c>
      <c r="B1818" t="s">
        <v>220</v>
      </c>
      <c r="C1818" s="1">
        <v>45358</v>
      </c>
      <c r="E1818" t="s">
        <v>15</v>
      </c>
      <c r="F1818">
        <v>18</v>
      </c>
      <c r="G1818" s="12">
        <v>342</v>
      </c>
      <c r="H1818" s="12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1047</v>
      </c>
      <c r="N1818" t="b">
        <v>1</v>
      </c>
    </row>
    <row r="1819" spans="1:14" x14ac:dyDescent="0.3">
      <c r="A1819" t="s">
        <v>2865</v>
      </c>
      <c r="B1819" t="s">
        <v>89</v>
      </c>
      <c r="C1819" s="1">
        <v>45583</v>
      </c>
      <c r="E1819" t="s">
        <v>39</v>
      </c>
      <c r="F1819">
        <v>10</v>
      </c>
      <c r="G1819" s="12">
        <v>490</v>
      </c>
      <c r="H1819" s="12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1050</v>
      </c>
      <c r="N1819" t="b">
        <v>1</v>
      </c>
    </row>
    <row r="1820" spans="1:14" x14ac:dyDescent="0.3">
      <c r="A1820" t="s">
        <v>2866</v>
      </c>
      <c r="B1820" t="s">
        <v>554</v>
      </c>
      <c r="C1820" s="1">
        <v>45541</v>
      </c>
      <c r="E1820" t="s">
        <v>39</v>
      </c>
      <c r="F1820">
        <v>70</v>
      </c>
      <c r="G1820" s="12">
        <v>3430</v>
      </c>
      <c r="H1820" s="12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1047</v>
      </c>
      <c r="N1820" t="b">
        <v>0</v>
      </c>
    </row>
    <row r="1821" spans="1:14" x14ac:dyDescent="0.3">
      <c r="A1821" t="s">
        <v>2867</v>
      </c>
      <c r="B1821" t="s">
        <v>180</v>
      </c>
      <c r="C1821" s="1">
        <v>45508</v>
      </c>
      <c r="E1821" t="s">
        <v>39</v>
      </c>
      <c r="F1821">
        <v>5</v>
      </c>
      <c r="G1821" s="12">
        <v>0</v>
      </c>
      <c r="H1821" s="12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1050</v>
      </c>
      <c r="N1821" t="b">
        <v>1</v>
      </c>
    </row>
    <row r="1822" spans="1:14" x14ac:dyDescent="0.3">
      <c r="A1822" t="s">
        <v>2868</v>
      </c>
      <c r="B1822" t="s">
        <v>328</v>
      </c>
      <c r="C1822" s="1">
        <v>45490</v>
      </c>
      <c r="E1822" t="s">
        <v>15</v>
      </c>
      <c r="F1822">
        <v>76</v>
      </c>
      <c r="G1822" s="12">
        <v>1444</v>
      </c>
      <c r="H1822" s="1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1047</v>
      </c>
      <c r="N1822" t="b">
        <v>0</v>
      </c>
    </row>
    <row r="1823" spans="1:14" x14ac:dyDescent="0.3">
      <c r="A1823" t="s">
        <v>2869</v>
      </c>
      <c r="B1823" t="s">
        <v>87</v>
      </c>
      <c r="C1823" s="1">
        <v>45317</v>
      </c>
      <c r="E1823" t="s">
        <v>32</v>
      </c>
      <c r="F1823">
        <v>20</v>
      </c>
      <c r="G1823" s="12">
        <v>3980</v>
      </c>
      <c r="H1823" s="12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1047</v>
      </c>
      <c r="N1823" t="b">
        <v>1</v>
      </c>
    </row>
    <row r="1824" spans="1:14" x14ac:dyDescent="0.3">
      <c r="A1824" t="s">
        <v>2870</v>
      </c>
      <c r="B1824" t="s">
        <v>462</v>
      </c>
      <c r="C1824" s="1">
        <v>45427</v>
      </c>
      <c r="E1824" t="s">
        <v>15</v>
      </c>
      <c r="F1824">
        <v>43</v>
      </c>
      <c r="G1824" s="12">
        <v>817</v>
      </c>
      <c r="H1824" s="12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1047</v>
      </c>
      <c r="N1824" t="b">
        <v>1</v>
      </c>
    </row>
    <row r="1825" spans="1:14" x14ac:dyDescent="0.3">
      <c r="A1825" t="s">
        <v>2871</v>
      </c>
      <c r="B1825" t="s">
        <v>684</v>
      </c>
      <c r="C1825" s="1">
        <v>45347</v>
      </c>
      <c r="E1825" t="s">
        <v>15</v>
      </c>
      <c r="F1825">
        <v>29</v>
      </c>
      <c r="G1825" s="12">
        <v>551</v>
      </c>
      <c r="H1825" s="12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1050</v>
      </c>
      <c r="N1825" t="b">
        <v>1</v>
      </c>
    </row>
    <row r="1826" spans="1:14" x14ac:dyDescent="0.3">
      <c r="A1826" t="s">
        <v>2872</v>
      </c>
      <c r="B1826" t="s">
        <v>222</v>
      </c>
      <c r="C1826" s="1">
        <v>45582</v>
      </c>
      <c r="E1826" t="s">
        <v>32</v>
      </c>
      <c r="F1826">
        <v>6</v>
      </c>
      <c r="G1826" s="12">
        <v>0</v>
      </c>
      <c r="H1826" s="12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1050</v>
      </c>
      <c r="N1826" t="b">
        <v>1</v>
      </c>
    </row>
    <row r="1827" spans="1:14" x14ac:dyDescent="0.3">
      <c r="A1827" t="s">
        <v>2873</v>
      </c>
      <c r="B1827" t="s">
        <v>644</v>
      </c>
      <c r="C1827" s="1">
        <v>45626</v>
      </c>
      <c r="D1827" s="1">
        <v>45647</v>
      </c>
      <c r="E1827" t="s">
        <v>39</v>
      </c>
      <c r="F1827">
        <v>41</v>
      </c>
      <c r="G1827" s="12">
        <v>2009</v>
      </c>
      <c r="H1827" s="12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1050</v>
      </c>
      <c r="N1827" t="b">
        <v>1</v>
      </c>
    </row>
    <row r="1828" spans="1:14" x14ac:dyDescent="0.3">
      <c r="A1828" t="s">
        <v>2874</v>
      </c>
      <c r="B1828" t="s">
        <v>458</v>
      </c>
      <c r="C1828" s="1">
        <v>45491</v>
      </c>
      <c r="E1828" t="s">
        <v>15</v>
      </c>
      <c r="F1828">
        <v>5</v>
      </c>
      <c r="G1828" s="12">
        <v>95</v>
      </c>
      <c r="H1828" s="12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1047</v>
      </c>
      <c r="N1828" t="b">
        <v>1</v>
      </c>
    </row>
    <row r="1829" spans="1:14" x14ac:dyDescent="0.3">
      <c r="A1829" t="s">
        <v>2875</v>
      </c>
      <c r="B1829" t="s">
        <v>494</v>
      </c>
      <c r="C1829" s="1">
        <v>45020</v>
      </c>
      <c r="E1829" t="s">
        <v>39</v>
      </c>
      <c r="F1829">
        <v>92</v>
      </c>
      <c r="G1829" s="12">
        <v>4508</v>
      </c>
      <c r="H1829" s="12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1047</v>
      </c>
      <c r="N1829" t="b">
        <v>1</v>
      </c>
    </row>
    <row r="1830" spans="1:14" x14ac:dyDescent="0.3">
      <c r="A1830" t="s">
        <v>2876</v>
      </c>
      <c r="B1830" t="s">
        <v>972</v>
      </c>
      <c r="C1830" s="1">
        <v>45237</v>
      </c>
      <c r="E1830" t="s">
        <v>32</v>
      </c>
      <c r="F1830">
        <v>16</v>
      </c>
      <c r="G1830" s="12">
        <v>3184</v>
      </c>
      <c r="H1830" s="12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1047</v>
      </c>
      <c r="N1830" t="b">
        <v>1</v>
      </c>
    </row>
    <row r="1831" spans="1:14" x14ac:dyDescent="0.3">
      <c r="A1831" t="s">
        <v>2877</v>
      </c>
      <c r="B1831" t="s">
        <v>738</v>
      </c>
      <c r="C1831" s="1">
        <v>45593</v>
      </c>
      <c r="E1831" t="s">
        <v>39</v>
      </c>
      <c r="F1831">
        <v>29</v>
      </c>
      <c r="G1831" s="12">
        <v>1421</v>
      </c>
      <c r="H1831" s="12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1047</v>
      </c>
      <c r="N1831" t="b">
        <v>1</v>
      </c>
    </row>
    <row r="1832" spans="1:14" x14ac:dyDescent="0.3">
      <c r="A1832" t="s">
        <v>2878</v>
      </c>
      <c r="B1832" t="s">
        <v>274</v>
      </c>
      <c r="C1832" s="1">
        <v>45398</v>
      </c>
      <c r="E1832" t="s">
        <v>32</v>
      </c>
      <c r="F1832">
        <v>64</v>
      </c>
      <c r="G1832" s="12">
        <v>12736</v>
      </c>
      <c r="H1832" s="1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1050</v>
      </c>
      <c r="N1832" t="b">
        <v>1</v>
      </c>
    </row>
    <row r="1833" spans="1:14" x14ac:dyDescent="0.3">
      <c r="A1833" t="s">
        <v>2879</v>
      </c>
      <c r="B1833" t="s">
        <v>856</v>
      </c>
      <c r="C1833" s="1">
        <v>45643</v>
      </c>
      <c r="E1833" t="s">
        <v>39</v>
      </c>
      <c r="F1833">
        <v>9</v>
      </c>
      <c r="G1833" s="12">
        <v>0</v>
      </c>
      <c r="H1833" s="12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1047</v>
      </c>
      <c r="N1833" t="b">
        <v>1</v>
      </c>
    </row>
    <row r="1834" spans="1:14" x14ac:dyDescent="0.3">
      <c r="A1834" t="s">
        <v>2880</v>
      </c>
      <c r="B1834" t="s">
        <v>438</v>
      </c>
      <c r="C1834" s="1">
        <v>45117</v>
      </c>
      <c r="D1834" s="1">
        <v>45488</v>
      </c>
      <c r="E1834" t="s">
        <v>15</v>
      </c>
      <c r="F1834">
        <v>19</v>
      </c>
      <c r="G1834" s="12">
        <v>0</v>
      </c>
      <c r="H1834" s="12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1047</v>
      </c>
      <c r="N1834" t="b">
        <v>1</v>
      </c>
    </row>
    <row r="1835" spans="1:14" x14ac:dyDescent="0.3">
      <c r="A1835" t="s">
        <v>2881</v>
      </c>
      <c r="B1835" t="s">
        <v>104</v>
      </c>
      <c r="C1835" s="1">
        <v>45558</v>
      </c>
      <c r="E1835" t="s">
        <v>15</v>
      </c>
      <c r="F1835">
        <v>29</v>
      </c>
      <c r="G1835" s="12">
        <v>551</v>
      </c>
      <c r="H1835" s="12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1047</v>
      </c>
      <c r="N1835" t="b">
        <v>1</v>
      </c>
    </row>
    <row r="1836" spans="1:14" x14ac:dyDescent="0.3">
      <c r="A1836" t="s">
        <v>2882</v>
      </c>
      <c r="B1836" t="s">
        <v>174</v>
      </c>
      <c r="C1836" s="1">
        <v>45353</v>
      </c>
      <c r="E1836" t="s">
        <v>39</v>
      </c>
      <c r="F1836">
        <v>9</v>
      </c>
      <c r="G1836" s="12">
        <v>441</v>
      </c>
      <c r="H1836" s="12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1047</v>
      </c>
      <c r="N1836" t="b">
        <v>0</v>
      </c>
    </row>
    <row r="1837" spans="1:14" x14ac:dyDescent="0.3">
      <c r="A1837" t="s">
        <v>2883</v>
      </c>
      <c r="B1837" t="s">
        <v>676</v>
      </c>
      <c r="C1837" s="1">
        <v>45644</v>
      </c>
      <c r="E1837" t="s">
        <v>39</v>
      </c>
      <c r="F1837">
        <v>12</v>
      </c>
      <c r="G1837" s="12">
        <v>588</v>
      </c>
      <c r="H1837" s="12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1047</v>
      </c>
      <c r="N1837" t="b">
        <v>1</v>
      </c>
    </row>
    <row r="1838" spans="1:14" x14ac:dyDescent="0.3">
      <c r="A1838" t="s">
        <v>2884</v>
      </c>
      <c r="B1838" t="s">
        <v>1028</v>
      </c>
      <c r="C1838" s="1">
        <v>45542</v>
      </c>
      <c r="E1838" t="s">
        <v>15</v>
      </c>
      <c r="F1838">
        <v>12</v>
      </c>
      <c r="G1838" s="12">
        <v>228</v>
      </c>
      <c r="H1838" s="12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1047</v>
      </c>
      <c r="N1838" t="b">
        <v>0</v>
      </c>
    </row>
    <row r="1839" spans="1:14" x14ac:dyDescent="0.3">
      <c r="A1839" t="s">
        <v>2885</v>
      </c>
      <c r="B1839" t="s">
        <v>320</v>
      </c>
      <c r="C1839" s="1">
        <v>45447</v>
      </c>
      <c r="D1839" s="1">
        <v>45514</v>
      </c>
      <c r="E1839" t="s">
        <v>15</v>
      </c>
      <c r="F1839">
        <v>24</v>
      </c>
      <c r="G1839" s="12">
        <v>456</v>
      </c>
      <c r="H1839" s="12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1047</v>
      </c>
      <c r="N1839" t="b">
        <v>1</v>
      </c>
    </row>
    <row r="1840" spans="1:14" x14ac:dyDescent="0.3">
      <c r="A1840" t="s">
        <v>2886</v>
      </c>
      <c r="B1840" t="s">
        <v>376</v>
      </c>
      <c r="C1840" s="1">
        <v>45637</v>
      </c>
      <c r="E1840" t="s">
        <v>15</v>
      </c>
      <c r="F1840">
        <v>19</v>
      </c>
      <c r="G1840" s="12">
        <v>361</v>
      </c>
      <c r="H1840" s="12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1047</v>
      </c>
      <c r="N1840" t="b">
        <v>1</v>
      </c>
    </row>
    <row r="1841" spans="1:14" x14ac:dyDescent="0.3">
      <c r="A1841" t="s">
        <v>2887</v>
      </c>
      <c r="B1841" t="s">
        <v>230</v>
      </c>
      <c r="C1841" s="1">
        <v>45598</v>
      </c>
      <c r="E1841" t="s">
        <v>15</v>
      </c>
      <c r="F1841">
        <v>3</v>
      </c>
      <c r="G1841" s="12">
        <v>57</v>
      </c>
      <c r="H1841" s="12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1050</v>
      </c>
      <c r="N1841" t="b">
        <v>1</v>
      </c>
    </row>
    <row r="1842" spans="1:14" x14ac:dyDescent="0.3">
      <c r="A1842" t="s">
        <v>2888</v>
      </c>
      <c r="B1842" t="s">
        <v>962</v>
      </c>
      <c r="C1842" s="1">
        <v>45241</v>
      </c>
      <c r="E1842" t="s">
        <v>15</v>
      </c>
      <c r="F1842">
        <v>19</v>
      </c>
      <c r="G1842" s="12">
        <v>361</v>
      </c>
      <c r="H1842" s="1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1047</v>
      </c>
      <c r="N1842" t="b">
        <v>1</v>
      </c>
    </row>
    <row r="1843" spans="1:14" x14ac:dyDescent="0.3">
      <c r="A1843" t="s">
        <v>2889</v>
      </c>
      <c r="B1843" t="s">
        <v>418</v>
      </c>
      <c r="C1843" s="1">
        <v>45624</v>
      </c>
      <c r="E1843" t="s">
        <v>15</v>
      </c>
      <c r="F1843">
        <v>18</v>
      </c>
      <c r="G1843" s="12">
        <v>342</v>
      </c>
      <c r="H1843" s="12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1050</v>
      </c>
      <c r="N1843" t="b">
        <v>1</v>
      </c>
    </row>
    <row r="1844" spans="1:14" x14ac:dyDescent="0.3">
      <c r="A1844" t="s">
        <v>2890</v>
      </c>
      <c r="B1844" t="s">
        <v>988</v>
      </c>
      <c r="C1844" s="1">
        <v>45518</v>
      </c>
      <c r="E1844" t="s">
        <v>39</v>
      </c>
      <c r="F1844">
        <v>24</v>
      </c>
      <c r="G1844" s="12">
        <v>1176</v>
      </c>
      <c r="H1844" s="12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1050</v>
      </c>
      <c r="N1844" t="b">
        <v>1</v>
      </c>
    </row>
    <row r="1845" spans="1:14" x14ac:dyDescent="0.3">
      <c r="A1845" t="s">
        <v>2891</v>
      </c>
      <c r="B1845" t="s">
        <v>274</v>
      </c>
      <c r="C1845" s="1">
        <v>45341</v>
      </c>
      <c r="E1845" t="s">
        <v>39</v>
      </c>
      <c r="F1845">
        <v>64</v>
      </c>
      <c r="G1845" s="12">
        <v>3136</v>
      </c>
      <c r="H1845" s="12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1047</v>
      </c>
      <c r="N1845" t="b">
        <v>0</v>
      </c>
    </row>
    <row r="1846" spans="1:14" x14ac:dyDescent="0.3">
      <c r="A1846" t="s">
        <v>2892</v>
      </c>
      <c r="B1846" t="s">
        <v>992</v>
      </c>
      <c r="C1846" s="1">
        <v>45578</v>
      </c>
      <c r="E1846" t="s">
        <v>32</v>
      </c>
      <c r="F1846">
        <v>11</v>
      </c>
      <c r="G1846" s="12">
        <v>2189</v>
      </c>
      <c r="H1846" s="12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1047</v>
      </c>
      <c r="N1846" t="b">
        <v>1</v>
      </c>
    </row>
    <row r="1847" spans="1:14" x14ac:dyDescent="0.3">
      <c r="A1847" t="s">
        <v>2893</v>
      </c>
      <c r="B1847" t="s">
        <v>150</v>
      </c>
      <c r="C1847" s="1">
        <v>45554</v>
      </c>
      <c r="E1847" t="s">
        <v>15</v>
      </c>
      <c r="F1847">
        <v>68</v>
      </c>
      <c r="G1847" s="12">
        <v>1292</v>
      </c>
      <c r="H1847" s="12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1047</v>
      </c>
      <c r="N1847" t="b">
        <v>1</v>
      </c>
    </row>
    <row r="1848" spans="1:14" x14ac:dyDescent="0.3">
      <c r="A1848" t="s">
        <v>2894</v>
      </c>
      <c r="B1848" t="s">
        <v>226</v>
      </c>
      <c r="C1848" s="1">
        <v>45645</v>
      </c>
      <c r="E1848" t="s">
        <v>39</v>
      </c>
      <c r="F1848">
        <v>2</v>
      </c>
      <c r="G1848" s="12">
        <v>98</v>
      </c>
      <c r="H1848" s="12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1050</v>
      </c>
      <c r="N1848" t="b">
        <v>0</v>
      </c>
    </row>
    <row r="1849" spans="1:14" x14ac:dyDescent="0.3">
      <c r="A1849" t="s">
        <v>2895</v>
      </c>
      <c r="B1849" t="s">
        <v>354</v>
      </c>
      <c r="C1849" s="1">
        <v>45656</v>
      </c>
      <c r="E1849" t="s">
        <v>39</v>
      </c>
      <c r="F1849">
        <v>28</v>
      </c>
      <c r="G1849" s="12">
        <v>1372</v>
      </c>
      <c r="H1849" s="12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1047</v>
      </c>
      <c r="N1849" t="b">
        <v>1</v>
      </c>
    </row>
    <row r="1850" spans="1:14" x14ac:dyDescent="0.3">
      <c r="A1850" t="s">
        <v>2896</v>
      </c>
      <c r="B1850" t="s">
        <v>972</v>
      </c>
      <c r="C1850" s="1">
        <v>45259</v>
      </c>
      <c r="E1850" t="s">
        <v>32</v>
      </c>
      <c r="F1850">
        <v>59</v>
      </c>
      <c r="G1850" s="12">
        <v>11741</v>
      </c>
      <c r="H1850" s="12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1047</v>
      </c>
      <c r="N1850" t="b">
        <v>1</v>
      </c>
    </row>
    <row r="1851" spans="1:14" x14ac:dyDescent="0.3">
      <c r="A1851" t="s">
        <v>2897</v>
      </c>
      <c r="B1851" t="s">
        <v>904</v>
      </c>
      <c r="C1851" s="1">
        <v>45555</v>
      </c>
      <c r="E1851" t="s">
        <v>39</v>
      </c>
      <c r="F1851">
        <v>45</v>
      </c>
      <c r="G1851" s="12">
        <v>0</v>
      </c>
      <c r="H1851" s="12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1047</v>
      </c>
      <c r="N1851" t="b">
        <v>1</v>
      </c>
    </row>
    <row r="1852" spans="1:14" x14ac:dyDescent="0.3">
      <c r="A1852" t="s">
        <v>2898</v>
      </c>
      <c r="B1852" t="s">
        <v>364</v>
      </c>
      <c r="C1852" s="1">
        <v>45493</v>
      </c>
      <c r="E1852" t="s">
        <v>15</v>
      </c>
      <c r="F1852">
        <v>15</v>
      </c>
      <c r="G1852" s="12">
        <v>285</v>
      </c>
      <c r="H1852" s="1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1050</v>
      </c>
      <c r="N1852" t="b">
        <v>1</v>
      </c>
    </row>
    <row r="1853" spans="1:14" x14ac:dyDescent="0.3">
      <c r="A1853" t="s">
        <v>2899</v>
      </c>
      <c r="B1853" t="s">
        <v>922</v>
      </c>
      <c r="C1853" s="1">
        <v>45650</v>
      </c>
      <c r="E1853" t="s">
        <v>32</v>
      </c>
      <c r="F1853">
        <v>18</v>
      </c>
      <c r="G1853" s="12">
        <v>3582</v>
      </c>
      <c r="H1853" s="12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1050</v>
      </c>
      <c r="N1853" t="b">
        <v>1</v>
      </c>
    </row>
    <row r="1854" spans="1:14" x14ac:dyDescent="0.3">
      <c r="A1854" t="s">
        <v>2900</v>
      </c>
      <c r="B1854" t="s">
        <v>244</v>
      </c>
      <c r="C1854" s="1">
        <v>45644</v>
      </c>
      <c r="E1854" t="s">
        <v>15</v>
      </c>
      <c r="F1854">
        <v>25</v>
      </c>
      <c r="G1854" s="12">
        <v>475</v>
      </c>
      <c r="H1854" s="12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1050</v>
      </c>
      <c r="N1854" t="b">
        <v>1</v>
      </c>
    </row>
    <row r="1855" spans="1:14" x14ac:dyDescent="0.3">
      <c r="A1855" t="s">
        <v>2901</v>
      </c>
      <c r="B1855" t="s">
        <v>838</v>
      </c>
      <c r="C1855" s="1">
        <v>45168</v>
      </c>
      <c r="E1855" t="s">
        <v>15</v>
      </c>
      <c r="F1855">
        <v>3</v>
      </c>
      <c r="G1855" s="12">
        <v>57</v>
      </c>
      <c r="H1855" s="12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1050</v>
      </c>
      <c r="N1855" t="b">
        <v>1</v>
      </c>
    </row>
    <row r="1856" spans="1:14" x14ac:dyDescent="0.3">
      <c r="A1856" t="s">
        <v>2902</v>
      </c>
      <c r="B1856" t="s">
        <v>798</v>
      </c>
      <c r="C1856" s="1">
        <v>45613</v>
      </c>
      <c r="E1856" t="s">
        <v>32</v>
      </c>
      <c r="F1856">
        <v>23</v>
      </c>
      <c r="G1856" s="12">
        <v>4577</v>
      </c>
      <c r="H1856" s="12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1050</v>
      </c>
      <c r="N1856" t="b">
        <v>1</v>
      </c>
    </row>
    <row r="1857" spans="1:14" x14ac:dyDescent="0.3">
      <c r="A1857" t="s">
        <v>2903</v>
      </c>
      <c r="B1857" t="s">
        <v>540</v>
      </c>
      <c r="C1857" s="1">
        <v>45647</v>
      </c>
      <c r="D1857" s="1">
        <v>45649</v>
      </c>
      <c r="E1857" t="s">
        <v>39</v>
      </c>
      <c r="F1857">
        <v>16</v>
      </c>
      <c r="G1857" s="12">
        <v>0</v>
      </c>
      <c r="H1857" s="12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1050</v>
      </c>
      <c r="N1857" t="b">
        <v>1</v>
      </c>
    </row>
    <row r="1858" spans="1:14" x14ac:dyDescent="0.3">
      <c r="A1858" t="s">
        <v>2904</v>
      </c>
      <c r="B1858" t="s">
        <v>758</v>
      </c>
      <c r="C1858" s="1">
        <v>45593</v>
      </c>
      <c r="E1858" t="s">
        <v>32</v>
      </c>
      <c r="F1858">
        <v>25</v>
      </c>
      <c r="G1858" s="12">
        <v>4975</v>
      </c>
      <c r="H1858" s="12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1050</v>
      </c>
      <c r="N1858" t="b">
        <v>1</v>
      </c>
    </row>
    <row r="1859" spans="1:14" x14ac:dyDescent="0.3">
      <c r="A1859" t="s">
        <v>2905</v>
      </c>
      <c r="B1859" t="s">
        <v>762</v>
      </c>
      <c r="C1859" s="1">
        <v>45475</v>
      </c>
      <c r="E1859" t="s">
        <v>39</v>
      </c>
      <c r="F1859">
        <v>30</v>
      </c>
      <c r="G1859" s="12">
        <v>1470</v>
      </c>
      <c r="H1859" s="12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1050</v>
      </c>
      <c r="N1859" t="b">
        <v>1</v>
      </c>
    </row>
    <row r="1860" spans="1:14" x14ac:dyDescent="0.3">
      <c r="A1860" t="s">
        <v>2906</v>
      </c>
      <c r="B1860" t="s">
        <v>624</v>
      </c>
      <c r="C1860" s="1">
        <v>45393</v>
      </c>
      <c r="E1860" t="s">
        <v>32</v>
      </c>
      <c r="F1860">
        <v>38</v>
      </c>
      <c r="G1860" s="12">
        <v>7562</v>
      </c>
      <c r="H1860" s="12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1047</v>
      </c>
      <c r="N1860" t="b">
        <v>1</v>
      </c>
    </row>
    <row r="1861" spans="1:14" x14ac:dyDescent="0.3">
      <c r="A1861" t="s">
        <v>2907</v>
      </c>
      <c r="B1861" t="s">
        <v>242</v>
      </c>
      <c r="C1861" s="1">
        <v>45647</v>
      </c>
      <c r="E1861" t="s">
        <v>15</v>
      </c>
      <c r="F1861">
        <v>6</v>
      </c>
      <c r="G1861" s="12">
        <v>114</v>
      </c>
      <c r="H1861" s="12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1050</v>
      </c>
      <c r="N1861" t="b">
        <v>1</v>
      </c>
    </row>
    <row r="1862" spans="1:14" x14ac:dyDescent="0.3">
      <c r="A1862" t="s">
        <v>2908</v>
      </c>
      <c r="B1862" t="s">
        <v>912</v>
      </c>
      <c r="C1862" s="1">
        <v>45230</v>
      </c>
      <c r="E1862" t="s">
        <v>39</v>
      </c>
      <c r="F1862">
        <v>6</v>
      </c>
      <c r="G1862" s="12">
        <v>294</v>
      </c>
      <c r="H1862" s="1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1047</v>
      </c>
      <c r="N1862" t="b">
        <v>1</v>
      </c>
    </row>
    <row r="1863" spans="1:14" x14ac:dyDescent="0.3">
      <c r="A1863" t="s">
        <v>2909</v>
      </c>
      <c r="B1863" t="s">
        <v>342</v>
      </c>
      <c r="C1863" s="1">
        <v>45496</v>
      </c>
      <c r="E1863" t="s">
        <v>39</v>
      </c>
      <c r="F1863">
        <v>36</v>
      </c>
      <c r="G1863" s="12">
        <v>1764</v>
      </c>
      <c r="H1863" s="12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1047</v>
      </c>
      <c r="N1863" t="b">
        <v>1</v>
      </c>
    </row>
    <row r="1864" spans="1:14" x14ac:dyDescent="0.3">
      <c r="A1864" t="s">
        <v>2910</v>
      </c>
      <c r="B1864" t="s">
        <v>986</v>
      </c>
      <c r="C1864" s="1">
        <v>45581</v>
      </c>
      <c r="E1864" t="s">
        <v>39</v>
      </c>
      <c r="F1864">
        <v>17</v>
      </c>
      <c r="G1864" s="12">
        <v>0</v>
      </c>
      <c r="H1864" s="12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1050</v>
      </c>
      <c r="N1864" t="b">
        <v>1</v>
      </c>
    </row>
    <row r="1865" spans="1:14" x14ac:dyDescent="0.3">
      <c r="A1865" t="s">
        <v>2911</v>
      </c>
      <c r="B1865" t="s">
        <v>592</v>
      </c>
      <c r="C1865" s="1">
        <v>45230</v>
      </c>
      <c r="E1865" t="s">
        <v>15</v>
      </c>
      <c r="F1865">
        <v>64</v>
      </c>
      <c r="G1865" s="12">
        <v>1216</v>
      </c>
      <c r="H1865" s="12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1047</v>
      </c>
      <c r="N1865" t="b">
        <v>1</v>
      </c>
    </row>
    <row r="1866" spans="1:14" x14ac:dyDescent="0.3">
      <c r="A1866" t="s">
        <v>2912</v>
      </c>
      <c r="B1866" t="s">
        <v>332</v>
      </c>
      <c r="C1866" s="1">
        <v>45392</v>
      </c>
      <c r="E1866" t="s">
        <v>32</v>
      </c>
      <c r="F1866">
        <v>47</v>
      </c>
      <c r="G1866" s="12">
        <v>9353</v>
      </c>
      <c r="H1866" s="12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1050</v>
      </c>
      <c r="N1866" t="b">
        <v>1</v>
      </c>
    </row>
    <row r="1867" spans="1:14" x14ac:dyDescent="0.3">
      <c r="A1867" t="s">
        <v>2913</v>
      </c>
      <c r="B1867" t="s">
        <v>264</v>
      </c>
      <c r="C1867" s="1">
        <v>45125</v>
      </c>
      <c r="E1867" t="s">
        <v>39</v>
      </c>
      <c r="F1867">
        <v>38</v>
      </c>
      <c r="G1867" s="12">
        <v>1862</v>
      </c>
      <c r="H1867" s="12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1050</v>
      </c>
      <c r="N1867" t="b">
        <v>1</v>
      </c>
    </row>
    <row r="1868" spans="1:14" x14ac:dyDescent="0.3">
      <c r="A1868" t="s">
        <v>2914</v>
      </c>
      <c r="B1868" t="s">
        <v>466</v>
      </c>
      <c r="C1868" s="1">
        <v>45480</v>
      </c>
      <c r="E1868" t="s">
        <v>39</v>
      </c>
      <c r="F1868">
        <v>11</v>
      </c>
      <c r="G1868" s="12">
        <v>539</v>
      </c>
      <c r="H1868" s="12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1050</v>
      </c>
      <c r="N1868" t="b">
        <v>1</v>
      </c>
    </row>
    <row r="1869" spans="1:14" x14ac:dyDescent="0.3">
      <c r="A1869" t="s">
        <v>2915</v>
      </c>
      <c r="B1869" t="s">
        <v>448</v>
      </c>
      <c r="C1869" s="1">
        <v>45440</v>
      </c>
      <c r="E1869" t="s">
        <v>39</v>
      </c>
      <c r="F1869">
        <v>28</v>
      </c>
      <c r="G1869" s="12">
        <v>1372</v>
      </c>
      <c r="H1869" s="12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1050</v>
      </c>
      <c r="N1869" t="b">
        <v>1</v>
      </c>
    </row>
    <row r="1870" spans="1:14" x14ac:dyDescent="0.3">
      <c r="A1870" t="s">
        <v>2916</v>
      </c>
      <c r="B1870" t="s">
        <v>308</v>
      </c>
      <c r="C1870" s="1">
        <v>45589</v>
      </c>
      <c r="E1870" t="s">
        <v>15</v>
      </c>
      <c r="F1870">
        <v>12</v>
      </c>
      <c r="G1870" s="12">
        <v>228</v>
      </c>
      <c r="H1870" s="12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1047</v>
      </c>
      <c r="N1870" t="b">
        <v>1</v>
      </c>
    </row>
    <row r="1871" spans="1:14" x14ac:dyDescent="0.3">
      <c r="A1871" t="s">
        <v>2917</v>
      </c>
      <c r="B1871" t="s">
        <v>482</v>
      </c>
      <c r="C1871" s="1">
        <v>45634</v>
      </c>
      <c r="D1871" s="1">
        <v>45654</v>
      </c>
      <c r="E1871" t="s">
        <v>39</v>
      </c>
      <c r="F1871">
        <v>69</v>
      </c>
      <c r="G1871" s="12">
        <v>0</v>
      </c>
      <c r="H1871" s="12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1047</v>
      </c>
      <c r="N1871" t="b">
        <v>1</v>
      </c>
    </row>
    <row r="1872" spans="1:14" x14ac:dyDescent="0.3">
      <c r="A1872" t="s">
        <v>2918</v>
      </c>
      <c r="B1872" t="s">
        <v>396</v>
      </c>
      <c r="C1872" s="1">
        <v>45453</v>
      </c>
      <c r="E1872" t="s">
        <v>39</v>
      </c>
      <c r="F1872">
        <v>29</v>
      </c>
      <c r="G1872" s="12">
        <v>0</v>
      </c>
      <c r="H1872" s="1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1047</v>
      </c>
      <c r="N1872" t="b">
        <v>0</v>
      </c>
    </row>
    <row r="1873" spans="1:14" x14ac:dyDescent="0.3">
      <c r="A1873" t="s">
        <v>2919</v>
      </c>
      <c r="B1873" t="s">
        <v>834</v>
      </c>
      <c r="C1873" s="1">
        <v>45338</v>
      </c>
      <c r="E1873" t="s">
        <v>15</v>
      </c>
      <c r="F1873">
        <v>33</v>
      </c>
      <c r="G1873" s="12">
        <v>627</v>
      </c>
      <c r="H1873" s="12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1047</v>
      </c>
      <c r="N1873" t="b">
        <v>1</v>
      </c>
    </row>
    <row r="1874" spans="1:14" x14ac:dyDescent="0.3">
      <c r="A1874" t="s">
        <v>2920</v>
      </c>
      <c r="B1874" t="s">
        <v>150</v>
      </c>
      <c r="C1874" s="1">
        <v>45545</v>
      </c>
      <c r="E1874" t="s">
        <v>39</v>
      </c>
      <c r="F1874">
        <v>19</v>
      </c>
      <c r="G1874" s="12">
        <v>931</v>
      </c>
      <c r="H1874" s="12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1047</v>
      </c>
      <c r="N1874" t="b">
        <v>1</v>
      </c>
    </row>
    <row r="1875" spans="1:14" x14ac:dyDescent="0.3">
      <c r="A1875" t="s">
        <v>2921</v>
      </c>
      <c r="B1875" t="s">
        <v>588</v>
      </c>
      <c r="C1875" s="1">
        <v>45620</v>
      </c>
      <c r="E1875" t="s">
        <v>39</v>
      </c>
      <c r="F1875">
        <v>51</v>
      </c>
      <c r="G1875" s="12">
        <v>2499</v>
      </c>
      <c r="H1875" s="12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1047</v>
      </c>
      <c r="N1875" t="b">
        <v>1</v>
      </c>
    </row>
    <row r="1876" spans="1:14" x14ac:dyDescent="0.3">
      <c r="A1876" t="s">
        <v>2922</v>
      </c>
      <c r="B1876" t="s">
        <v>720</v>
      </c>
      <c r="C1876" s="1">
        <v>45322</v>
      </c>
      <c r="D1876" s="1">
        <v>45476</v>
      </c>
      <c r="E1876" t="s">
        <v>39</v>
      </c>
      <c r="F1876">
        <v>45</v>
      </c>
      <c r="G1876" s="12">
        <v>2205</v>
      </c>
      <c r="H1876" s="12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1050</v>
      </c>
      <c r="N1876" t="b">
        <v>1</v>
      </c>
    </row>
    <row r="1877" spans="1:14" x14ac:dyDescent="0.3">
      <c r="A1877" t="s">
        <v>2923</v>
      </c>
      <c r="B1877" t="s">
        <v>224</v>
      </c>
      <c r="C1877" s="1">
        <v>45652</v>
      </c>
      <c r="E1877" t="s">
        <v>32</v>
      </c>
      <c r="F1877">
        <v>1</v>
      </c>
      <c r="G1877" s="12">
        <v>0</v>
      </c>
      <c r="H1877" s="12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1047</v>
      </c>
      <c r="N1877" t="b">
        <v>0</v>
      </c>
    </row>
    <row r="1878" spans="1:14" x14ac:dyDescent="0.3">
      <c r="A1878" t="s">
        <v>2924</v>
      </c>
      <c r="B1878" t="s">
        <v>904</v>
      </c>
      <c r="C1878" s="1">
        <v>45610</v>
      </c>
      <c r="E1878" t="s">
        <v>32</v>
      </c>
      <c r="F1878">
        <v>45</v>
      </c>
      <c r="G1878" s="12">
        <v>8955</v>
      </c>
      <c r="H1878" s="12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1050</v>
      </c>
      <c r="N1878" t="b">
        <v>1</v>
      </c>
    </row>
    <row r="1879" spans="1:14" x14ac:dyDescent="0.3">
      <c r="A1879" t="s">
        <v>2925</v>
      </c>
      <c r="B1879" t="s">
        <v>29</v>
      </c>
      <c r="C1879" s="1">
        <v>45630</v>
      </c>
      <c r="E1879" t="s">
        <v>39</v>
      </c>
      <c r="F1879">
        <v>35</v>
      </c>
      <c r="G1879" s="12">
        <v>1715</v>
      </c>
      <c r="H1879" s="12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1050</v>
      </c>
      <c r="N1879" t="b">
        <v>0</v>
      </c>
    </row>
    <row r="1880" spans="1:14" x14ac:dyDescent="0.3">
      <c r="A1880" t="s">
        <v>2926</v>
      </c>
      <c r="B1880" t="s">
        <v>830</v>
      </c>
      <c r="C1880" s="1">
        <v>45656</v>
      </c>
      <c r="E1880" t="s">
        <v>39</v>
      </c>
      <c r="F1880">
        <v>28</v>
      </c>
      <c r="G1880" s="12">
        <v>1372</v>
      </c>
      <c r="H1880" s="12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1047</v>
      </c>
      <c r="N1880" t="b">
        <v>1</v>
      </c>
    </row>
    <row r="1881" spans="1:14" x14ac:dyDescent="0.3">
      <c r="A1881" t="s">
        <v>2927</v>
      </c>
      <c r="B1881" t="s">
        <v>512</v>
      </c>
      <c r="C1881" s="1">
        <v>45635</v>
      </c>
      <c r="E1881" t="s">
        <v>32</v>
      </c>
      <c r="F1881">
        <v>27</v>
      </c>
      <c r="G1881" s="12">
        <v>5373</v>
      </c>
      <c r="H1881" s="12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1047</v>
      </c>
      <c r="N1881" t="b">
        <v>1</v>
      </c>
    </row>
    <row r="1882" spans="1:14" x14ac:dyDescent="0.3">
      <c r="A1882" t="s">
        <v>2928</v>
      </c>
      <c r="B1882" t="s">
        <v>916</v>
      </c>
      <c r="C1882" s="1">
        <v>45600</v>
      </c>
      <c r="E1882" t="s">
        <v>15</v>
      </c>
      <c r="F1882">
        <v>22</v>
      </c>
      <c r="G1882" s="12">
        <v>418</v>
      </c>
      <c r="H1882" s="1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1047</v>
      </c>
      <c r="N1882" t="b">
        <v>1</v>
      </c>
    </row>
    <row r="1883" spans="1:14" x14ac:dyDescent="0.3">
      <c r="A1883" t="s">
        <v>2929</v>
      </c>
      <c r="B1883" t="s">
        <v>770</v>
      </c>
      <c r="C1883" s="1">
        <v>45484</v>
      </c>
      <c r="E1883" t="s">
        <v>39</v>
      </c>
      <c r="F1883">
        <v>33</v>
      </c>
      <c r="G1883" s="12">
        <v>1617</v>
      </c>
      <c r="H1883" s="12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1047</v>
      </c>
      <c r="N1883" t="b">
        <v>1</v>
      </c>
    </row>
    <row r="1884" spans="1:14" x14ac:dyDescent="0.3">
      <c r="A1884" t="s">
        <v>2930</v>
      </c>
      <c r="B1884" t="s">
        <v>558</v>
      </c>
      <c r="C1884" s="1">
        <v>45592</v>
      </c>
      <c r="E1884" t="s">
        <v>32</v>
      </c>
      <c r="F1884">
        <v>31</v>
      </c>
      <c r="G1884" s="12">
        <v>6169</v>
      </c>
      <c r="H1884" s="12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1050</v>
      </c>
      <c r="N1884" t="b">
        <v>1</v>
      </c>
    </row>
    <row r="1885" spans="1:14" x14ac:dyDescent="0.3">
      <c r="A1885" t="s">
        <v>2931</v>
      </c>
      <c r="B1885" t="s">
        <v>768</v>
      </c>
      <c r="C1885" s="1">
        <v>45526</v>
      </c>
      <c r="E1885" t="s">
        <v>39</v>
      </c>
      <c r="F1885">
        <v>28</v>
      </c>
      <c r="G1885" s="12">
        <v>1372</v>
      </c>
      <c r="H1885" s="12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1047</v>
      </c>
      <c r="N1885" t="b">
        <v>1</v>
      </c>
    </row>
    <row r="1886" spans="1:14" x14ac:dyDescent="0.3">
      <c r="A1886" t="s">
        <v>2932</v>
      </c>
      <c r="B1886" t="s">
        <v>350</v>
      </c>
      <c r="C1886" s="1">
        <v>45578</v>
      </c>
      <c r="E1886" t="s">
        <v>39</v>
      </c>
      <c r="F1886">
        <v>33</v>
      </c>
      <c r="G1886" s="12">
        <v>1617</v>
      </c>
      <c r="H1886" s="12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1050</v>
      </c>
      <c r="N1886" t="b">
        <v>1</v>
      </c>
    </row>
    <row r="1887" spans="1:14" x14ac:dyDescent="0.3">
      <c r="A1887" t="s">
        <v>2933</v>
      </c>
      <c r="B1887" t="s">
        <v>244</v>
      </c>
      <c r="C1887" s="1">
        <v>45626</v>
      </c>
      <c r="E1887" t="s">
        <v>39</v>
      </c>
      <c r="F1887">
        <v>25</v>
      </c>
      <c r="G1887" s="12">
        <v>1225</v>
      </c>
      <c r="H1887" s="12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1047</v>
      </c>
      <c r="N1887" t="b">
        <v>1</v>
      </c>
    </row>
    <row r="1888" spans="1:14" x14ac:dyDescent="0.3">
      <c r="A1888" t="s">
        <v>2934</v>
      </c>
      <c r="B1888" t="s">
        <v>412</v>
      </c>
      <c r="C1888" s="1">
        <v>45408</v>
      </c>
      <c r="E1888" t="s">
        <v>32</v>
      </c>
      <c r="F1888">
        <v>31</v>
      </c>
      <c r="G1888" s="12">
        <v>6169</v>
      </c>
      <c r="H1888" s="12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1047</v>
      </c>
      <c r="N1888" t="b">
        <v>1</v>
      </c>
    </row>
    <row r="1889" spans="1:14" x14ac:dyDescent="0.3">
      <c r="A1889" t="s">
        <v>2935</v>
      </c>
      <c r="B1889" t="s">
        <v>342</v>
      </c>
      <c r="C1889" s="1">
        <v>45656</v>
      </c>
      <c r="E1889" t="s">
        <v>15</v>
      </c>
      <c r="F1889">
        <v>5</v>
      </c>
      <c r="G1889" s="12">
        <v>95</v>
      </c>
      <c r="H1889" s="12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1050</v>
      </c>
      <c r="N1889" t="b">
        <v>1</v>
      </c>
    </row>
    <row r="1890" spans="1:14" x14ac:dyDescent="0.3">
      <c r="A1890" t="s">
        <v>2936</v>
      </c>
      <c r="B1890" t="s">
        <v>858</v>
      </c>
      <c r="C1890" s="1">
        <v>45415</v>
      </c>
      <c r="E1890" t="s">
        <v>39</v>
      </c>
      <c r="F1890">
        <v>29</v>
      </c>
      <c r="G1890" s="12">
        <v>0</v>
      </c>
      <c r="H1890" s="12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1047</v>
      </c>
      <c r="N1890" t="b">
        <v>1</v>
      </c>
    </row>
    <row r="1891" spans="1:14" x14ac:dyDescent="0.3">
      <c r="A1891" t="s">
        <v>2937</v>
      </c>
      <c r="B1891" t="s">
        <v>458</v>
      </c>
      <c r="C1891" s="1">
        <v>45515</v>
      </c>
      <c r="E1891" t="s">
        <v>32</v>
      </c>
      <c r="F1891">
        <v>7</v>
      </c>
      <c r="G1891" s="12">
        <v>1393</v>
      </c>
      <c r="H1891" s="12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1050</v>
      </c>
      <c r="N1891" t="b">
        <v>1</v>
      </c>
    </row>
    <row r="1892" spans="1:14" x14ac:dyDescent="0.3">
      <c r="A1892" t="s">
        <v>2938</v>
      </c>
      <c r="B1892" t="s">
        <v>810</v>
      </c>
      <c r="C1892" s="1">
        <v>45638</v>
      </c>
      <c r="E1892" t="s">
        <v>39</v>
      </c>
      <c r="F1892">
        <v>38</v>
      </c>
      <c r="G1892" s="12">
        <v>1862</v>
      </c>
      <c r="H1892" s="1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1050</v>
      </c>
      <c r="N1892" t="b">
        <v>1</v>
      </c>
    </row>
    <row r="1893" spans="1:14" x14ac:dyDescent="0.3">
      <c r="A1893" t="s">
        <v>2939</v>
      </c>
      <c r="B1893" t="s">
        <v>630</v>
      </c>
      <c r="C1893" s="1">
        <v>45344</v>
      </c>
      <c r="D1893" s="1">
        <v>45360</v>
      </c>
      <c r="E1893" t="s">
        <v>32</v>
      </c>
      <c r="F1893">
        <v>57</v>
      </c>
      <c r="G1893" s="12">
        <v>11343</v>
      </c>
      <c r="H1893" s="12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1047</v>
      </c>
      <c r="N1893" t="b">
        <v>1</v>
      </c>
    </row>
    <row r="1894" spans="1:14" x14ac:dyDescent="0.3">
      <c r="A1894" t="s">
        <v>2940</v>
      </c>
      <c r="B1894" t="s">
        <v>186</v>
      </c>
      <c r="C1894" s="1">
        <v>45301</v>
      </c>
      <c r="E1894" t="s">
        <v>32</v>
      </c>
      <c r="F1894">
        <v>41</v>
      </c>
      <c r="G1894" s="12">
        <v>8159</v>
      </c>
      <c r="H1894" s="12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1050</v>
      </c>
      <c r="N1894" t="b">
        <v>1</v>
      </c>
    </row>
    <row r="1895" spans="1:14" x14ac:dyDescent="0.3">
      <c r="A1895" t="s">
        <v>2941</v>
      </c>
      <c r="B1895" t="s">
        <v>420</v>
      </c>
      <c r="C1895" s="1">
        <v>45483</v>
      </c>
      <c r="E1895" t="s">
        <v>39</v>
      </c>
      <c r="F1895">
        <v>12</v>
      </c>
      <c r="G1895" s="12">
        <v>588</v>
      </c>
      <c r="H1895" s="12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1047</v>
      </c>
      <c r="N1895" t="b">
        <v>1</v>
      </c>
    </row>
    <row r="1896" spans="1:14" x14ac:dyDescent="0.3">
      <c r="A1896" t="s">
        <v>2942</v>
      </c>
      <c r="B1896" t="s">
        <v>576</v>
      </c>
      <c r="C1896" s="1">
        <v>45586</v>
      </c>
      <c r="E1896" t="s">
        <v>15</v>
      </c>
      <c r="F1896">
        <v>14</v>
      </c>
      <c r="G1896" s="12">
        <v>266</v>
      </c>
      <c r="H1896" s="12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1050</v>
      </c>
      <c r="N1896" t="b">
        <v>1</v>
      </c>
    </row>
    <row r="1897" spans="1:14" x14ac:dyDescent="0.3">
      <c r="A1897" t="s">
        <v>2943</v>
      </c>
      <c r="B1897" t="s">
        <v>140</v>
      </c>
      <c r="C1897" s="1">
        <v>45528</v>
      </c>
      <c r="E1897" t="s">
        <v>32</v>
      </c>
      <c r="F1897">
        <v>36</v>
      </c>
      <c r="G1897" s="12">
        <v>7164</v>
      </c>
      <c r="H1897" s="12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1050</v>
      </c>
      <c r="N1897" t="b">
        <v>1</v>
      </c>
    </row>
    <row r="1898" spans="1:14" x14ac:dyDescent="0.3">
      <c r="A1898" t="s">
        <v>2944</v>
      </c>
      <c r="B1898" t="s">
        <v>684</v>
      </c>
      <c r="C1898" s="1">
        <v>45399</v>
      </c>
      <c r="E1898" t="s">
        <v>15</v>
      </c>
      <c r="F1898">
        <v>29</v>
      </c>
      <c r="G1898" s="12">
        <v>551</v>
      </c>
      <c r="H1898" s="12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1047</v>
      </c>
      <c r="N1898" t="b">
        <v>0</v>
      </c>
    </row>
    <row r="1899" spans="1:14" x14ac:dyDescent="0.3">
      <c r="A1899" t="s">
        <v>2945</v>
      </c>
      <c r="B1899" t="s">
        <v>136</v>
      </c>
      <c r="C1899" s="1">
        <v>45326</v>
      </c>
      <c r="E1899" t="s">
        <v>15</v>
      </c>
      <c r="F1899">
        <v>26</v>
      </c>
      <c r="G1899" s="12">
        <v>494</v>
      </c>
      <c r="H1899" s="12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1050</v>
      </c>
      <c r="N1899" t="b">
        <v>1</v>
      </c>
    </row>
    <row r="1900" spans="1:14" x14ac:dyDescent="0.3">
      <c r="A1900" t="s">
        <v>2946</v>
      </c>
      <c r="B1900" t="s">
        <v>53</v>
      </c>
      <c r="C1900" s="1">
        <v>45401</v>
      </c>
      <c r="E1900" t="s">
        <v>15</v>
      </c>
      <c r="F1900">
        <v>61</v>
      </c>
      <c r="G1900" s="12">
        <v>1159</v>
      </c>
      <c r="H1900" s="12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1047</v>
      </c>
      <c r="N1900" t="b">
        <v>0</v>
      </c>
    </row>
    <row r="1901" spans="1:14" x14ac:dyDescent="0.3">
      <c r="A1901" t="s">
        <v>2947</v>
      </c>
      <c r="B1901" t="s">
        <v>962</v>
      </c>
      <c r="C1901" s="1">
        <v>45387</v>
      </c>
      <c r="E1901" t="s">
        <v>39</v>
      </c>
      <c r="F1901">
        <v>19</v>
      </c>
      <c r="G1901" s="12">
        <v>0</v>
      </c>
      <c r="H1901" s="12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1047</v>
      </c>
      <c r="N1901" t="b">
        <v>1</v>
      </c>
    </row>
    <row r="1902" spans="1:14" x14ac:dyDescent="0.3">
      <c r="A1902" t="s">
        <v>2948</v>
      </c>
      <c r="B1902" t="s">
        <v>268</v>
      </c>
      <c r="C1902" s="1">
        <v>45474</v>
      </c>
      <c r="D1902" s="1">
        <v>45608</v>
      </c>
      <c r="E1902" t="s">
        <v>32</v>
      </c>
      <c r="F1902">
        <v>43</v>
      </c>
      <c r="G1902" s="12">
        <v>8557</v>
      </c>
      <c r="H1902" s="1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1047</v>
      </c>
      <c r="N1902" t="b">
        <v>1</v>
      </c>
    </row>
    <row r="1903" spans="1:14" x14ac:dyDescent="0.3">
      <c r="A1903" t="s">
        <v>2949</v>
      </c>
      <c r="B1903" t="s">
        <v>494</v>
      </c>
      <c r="C1903" s="1">
        <v>45035</v>
      </c>
      <c r="E1903" t="s">
        <v>39</v>
      </c>
      <c r="F1903">
        <v>17</v>
      </c>
      <c r="G1903" s="12">
        <v>833</v>
      </c>
      <c r="H1903" s="12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1047</v>
      </c>
      <c r="N1903" t="b">
        <v>0</v>
      </c>
    </row>
    <row r="1904" spans="1:14" x14ac:dyDescent="0.3">
      <c r="A1904" t="s">
        <v>2950</v>
      </c>
      <c r="B1904" t="s">
        <v>204</v>
      </c>
      <c r="C1904" s="1">
        <v>45624</v>
      </c>
      <c r="E1904" t="s">
        <v>39</v>
      </c>
      <c r="F1904">
        <v>111</v>
      </c>
      <c r="G1904" s="12">
        <v>0</v>
      </c>
      <c r="H1904" s="12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1050</v>
      </c>
      <c r="N1904" t="b">
        <v>1</v>
      </c>
    </row>
    <row r="1905" spans="1:14" x14ac:dyDescent="0.3">
      <c r="A1905" t="s">
        <v>2951</v>
      </c>
      <c r="B1905" t="s">
        <v>190</v>
      </c>
      <c r="C1905" s="1">
        <v>45255</v>
      </c>
      <c r="E1905" t="s">
        <v>15</v>
      </c>
      <c r="F1905">
        <v>56</v>
      </c>
      <c r="G1905" s="12">
        <v>1064</v>
      </c>
      <c r="H1905" s="12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1050</v>
      </c>
      <c r="N1905" t="b">
        <v>0</v>
      </c>
    </row>
    <row r="1906" spans="1:14" x14ac:dyDescent="0.3">
      <c r="A1906" t="s">
        <v>2952</v>
      </c>
      <c r="B1906" t="s">
        <v>518</v>
      </c>
      <c r="C1906" s="1">
        <v>45022</v>
      </c>
      <c r="E1906" t="s">
        <v>39</v>
      </c>
      <c r="F1906">
        <v>21</v>
      </c>
      <c r="G1906" s="12">
        <v>1029</v>
      </c>
      <c r="H1906" s="12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1047</v>
      </c>
      <c r="N1906" t="b">
        <v>0</v>
      </c>
    </row>
    <row r="1907" spans="1:14" x14ac:dyDescent="0.3">
      <c r="A1907" t="s">
        <v>2953</v>
      </c>
      <c r="B1907" t="s">
        <v>162</v>
      </c>
      <c r="C1907" s="1">
        <v>45501</v>
      </c>
      <c r="E1907" t="s">
        <v>39</v>
      </c>
      <c r="F1907">
        <v>43</v>
      </c>
      <c r="G1907" s="12">
        <v>2107</v>
      </c>
      <c r="H1907" s="12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1050</v>
      </c>
      <c r="N1907" t="b">
        <v>1</v>
      </c>
    </row>
    <row r="1908" spans="1:14" x14ac:dyDescent="0.3">
      <c r="A1908" t="s">
        <v>2954</v>
      </c>
      <c r="B1908" t="s">
        <v>866</v>
      </c>
      <c r="C1908" s="1">
        <v>45586</v>
      </c>
      <c r="E1908" t="s">
        <v>32</v>
      </c>
      <c r="F1908">
        <v>23</v>
      </c>
      <c r="G1908" s="12">
        <v>0</v>
      </c>
      <c r="H1908" s="12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1050</v>
      </c>
      <c r="N1908" t="b">
        <v>1</v>
      </c>
    </row>
    <row r="1909" spans="1:14" x14ac:dyDescent="0.3">
      <c r="A1909" t="s">
        <v>2955</v>
      </c>
      <c r="B1909" t="s">
        <v>192</v>
      </c>
      <c r="C1909" s="1">
        <v>45652</v>
      </c>
      <c r="E1909" t="s">
        <v>32</v>
      </c>
      <c r="F1909">
        <v>9</v>
      </c>
      <c r="G1909" s="12">
        <v>1791</v>
      </c>
      <c r="H1909" s="12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1050</v>
      </c>
      <c r="N1909" t="b">
        <v>1</v>
      </c>
    </row>
    <row r="1910" spans="1:14" x14ac:dyDescent="0.3">
      <c r="A1910" t="s">
        <v>2956</v>
      </c>
      <c r="B1910" t="s">
        <v>630</v>
      </c>
      <c r="C1910" s="1">
        <v>45436</v>
      </c>
      <c r="E1910" t="s">
        <v>32</v>
      </c>
      <c r="F1910">
        <v>43</v>
      </c>
      <c r="G1910" s="12">
        <v>0</v>
      </c>
      <c r="H1910" s="12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1050</v>
      </c>
      <c r="N1910" t="b">
        <v>1</v>
      </c>
    </row>
    <row r="1911" spans="1:14" x14ac:dyDescent="0.3">
      <c r="A1911" t="s">
        <v>2957</v>
      </c>
      <c r="B1911" t="s">
        <v>312</v>
      </c>
      <c r="C1911" s="1">
        <v>45496</v>
      </c>
      <c r="E1911" t="s">
        <v>15</v>
      </c>
      <c r="F1911">
        <v>13</v>
      </c>
      <c r="G1911" s="12">
        <v>247</v>
      </c>
      <c r="H1911" s="12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1047</v>
      </c>
      <c r="N1911" t="b">
        <v>0</v>
      </c>
    </row>
    <row r="1912" spans="1:14" x14ac:dyDescent="0.3">
      <c r="A1912" t="s">
        <v>2958</v>
      </c>
      <c r="B1912" t="s">
        <v>486</v>
      </c>
      <c r="C1912" s="1">
        <v>45215</v>
      </c>
      <c r="E1912" t="s">
        <v>39</v>
      </c>
      <c r="F1912">
        <v>53</v>
      </c>
      <c r="G1912" s="12">
        <v>0</v>
      </c>
      <c r="H1912" s="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1047</v>
      </c>
      <c r="N1912" t="b">
        <v>1</v>
      </c>
    </row>
    <row r="1913" spans="1:14" x14ac:dyDescent="0.3">
      <c r="A1913" t="s">
        <v>2959</v>
      </c>
      <c r="B1913" t="s">
        <v>568</v>
      </c>
      <c r="C1913" s="1">
        <v>45617</v>
      </c>
      <c r="E1913" t="s">
        <v>32</v>
      </c>
      <c r="F1913">
        <v>51</v>
      </c>
      <c r="G1913" s="12">
        <v>10149</v>
      </c>
      <c r="H1913" s="12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1050</v>
      </c>
      <c r="N1913" t="b">
        <v>0</v>
      </c>
    </row>
    <row r="1914" spans="1:14" x14ac:dyDescent="0.3">
      <c r="A1914" t="s">
        <v>2960</v>
      </c>
      <c r="B1914" t="s">
        <v>500</v>
      </c>
      <c r="C1914" s="1">
        <v>45614</v>
      </c>
      <c r="E1914" t="s">
        <v>32</v>
      </c>
      <c r="F1914">
        <v>92</v>
      </c>
      <c r="G1914" s="12">
        <v>18308</v>
      </c>
      <c r="H1914" s="12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1047</v>
      </c>
      <c r="N1914" t="b">
        <v>1</v>
      </c>
    </row>
    <row r="1915" spans="1:14" x14ac:dyDescent="0.3">
      <c r="A1915" t="s">
        <v>2961</v>
      </c>
      <c r="B1915" t="s">
        <v>784</v>
      </c>
      <c r="C1915" s="1">
        <v>45592</v>
      </c>
      <c r="E1915" t="s">
        <v>39</v>
      </c>
      <c r="F1915">
        <v>13</v>
      </c>
      <c r="G1915" s="12">
        <v>637</v>
      </c>
      <c r="H1915" s="12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1050</v>
      </c>
      <c r="N1915" t="b">
        <v>0</v>
      </c>
    </row>
    <row r="1916" spans="1:14" x14ac:dyDescent="0.3">
      <c r="A1916" t="s">
        <v>2962</v>
      </c>
      <c r="B1916" t="s">
        <v>384</v>
      </c>
      <c r="C1916" s="1">
        <v>45543</v>
      </c>
      <c r="E1916" t="s">
        <v>39</v>
      </c>
      <c r="F1916">
        <v>163</v>
      </c>
      <c r="G1916" s="12">
        <v>7987</v>
      </c>
      <c r="H1916" s="12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1047</v>
      </c>
      <c r="N1916" t="b">
        <v>1</v>
      </c>
    </row>
    <row r="1917" spans="1:14" x14ac:dyDescent="0.3">
      <c r="A1917" t="s">
        <v>2963</v>
      </c>
      <c r="B1917" t="s">
        <v>454</v>
      </c>
      <c r="C1917" s="1">
        <v>45284</v>
      </c>
      <c r="D1917" s="1">
        <v>45600</v>
      </c>
      <c r="E1917" t="s">
        <v>15</v>
      </c>
      <c r="F1917">
        <v>47</v>
      </c>
      <c r="G1917" s="12">
        <v>893</v>
      </c>
      <c r="H1917" s="12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1050</v>
      </c>
      <c r="N1917" t="b">
        <v>0</v>
      </c>
    </row>
    <row r="1918" spans="1:14" x14ac:dyDescent="0.3">
      <c r="A1918" t="s">
        <v>2964</v>
      </c>
      <c r="B1918" t="s">
        <v>498</v>
      </c>
      <c r="C1918" s="1">
        <v>45379</v>
      </c>
      <c r="E1918" t="s">
        <v>32</v>
      </c>
      <c r="F1918">
        <v>23</v>
      </c>
      <c r="G1918" s="12">
        <v>4577</v>
      </c>
      <c r="H1918" s="12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1047</v>
      </c>
      <c r="N1918" t="b">
        <v>1</v>
      </c>
    </row>
    <row r="1919" spans="1:14" x14ac:dyDescent="0.3">
      <c r="A1919" t="s">
        <v>2965</v>
      </c>
      <c r="B1919" t="s">
        <v>744</v>
      </c>
      <c r="C1919" s="1">
        <v>45464</v>
      </c>
      <c r="D1919" s="1">
        <v>45564</v>
      </c>
      <c r="E1919" t="s">
        <v>15</v>
      </c>
      <c r="F1919">
        <v>58</v>
      </c>
      <c r="G1919" s="12">
        <v>1102</v>
      </c>
      <c r="H1919" s="12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1047</v>
      </c>
      <c r="N1919" t="b">
        <v>0</v>
      </c>
    </row>
    <row r="1920" spans="1:14" x14ac:dyDescent="0.3">
      <c r="A1920" t="s">
        <v>2966</v>
      </c>
      <c r="B1920" t="s">
        <v>274</v>
      </c>
      <c r="C1920" s="1">
        <v>45605</v>
      </c>
      <c r="E1920" t="s">
        <v>15</v>
      </c>
      <c r="F1920">
        <v>64</v>
      </c>
      <c r="G1920" s="12">
        <v>1216</v>
      </c>
      <c r="H1920" s="12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1050</v>
      </c>
      <c r="N1920" t="b">
        <v>1</v>
      </c>
    </row>
    <row r="1921" spans="1:14" x14ac:dyDescent="0.3">
      <c r="A1921" t="s">
        <v>2967</v>
      </c>
      <c r="B1921" t="s">
        <v>932</v>
      </c>
      <c r="C1921" s="1">
        <v>45577</v>
      </c>
      <c r="E1921" t="s">
        <v>32</v>
      </c>
      <c r="F1921">
        <v>63</v>
      </c>
      <c r="G1921" s="12">
        <v>12537</v>
      </c>
      <c r="H1921" s="12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1050</v>
      </c>
      <c r="N1921" t="b">
        <v>0</v>
      </c>
    </row>
    <row r="1922" spans="1:14" x14ac:dyDescent="0.3">
      <c r="A1922" t="s">
        <v>2968</v>
      </c>
      <c r="B1922" t="s">
        <v>712</v>
      </c>
      <c r="C1922" s="1">
        <v>45554</v>
      </c>
      <c r="E1922" t="s">
        <v>32</v>
      </c>
      <c r="F1922">
        <v>70</v>
      </c>
      <c r="G1922" s="12">
        <v>13930</v>
      </c>
      <c r="H1922" s="1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1047</v>
      </c>
      <c r="N1922" t="b">
        <v>1</v>
      </c>
    </row>
    <row r="1923" spans="1:14" x14ac:dyDescent="0.3">
      <c r="A1923" t="s">
        <v>2969</v>
      </c>
      <c r="B1923" t="s">
        <v>960</v>
      </c>
      <c r="C1923" s="1">
        <v>45629</v>
      </c>
      <c r="E1923" t="s">
        <v>39</v>
      </c>
      <c r="F1923">
        <v>35</v>
      </c>
      <c r="G1923" s="12">
        <v>1715</v>
      </c>
      <c r="H1923" s="12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1047</v>
      </c>
      <c r="N1923" t="b">
        <v>1</v>
      </c>
    </row>
    <row r="1924" spans="1:14" x14ac:dyDescent="0.3">
      <c r="A1924" t="s">
        <v>2970</v>
      </c>
      <c r="B1924" t="s">
        <v>406</v>
      </c>
      <c r="C1924" s="1">
        <v>45412</v>
      </c>
      <c r="D1924" s="1">
        <v>45541</v>
      </c>
      <c r="E1924" t="s">
        <v>15</v>
      </c>
      <c r="F1924">
        <v>10</v>
      </c>
      <c r="G1924" s="12">
        <v>0</v>
      </c>
      <c r="H1924" s="12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1050</v>
      </c>
      <c r="N1924" t="b">
        <v>1</v>
      </c>
    </row>
    <row r="1925" spans="1:14" x14ac:dyDescent="0.3">
      <c r="A1925" t="s">
        <v>2971</v>
      </c>
      <c r="B1925" t="s">
        <v>448</v>
      </c>
      <c r="C1925" s="1">
        <v>45482</v>
      </c>
      <c r="E1925" t="s">
        <v>15</v>
      </c>
      <c r="F1925">
        <v>27</v>
      </c>
      <c r="G1925" s="12">
        <v>513</v>
      </c>
      <c r="H1925" s="12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1050</v>
      </c>
      <c r="N1925" t="b">
        <v>0</v>
      </c>
    </row>
    <row r="1926" spans="1:14" x14ac:dyDescent="0.3">
      <c r="A1926" t="s">
        <v>2972</v>
      </c>
      <c r="B1926" t="s">
        <v>242</v>
      </c>
      <c r="C1926" s="1">
        <v>45656</v>
      </c>
      <c r="E1926" t="s">
        <v>15</v>
      </c>
      <c r="F1926">
        <v>11</v>
      </c>
      <c r="G1926" s="12">
        <v>209</v>
      </c>
      <c r="H1926" s="12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1050</v>
      </c>
      <c r="N1926" t="b">
        <v>1</v>
      </c>
    </row>
    <row r="1927" spans="1:14" x14ac:dyDescent="0.3">
      <c r="A1927" t="s">
        <v>2973</v>
      </c>
      <c r="B1927" t="s">
        <v>53</v>
      </c>
      <c r="C1927" s="1">
        <v>45343</v>
      </c>
      <c r="E1927" t="s">
        <v>32</v>
      </c>
      <c r="F1927">
        <v>52</v>
      </c>
      <c r="G1927" s="12">
        <v>10348</v>
      </c>
      <c r="H1927" s="12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1050</v>
      </c>
      <c r="N1927" t="b">
        <v>1</v>
      </c>
    </row>
    <row r="1928" spans="1:14" x14ac:dyDescent="0.3">
      <c r="A1928" t="s">
        <v>2974</v>
      </c>
      <c r="B1928" t="s">
        <v>420</v>
      </c>
      <c r="C1928" s="1">
        <v>45554</v>
      </c>
      <c r="E1928" t="s">
        <v>32</v>
      </c>
      <c r="F1928">
        <v>6</v>
      </c>
      <c r="G1928" s="12">
        <v>0</v>
      </c>
      <c r="H1928" s="12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1050</v>
      </c>
      <c r="N1928" t="b">
        <v>1</v>
      </c>
    </row>
    <row r="1929" spans="1:14" x14ac:dyDescent="0.3">
      <c r="A1929" t="s">
        <v>2975</v>
      </c>
      <c r="B1929" t="s">
        <v>906</v>
      </c>
      <c r="C1929" s="1">
        <v>45277</v>
      </c>
      <c r="E1929" t="s">
        <v>39</v>
      </c>
      <c r="F1929">
        <v>12</v>
      </c>
      <c r="G1929" s="12">
        <v>588</v>
      </c>
      <c r="H1929" s="12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1047</v>
      </c>
      <c r="N1929" t="b">
        <v>1</v>
      </c>
    </row>
    <row r="1930" spans="1:14" x14ac:dyDescent="0.3">
      <c r="A1930" t="s">
        <v>2976</v>
      </c>
      <c r="B1930" t="s">
        <v>33</v>
      </c>
      <c r="C1930" s="1">
        <v>45339</v>
      </c>
      <c r="E1930" t="s">
        <v>15</v>
      </c>
      <c r="F1930">
        <v>49</v>
      </c>
      <c r="G1930" s="12">
        <v>931</v>
      </c>
      <c r="H1930" s="12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1047</v>
      </c>
      <c r="N1930" t="b">
        <v>1</v>
      </c>
    </row>
    <row r="1931" spans="1:14" x14ac:dyDescent="0.3">
      <c r="A1931" t="s">
        <v>2977</v>
      </c>
      <c r="B1931" t="s">
        <v>364</v>
      </c>
      <c r="C1931" s="1">
        <v>45601</v>
      </c>
      <c r="E1931" t="s">
        <v>32</v>
      </c>
      <c r="F1931">
        <v>60</v>
      </c>
      <c r="G1931" s="12">
        <v>11940</v>
      </c>
      <c r="H1931" s="12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1050</v>
      </c>
      <c r="N1931" t="b">
        <v>0</v>
      </c>
    </row>
    <row r="1932" spans="1:14" x14ac:dyDescent="0.3">
      <c r="A1932" t="s">
        <v>2978</v>
      </c>
      <c r="B1932" t="s">
        <v>526</v>
      </c>
      <c r="C1932" s="1">
        <v>45537</v>
      </c>
      <c r="E1932" t="s">
        <v>15</v>
      </c>
      <c r="F1932">
        <v>6</v>
      </c>
      <c r="G1932" s="12">
        <v>114</v>
      </c>
      <c r="H1932" s="1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1047</v>
      </c>
      <c r="N1932" t="b">
        <v>1</v>
      </c>
    </row>
    <row r="1933" spans="1:14" x14ac:dyDescent="0.3">
      <c r="A1933" t="s">
        <v>2979</v>
      </c>
      <c r="B1933" t="s">
        <v>590</v>
      </c>
      <c r="C1933" s="1">
        <v>45625</v>
      </c>
      <c r="E1933" t="s">
        <v>15</v>
      </c>
      <c r="F1933">
        <v>8</v>
      </c>
      <c r="G1933" s="12">
        <v>152</v>
      </c>
      <c r="H1933" s="12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1050</v>
      </c>
      <c r="N1933" t="b">
        <v>1</v>
      </c>
    </row>
    <row r="1934" spans="1:14" x14ac:dyDescent="0.3">
      <c r="A1934" t="s">
        <v>2980</v>
      </c>
      <c r="B1934" t="s">
        <v>172</v>
      </c>
      <c r="C1934" s="1">
        <v>45438</v>
      </c>
      <c r="E1934" t="s">
        <v>39</v>
      </c>
      <c r="F1934">
        <v>5</v>
      </c>
      <c r="G1934" s="12">
        <v>0</v>
      </c>
      <c r="H1934" s="12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1047</v>
      </c>
      <c r="N1934" t="b">
        <v>1</v>
      </c>
    </row>
    <row r="1935" spans="1:14" x14ac:dyDescent="0.3">
      <c r="A1935" t="s">
        <v>2981</v>
      </c>
      <c r="B1935" t="s">
        <v>204</v>
      </c>
      <c r="C1935" s="1">
        <v>45585</v>
      </c>
      <c r="E1935" t="s">
        <v>32</v>
      </c>
      <c r="F1935">
        <v>92</v>
      </c>
      <c r="G1935" s="12">
        <v>18308</v>
      </c>
      <c r="H1935" s="12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1047</v>
      </c>
      <c r="N1935" t="b">
        <v>1</v>
      </c>
    </row>
    <row r="1936" spans="1:14" x14ac:dyDescent="0.3">
      <c r="A1936" t="s">
        <v>2982</v>
      </c>
      <c r="B1936" t="s">
        <v>210</v>
      </c>
      <c r="C1936" s="1">
        <v>45430</v>
      </c>
      <c r="E1936" t="s">
        <v>15</v>
      </c>
      <c r="F1936">
        <v>33</v>
      </c>
      <c r="G1936" s="12">
        <v>627</v>
      </c>
      <c r="H1936" s="12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1050</v>
      </c>
      <c r="N1936" t="b">
        <v>1</v>
      </c>
    </row>
    <row r="1937" spans="1:14" x14ac:dyDescent="0.3">
      <c r="A1937" t="s">
        <v>2983</v>
      </c>
      <c r="B1937" t="s">
        <v>202</v>
      </c>
      <c r="C1937" s="1">
        <v>45302</v>
      </c>
      <c r="D1937" s="1">
        <v>45307</v>
      </c>
      <c r="E1937" t="s">
        <v>32</v>
      </c>
      <c r="F1937">
        <v>16</v>
      </c>
      <c r="G1937" s="12">
        <v>3184</v>
      </c>
      <c r="H1937" s="12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1050</v>
      </c>
      <c r="N1937" t="b">
        <v>1</v>
      </c>
    </row>
    <row r="1938" spans="1:14" x14ac:dyDescent="0.3">
      <c r="A1938" t="s">
        <v>2984</v>
      </c>
      <c r="B1938" t="s">
        <v>186</v>
      </c>
      <c r="C1938" s="1">
        <v>45414</v>
      </c>
      <c r="E1938" t="s">
        <v>39</v>
      </c>
      <c r="F1938">
        <v>8</v>
      </c>
      <c r="G1938" s="12">
        <v>392</v>
      </c>
      <c r="H1938" s="12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1047</v>
      </c>
      <c r="N1938" t="b">
        <v>1</v>
      </c>
    </row>
    <row r="1939" spans="1:14" x14ac:dyDescent="0.3">
      <c r="A1939" t="s">
        <v>2985</v>
      </c>
      <c r="B1939" t="s">
        <v>250</v>
      </c>
      <c r="C1939" s="1">
        <v>45098</v>
      </c>
      <c r="E1939" t="s">
        <v>32</v>
      </c>
      <c r="F1939">
        <v>8</v>
      </c>
      <c r="G1939" s="12">
        <v>1592</v>
      </c>
      <c r="H1939" s="12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1047</v>
      </c>
      <c r="N1939" t="b">
        <v>1</v>
      </c>
    </row>
    <row r="1940" spans="1:14" x14ac:dyDescent="0.3">
      <c r="A1940" t="s">
        <v>2986</v>
      </c>
      <c r="B1940" t="s">
        <v>482</v>
      </c>
      <c r="C1940" s="1">
        <v>45623</v>
      </c>
      <c r="E1940" t="s">
        <v>32</v>
      </c>
      <c r="F1940">
        <v>69</v>
      </c>
      <c r="G1940" s="12">
        <v>13731</v>
      </c>
      <c r="H1940" s="12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1047</v>
      </c>
      <c r="N1940" t="b">
        <v>1</v>
      </c>
    </row>
    <row r="1941" spans="1:14" x14ac:dyDescent="0.3">
      <c r="A1941" t="s">
        <v>2987</v>
      </c>
      <c r="B1941" t="s">
        <v>428</v>
      </c>
      <c r="C1941" s="1">
        <v>45358</v>
      </c>
      <c r="E1941" t="s">
        <v>39</v>
      </c>
      <c r="F1941">
        <v>21</v>
      </c>
      <c r="G1941" s="12">
        <v>1029</v>
      </c>
      <c r="H1941" s="12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1047</v>
      </c>
      <c r="N1941" t="b">
        <v>1</v>
      </c>
    </row>
    <row r="1942" spans="1:14" x14ac:dyDescent="0.3">
      <c r="A1942" t="s">
        <v>2988</v>
      </c>
      <c r="B1942" t="s">
        <v>642</v>
      </c>
      <c r="C1942" s="1">
        <v>45246</v>
      </c>
      <c r="E1942" t="s">
        <v>15</v>
      </c>
      <c r="F1942">
        <v>61</v>
      </c>
      <c r="G1942" s="12">
        <v>1159</v>
      </c>
      <c r="H1942" s="1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1050</v>
      </c>
      <c r="N1942" t="b">
        <v>1</v>
      </c>
    </row>
    <row r="1943" spans="1:14" x14ac:dyDescent="0.3">
      <c r="A1943" t="s">
        <v>2989</v>
      </c>
      <c r="B1943" t="s">
        <v>814</v>
      </c>
      <c r="C1943" s="1">
        <v>45159</v>
      </c>
      <c r="E1943" t="s">
        <v>15</v>
      </c>
      <c r="F1943">
        <v>57</v>
      </c>
      <c r="G1943" s="12">
        <v>1083</v>
      </c>
      <c r="H1943" s="12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1050</v>
      </c>
      <c r="N1943" t="b">
        <v>1</v>
      </c>
    </row>
    <row r="1944" spans="1:14" x14ac:dyDescent="0.3">
      <c r="A1944" t="s">
        <v>2990</v>
      </c>
      <c r="B1944" t="s">
        <v>960</v>
      </c>
      <c r="C1944" s="1">
        <v>45368</v>
      </c>
      <c r="E1944" t="s">
        <v>15</v>
      </c>
      <c r="F1944">
        <v>35</v>
      </c>
      <c r="G1944" s="12">
        <v>665</v>
      </c>
      <c r="H1944" s="12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1047</v>
      </c>
      <c r="N1944" t="b">
        <v>1</v>
      </c>
    </row>
    <row r="1945" spans="1:14" x14ac:dyDescent="0.3">
      <c r="A1945" t="s">
        <v>2991</v>
      </c>
      <c r="B1945" t="s">
        <v>42</v>
      </c>
      <c r="C1945" s="1">
        <v>45598</v>
      </c>
      <c r="E1945" t="s">
        <v>15</v>
      </c>
      <c r="F1945">
        <v>49</v>
      </c>
      <c r="G1945" s="12">
        <v>0</v>
      </c>
      <c r="H1945" s="12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1047</v>
      </c>
      <c r="N1945" t="b">
        <v>1</v>
      </c>
    </row>
    <row r="1946" spans="1:14" x14ac:dyDescent="0.3">
      <c r="A1946" t="s">
        <v>2992</v>
      </c>
      <c r="B1946" t="s">
        <v>374</v>
      </c>
      <c r="C1946" s="1">
        <v>45558</v>
      </c>
      <c r="E1946" t="s">
        <v>32</v>
      </c>
      <c r="F1946">
        <v>9</v>
      </c>
      <c r="G1946" s="12">
        <v>0</v>
      </c>
      <c r="H1946" s="12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1047</v>
      </c>
      <c r="N1946" t="b">
        <v>1</v>
      </c>
    </row>
    <row r="1947" spans="1:14" x14ac:dyDescent="0.3">
      <c r="A1947" t="s">
        <v>2993</v>
      </c>
      <c r="B1947" t="s">
        <v>254</v>
      </c>
      <c r="C1947" s="1">
        <v>45512</v>
      </c>
      <c r="E1947" t="s">
        <v>32</v>
      </c>
      <c r="F1947">
        <v>38</v>
      </c>
      <c r="G1947" s="12">
        <v>7562</v>
      </c>
      <c r="H1947" s="12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1047</v>
      </c>
      <c r="N1947" t="b">
        <v>1</v>
      </c>
    </row>
    <row r="1948" spans="1:14" x14ac:dyDescent="0.3">
      <c r="A1948" t="s">
        <v>2994</v>
      </c>
      <c r="B1948" t="s">
        <v>770</v>
      </c>
      <c r="C1948" s="1">
        <v>45462</v>
      </c>
      <c r="E1948" t="s">
        <v>15</v>
      </c>
      <c r="F1948">
        <v>33</v>
      </c>
      <c r="G1948" s="12">
        <v>627</v>
      </c>
      <c r="H1948" s="12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1050</v>
      </c>
      <c r="N1948" t="b">
        <v>1</v>
      </c>
    </row>
    <row r="1949" spans="1:14" x14ac:dyDescent="0.3">
      <c r="A1949" t="s">
        <v>2995</v>
      </c>
      <c r="B1949" t="s">
        <v>554</v>
      </c>
      <c r="C1949" s="1">
        <v>45413</v>
      </c>
      <c r="E1949" t="s">
        <v>39</v>
      </c>
      <c r="F1949">
        <v>17</v>
      </c>
      <c r="G1949" s="12">
        <v>833</v>
      </c>
      <c r="H1949" s="12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1050</v>
      </c>
      <c r="N1949" t="b">
        <v>0</v>
      </c>
    </row>
    <row r="1950" spans="1:14" x14ac:dyDescent="0.3">
      <c r="A1950" t="s">
        <v>2996</v>
      </c>
      <c r="B1950" t="s">
        <v>604</v>
      </c>
      <c r="C1950" s="1">
        <v>45640</v>
      </c>
      <c r="E1950" t="s">
        <v>15</v>
      </c>
      <c r="F1950">
        <v>61</v>
      </c>
      <c r="G1950" s="12">
        <v>1159</v>
      </c>
      <c r="H1950" s="12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1047</v>
      </c>
      <c r="N1950" t="b">
        <v>1</v>
      </c>
    </row>
    <row r="1951" spans="1:14" x14ac:dyDescent="0.3">
      <c r="A1951" t="s">
        <v>2997</v>
      </c>
      <c r="B1951" t="s">
        <v>986</v>
      </c>
      <c r="C1951" s="1">
        <v>45427</v>
      </c>
      <c r="E1951" t="s">
        <v>39</v>
      </c>
      <c r="F1951">
        <v>16</v>
      </c>
      <c r="G1951" s="12">
        <v>784</v>
      </c>
      <c r="H1951" s="12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1050</v>
      </c>
      <c r="N1951" t="b">
        <v>1</v>
      </c>
    </row>
    <row r="1952" spans="1:14" x14ac:dyDescent="0.3">
      <c r="A1952" t="s">
        <v>2998</v>
      </c>
      <c r="B1952" t="s">
        <v>152</v>
      </c>
      <c r="C1952" s="1">
        <v>45286</v>
      </c>
      <c r="E1952" t="s">
        <v>15</v>
      </c>
      <c r="F1952">
        <v>41</v>
      </c>
      <c r="G1952" s="12">
        <v>779</v>
      </c>
      <c r="H1952" s="1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1047</v>
      </c>
      <c r="N1952" t="b">
        <v>0</v>
      </c>
    </row>
    <row r="1953" spans="1:14" x14ac:dyDescent="0.3">
      <c r="A1953" t="s">
        <v>2999</v>
      </c>
      <c r="B1953" t="s">
        <v>394</v>
      </c>
      <c r="C1953" s="1">
        <v>45403</v>
      </c>
      <c r="E1953" t="s">
        <v>15</v>
      </c>
      <c r="F1953">
        <v>19</v>
      </c>
      <c r="G1953" s="12">
        <v>361</v>
      </c>
      <c r="H1953" s="12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1047</v>
      </c>
      <c r="N1953" t="b">
        <v>1</v>
      </c>
    </row>
    <row r="1954" spans="1:14" x14ac:dyDescent="0.3">
      <c r="A1954" t="s">
        <v>3000</v>
      </c>
      <c r="B1954" t="s">
        <v>440</v>
      </c>
      <c r="C1954" s="1">
        <v>45643</v>
      </c>
      <c r="D1954" s="1">
        <v>45643</v>
      </c>
      <c r="E1954" t="s">
        <v>39</v>
      </c>
      <c r="F1954">
        <v>50</v>
      </c>
      <c r="G1954" s="12">
        <v>2450</v>
      </c>
      <c r="H1954" s="12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1050</v>
      </c>
      <c r="N1954" t="b">
        <v>1</v>
      </c>
    </row>
    <row r="1955" spans="1:14" x14ac:dyDescent="0.3">
      <c r="A1955" t="s">
        <v>3001</v>
      </c>
      <c r="B1955" t="s">
        <v>246</v>
      </c>
      <c r="C1955" s="1">
        <v>45385</v>
      </c>
      <c r="E1955" t="s">
        <v>15</v>
      </c>
      <c r="F1955">
        <v>61</v>
      </c>
      <c r="G1955" s="12">
        <v>1159</v>
      </c>
      <c r="H1955" s="12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1047</v>
      </c>
      <c r="N1955" t="b">
        <v>0</v>
      </c>
    </row>
    <row r="1956" spans="1:14" x14ac:dyDescent="0.3">
      <c r="A1956" t="s">
        <v>3002</v>
      </c>
      <c r="B1956" t="s">
        <v>702</v>
      </c>
      <c r="C1956" s="1">
        <v>45517</v>
      </c>
      <c r="E1956" t="s">
        <v>32</v>
      </c>
      <c r="F1956">
        <v>11</v>
      </c>
      <c r="G1956" s="12">
        <v>2189</v>
      </c>
      <c r="H1956" s="12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1050</v>
      </c>
      <c r="N1956" t="b">
        <v>1</v>
      </c>
    </row>
    <row r="1957" spans="1:14" x14ac:dyDescent="0.3">
      <c r="A1957" t="s">
        <v>3003</v>
      </c>
      <c r="B1957" t="s">
        <v>72</v>
      </c>
      <c r="C1957" s="1">
        <v>45541</v>
      </c>
      <c r="E1957" t="s">
        <v>15</v>
      </c>
      <c r="F1957">
        <v>3</v>
      </c>
      <c r="G1957" s="12">
        <v>57</v>
      </c>
      <c r="H1957" s="12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1050</v>
      </c>
      <c r="N1957" t="b">
        <v>0</v>
      </c>
    </row>
    <row r="1958" spans="1:14" x14ac:dyDescent="0.3">
      <c r="A1958" t="s">
        <v>3004</v>
      </c>
      <c r="B1958" t="s">
        <v>338</v>
      </c>
      <c r="C1958" s="1">
        <v>45620</v>
      </c>
      <c r="E1958" t="s">
        <v>32</v>
      </c>
      <c r="F1958">
        <v>27</v>
      </c>
      <c r="G1958" s="12">
        <v>5373</v>
      </c>
      <c r="H1958" s="12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1050</v>
      </c>
      <c r="N1958" t="b">
        <v>1</v>
      </c>
    </row>
    <row r="1959" spans="1:14" x14ac:dyDescent="0.3">
      <c r="A1959" t="s">
        <v>3005</v>
      </c>
      <c r="B1959" t="s">
        <v>134</v>
      </c>
      <c r="C1959" s="1">
        <v>45571</v>
      </c>
      <c r="E1959" t="s">
        <v>32</v>
      </c>
      <c r="F1959">
        <v>22</v>
      </c>
      <c r="G1959" s="12">
        <v>4378</v>
      </c>
      <c r="H1959" s="12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1047</v>
      </c>
      <c r="N1959" t="b">
        <v>1</v>
      </c>
    </row>
    <row r="1960" spans="1:14" x14ac:dyDescent="0.3">
      <c r="A1960" t="s">
        <v>3006</v>
      </c>
      <c r="B1960" t="s">
        <v>286</v>
      </c>
      <c r="C1960" s="1">
        <v>45309</v>
      </c>
      <c r="E1960" t="s">
        <v>32</v>
      </c>
      <c r="F1960">
        <v>26</v>
      </c>
      <c r="G1960" s="12">
        <v>5174</v>
      </c>
      <c r="H1960" s="12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1050</v>
      </c>
      <c r="N1960" t="b">
        <v>1</v>
      </c>
    </row>
    <row r="1961" spans="1:14" x14ac:dyDescent="0.3">
      <c r="A1961" t="s">
        <v>3007</v>
      </c>
      <c r="B1961" t="s">
        <v>676</v>
      </c>
      <c r="C1961" s="1">
        <v>45543</v>
      </c>
      <c r="D1961" s="1">
        <v>45641</v>
      </c>
      <c r="E1961" t="s">
        <v>32</v>
      </c>
      <c r="F1961">
        <v>12</v>
      </c>
      <c r="G1961" s="12">
        <v>2388</v>
      </c>
      <c r="H1961" s="12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1047</v>
      </c>
      <c r="N1961" t="b">
        <v>1</v>
      </c>
    </row>
    <row r="1962" spans="1:14" x14ac:dyDescent="0.3">
      <c r="A1962" t="s">
        <v>3008</v>
      </c>
      <c r="B1962" t="s">
        <v>370</v>
      </c>
      <c r="C1962" s="1">
        <v>45582</v>
      </c>
      <c r="E1962" t="s">
        <v>32</v>
      </c>
      <c r="F1962">
        <v>27</v>
      </c>
      <c r="G1962" s="12">
        <v>5373</v>
      </c>
      <c r="H1962" s="1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1050</v>
      </c>
      <c r="N1962" t="b">
        <v>0</v>
      </c>
    </row>
    <row r="1963" spans="1:14" x14ac:dyDescent="0.3">
      <c r="A1963" t="s">
        <v>3009</v>
      </c>
      <c r="B1963" t="s">
        <v>900</v>
      </c>
      <c r="C1963" s="1">
        <v>45652</v>
      </c>
      <c r="E1963" t="s">
        <v>39</v>
      </c>
      <c r="F1963">
        <v>40</v>
      </c>
      <c r="G1963" s="12">
        <v>1960</v>
      </c>
      <c r="H1963" s="12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1047</v>
      </c>
      <c r="N1963" t="b">
        <v>1</v>
      </c>
    </row>
    <row r="1964" spans="1:14" x14ac:dyDescent="0.3">
      <c r="A1964" t="s">
        <v>3010</v>
      </c>
      <c r="B1964" t="s">
        <v>372</v>
      </c>
      <c r="C1964" s="1">
        <v>45389</v>
      </c>
      <c r="E1964" t="s">
        <v>32</v>
      </c>
      <c r="F1964">
        <v>40</v>
      </c>
      <c r="G1964" s="12">
        <v>7960</v>
      </c>
      <c r="H1964" s="12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1050</v>
      </c>
      <c r="N1964" t="b">
        <v>1</v>
      </c>
    </row>
    <row r="1965" spans="1:14" x14ac:dyDescent="0.3">
      <c r="A1965" t="s">
        <v>3011</v>
      </c>
      <c r="B1965" t="s">
        <v>420</v>
      </c>
      <c r="C1965" s="1">
        <v>45640</v>
      </c>
      <c r="E1965" t="s">
        <v>32</v>
      </c>
      <c r="F1965">
        <v>10</v>
      </c>
      <c r="G1965" s="12">
        <v>1990</v>
      </c>
      <c r="H1965" s="12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1047</v>
      </c>
      <c r="N1965" t="b">
        <v>1</v>
      </c>
    </row>
    <row r="1966" spans="1:14" x14ac:dyDescent="0.3">
      <c r="A1966" t="s">
        <v>3012</v>
      </c>
      <c r="B1966" t="s">
        <v>544</v>
      </c>
      <c r="C1966" s="1">
        <v>45644</v>
      </c>
      <c r="E1966" t="s">
        <v>32</v>
      </c>
      <c r="F1966">
        <v>37</v>
      </c>
      <c r="G1966" s="12">
        <v>7363</v>
      </c>
      <c r="H1966" s="12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1047</v>
      </c>
      <c r="N1966" t="b">
        <v>1</v>
      </c>
    </row>
    <row r="1967" spans="1:14" x14ac:dyDescent="0.3">
      <c r="A1967" t="s">
        <v>3013</v>
      </c>
      <c r="B1967" t="s">
        <v>268</v>
      </c>
      <c r="C1967" s="1">
        <v>45335</v>
      </c>
      <c r="E1967" t="s">
        <v>32</v>
      </c>
      <c r="F1967">
        <v>17</v>
      </c>
      <c r="G1967" s="12">
        <v>0</v>
      </c>
      <c r="H1967" s="12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1047</v>
      </c>
      <c r="N1967" t="b">
        <v>1</v>
      </c>
    </row>
    <row r="1968" spans="1:14" x14ac:dyDescent="0.3">
      <c r="A1968" t="s">
        <v>3014</v>
      </c>
      <c r="B1968" t="s">
        <v>346</v>
      </c>
      <c r="C1968" s="1">
        <v>45292</v>
      </c>
      <c r="E1968" t="s">
        <v>32</v>
      </c>
      <c r="F1968">
        <v>70</v>
      </c>
      <c r="G1968" s="12">
        <v>13930</v>
      </c>
      <c r="H1968" s="12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1050</v>
      </c>
      <c r="N1968" t="b">
        <v>1</v>
      </c>
    </row>
    <row r="1969" spans="1:14" x14ac:dyDescent="0.3">
      <c r="A1969" t="s">
        <v>3015</v>
      </c>
      <c r="B1969" t="s">
        <v>804</v>
      </c>
      <c r="C1969" s="1">
        <v>45301</v>
      </c>
      <c r="E1969" t="s">
        <v>32</v>
      </c>
      <c r="F1969">
        <v>15</v>
      </c>
      <c r="G1969" s="12">
        <v>2985</v>
      </c>
      <c r="H1969" s="12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1047</v>
      </c>
      <c r="N1969" t="b">
        <v>0</v>
      </c>
    </row>
    <row r="1970" spans="1:14" x14ac:dyDescent="0.3">
      <c r="A1970" t="s">
        <v>3016</v>
      </c>
      <c r="B1970" t="s">
        <v>89</v>
      </c>
      <c r="C1970" s="1">
        <v>45584</v>
      </c>
      <c r="E1970" t="s">
        <v>39</v>
      </c>
      <c r="F1970">
        <v>53</v>
      </c>
      <c r="G1970" s="12">
        <v>2597</v>
      </c>
      <c r="H1970" s="12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1050</v>
      </c>
      <c r="N1970" t="b">
        <v>1</v>
      </c>
    </row>
    <row r="1971" spans="1:14" x14ac:dyDescent="0.3">
      <c r="A1971" t="s">
        <v>3017</v>
      </c>
      <c r="B1971" t="s">
        <v>332</v>
      </c>
      <c r="C1971" s="1">
        <v>45143</v>
      </c>
      <c r="E1971" t="s">
        <v>15</v>
      </c>
      <c r="F1971">
        <v>47</v>
      </c>
      <c r="G1971" s="12">
        <v>0</v>
      </c>
      <c r="H1971" s="12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1050</v>
      </c>
      <c r="N1971" t="b">
        <v>1</v>
      </c>
    </row>
    <row r="1972" spans="1:14" x14ac:dyDescent="0.3">
      <c r="A1972" t="s">
        <v>3018</v>
      </c>
      <c r="B1972" t="s">
        <v>238</v>
      </c>
      <c r="C1972" s="1">
        <v>45115</v>
      </c>
      <c r="E1972" t="s">
        <v>15</v>
      </c>
      <c r="F1972">
        <v>22</v>
      </c>
      <c r="G1972" s="12">
        <v>418</v>
      </c>
      <c r="H1972" s="1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1050</v>
      </c>
      <c r="N1972" t="b">
        <v>1</v>
      </c>
    </row>
    <row r="1973" spans="1:14" x14ac:dyDescent="0.3">
      <c r="A1973" t="s">
        <v>3019</v>
      </c>
      <c r="B1973" t="s">
        <v>786</v>
      </c>
      <c r="C1973" s="1">
        <v>45536</v>
      </c>
      <c r="E1973" t="s">
        <v>15</v>
      </c>
      <c r="F1973">
        <v>22</v>
      </c>
      <c r="G1973" s="12">
        <v>418</v>
      </c>
      <c r="H1973" s="12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1050</v>
      </c>
      <c r="N1973" t="b">
        <v>1</v>
      </c>
    </row>
    <row r="1974" spans="1:14" x14ac:dyDescent="0.3">
      <c r="A1974" t="s">
        <v>3020</v>
      </c>
      <c r="B1974" t="s">
        <v>354</v>
      </c>
      <c r="C1974" s="1">
        <v>45657</v>
      </c>
      <c r="E1974" t="s">
        <v>15</v>
      </c>
      <c r="F1974">
        <v>14</v>
      </c>
      <c r="G1974" s="12">
        <v>266</v>
      </c>
      <c r="H1974" s="12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1050</v>
      </c>
      <c r="N1974" t="b">
        <v>1</v>
      </c>
    </row>
    <row r="1975" spans="1:14" x14ac:dyDescent="0.3">
      <c r="A1975" t="s">
        <v>3021</v>
      </c>
      <c r="B1975" t="s">
        <v>692</v>
      </c>
      <c r="C1975" s="1">
        <v>45423</v>
      </c>
      <c r="E1975" t="s">
        <v>15</v>
      </c>
      <c r="F1975">
        <v>17</v>
      </c>
      <c r="G1975" s="12">
        <v>323</v>
      </c>
      <c r="H1975" s="12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1047</v>
      </c>
      <c r="N1975" t="b">
        <v>1</v>
      </c>
    </row>
    <row r="1976" spans="1:14" x14ac:dyDescent="0.3">
      <c r="A1976" t="s">
        <v>3022</v>
      </c>
      <c r="B1976" t="s">
        <v>896</v>
      </c>
      <c r="C1976" s="1">
        <v>45615</v>
      </c>
      <c r="E1976" t="s">
        <v>39</v>
      </c>
      <c r="F1976">
        <v>24</v>
      </c>
      <c r="G1976" s="12">
        <v>1176</v>
      </c>
      <c r="H1976" s="12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1050</v>
      </c>
      <c r="N1976" t="b">
        <v>1</v>
      </c>
    </row>
    <row r="1977" spans="1:14" x14ac:dyDescent="0.3">
      <c r="A1977" t="s">
        <v>3023</v>
      </c>
      <c r="B1977" t="s">
        <v>278</v>
      </c>
      <c r="C1977" s="1">
        <v>45306</v>
      </c>
      <c r="E1977" t="s">
        <v>32</v>
      </c>
      <c r="F1977">
        <v>46</v>
      </c>
      <c r="G1977" s="12">
        <v>9154</v>
      </c>
      <c r="H1977" s="12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1047</v>
      </c>
      <c r="N1977" t="b">
        <v>1</v>
      </c>
    </row>
    <row r="1978" spans="1:14" x14ac:dyDescent="0.3">
      <c r="A1978" t="s">
        <v>3024</v>
      </c>
      <c r="B1978" t="s">
        <v>958</v>
      </c>
      <c r="C1978" s="1">
        <v>45602</v>
      </c>
      <c r="E1978" t="s">
        <v>15</v>
      </c>
      <c r="F1978">
        <v>3</v>
      </c>
      <c r="G1978" s="12">
        <v>57</v>
      </c>
      <c r="H1978" s="12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1047</v>
      </c>
      <c r="N1978" t="b">
        <v>1</v>
      </c>
    </row>
    <row r="1979" spans="1:14" x14ac:dyDescent="0.3">
      <c r="A1979" t="s">
        <v>3025</v>
      </c>
      <c r="B1979" t="s">
        <v>652</v>
      </c>
      <c r="C1979" s="1">
        <v>45581</v>
      </c>
      <c r="E1979" t="s">
        <v>32</v>
      </c>
      <c r="F1979">
        <v>14</v>
      </c>
      <c r="G1979" s="12">
        <v>2786</v>
      </c>
      <c r="H1979" s="12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1050</v>
      </c>
      <c r="N1979" t="b">
        <v>0</v>
      </c>
    </row>
    <row r="1980" spans="1:14" x14ac:dyDescent="0.3">
      <c r="A1980" t="s">
        <v>3026</v>
      </c>
      <c r="B1980" t="s">
        <v>216</v>
      </c>
      <c r="C1980" s="1">
        <v>45641</v>
      </c>
      <c r="E1980" t="s">
        <v>32</v>
      </c>
      <c r="F1980">
        <v>33</v>
      </c>
      <c r="G1980" s="12">
        <v>6567</v>
      </c>
      <c r="H1980" s="12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1047</v>
      </c>
      <c r="N1980" t="b">
        <v>1</v>
      </c>
    </row>
    <row r="1981" spans="1:14" x14ac:dyDescent="0.3">
      <c r="A1981" t="s">
        <v>3027</v>
      </c>
      <c r="B1981" t="s">
        <v>95</v>
      </c>
      <c r="C1981" s="1">
        <v>45544</v>
      </c>
      <c r="E1981" t="s">
        <v>15</v>
      </c>
      <c r="F1981">
        <v>12</v>
      </c>
      <c r="G1981" s="12">
        <v>228</v>
      </c>
      <c r="H1981" s="12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1047</v>
      </c>
      <c r="N1981" t="b">
        <v>1</v>
      </c>
    </row>
    <row r="1982" spans="1:14" x14ac:dyDescent="0.3">
      <c r="A1982" t="s">
        <v>3028</v>
      </c>
      <c r="B1982" t="s">
        <v>80</v>
      </c>
      <c r="C1982" s="1">
        <v>45508</v>
      </c>
      <c r="E1982" t="s">
        <v>15</v>
      </c>
      <c r="F1982">
        <v>8</v>
      </c>
      <c r="G1982" s="12">
        <v>152</v>
      </c>
      <c r="H1982" s="1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1047</v>
      </c>
      <c r="N1982" t="b">
        <v>1</v>
      </c>
    </row>
    <row r="1983" spans="1:14" x14ac:dyDescent="0.3">
      <c r="A1983" t="s">
        <v>3029</v>
      </c>
      <c r="B1983" t="s">
        <v>158</v>
      </c>
      <c r="C1983" s="1">
        <v>45294</v>
      </c>
      <c r="E1983" t="s">
        <v>15</v>
      </c>
      <c r="F1983">
        <v>46</v>
      </c>
      <c r="G1983" s="12">
        <v>874</v>
      </c>
      <c r="H1983" s="12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1047</v>
      </c>
      <c r="N1983" t="b">
        <v>1</v>
      </c>
    </row>
    <row r="1984" spans="1:14" x14ac:dyDescent="0.3">
      <c r="A1984" t="s">
        <v>3030</v>
      </c>
      <c r="B1984" t="s">
        <v>270</v>
      </c>
      <c r="C1984" s="1">
        <v>45575</v>
      </c>
      <c r="D1984" s="1">
        <v>45629</v>
      </c>
      <c r="E1984" t="s">
        <v>15</v>
      </c>
      <c r="F1984">
        <v>9</v>
      </c>
      <c r="G1984" s="12">
        <v>171</v>
      </c>
      <c r="H1984" s="12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1050</v>
      </c>
      <c r="N1984" t="b">
        <v>1</v>
      </c>
    </row>
    <row r="1985" spans="1:14" x14ac:dyDescent="0.3">
      <c r="A1985" t="s">
        <v>3031</v>
      </c>
      <c r="B1985" t="s">
        <v>348</v>
      </c>
      <c r="C1985" s="1">
        <v>45284</v>
      </c>
      <c r="E1985" t="s">
        <v>32</v>
      </c>
      <c r="F1985">
        <v>16</v>
      </c>
      <c r="G1985" s="12">
        <v>0</v>
      </c>
      <c r="H1985" s="12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1047</v>
      </c>
      <c r="N1985" t="b">
        <v>1</v>
      </c>
    </row>
    <row r="1986" spans="1:14" x14ac:dyDescent="0.3">
      <c r="A1986" t="s">
        <v>3032</v>
      </c>
      <c r="B1986" t="s">
        <v>280</v>
      </c>
      <c r="C1986" s="1">
        <v>45388</v>
      </c>
      <c r="E1986" t="s">
        <v>15</v>
      </c>
      <c r="F1986">
        <v>7</v>
      </c>
      <c r="G1986" s="12">
        <v>133</v>
      </c>
      <c r="H1986" s="12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1047</v>
      </c>
      <c r="N1986" t="b">
        <v>0</v>
      </c>
    </row>
    <row r="1987" spans="1:14" x14ac:dyDescent="0.3">
      <c r="A1987" t="s">
        <v>3033</v>
      </c>
      <c r="B1987" t="s">
        <v>340</v>
      </c>
      <c r="C1987" s="1">
        <v>45624</v>
      </c>
      <c r="D1987" s="1">
        <v>45652</v>
      </c>
      <c r="E1987" t="s">
        <v>32</v>
      </c>
      <c r="F1987">
        <v>9</v>
      </c>
      <c r="G1987" s="12">
        <v>1791</v>
      </c>
      <c r="H1987" s="12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1047</v>
      </c>
      <c r="N1987" t="b">
        <v>1</v>
      </c>
    </row>
    <row r="1988" spans="1:14" x14ac:dyDescent="0.3">
      <c r="A1988" t="s">
        <v>3034</v>
      </c>
      <c r="B1988" t="s">
        <v>308</v>
      </c>
      <c r="C1988" s="1">
        <v>45651</v>
      </c>
      <c r="E1988" t="s">
        <v>39</v>
      </c>
      <c r="F1988">
        <v>7</v>
      </c>
      <c r="G1988" s="12">
        <v>343</v>
      </c>
      <c r="H1988" s="12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1047</v>
      </c>
      <c r="N1988" t="b">
        <v>1</v>
      </c>
    </row>
    <row r="1989" spans="1:14" x14ac:dyDescent="0.3">
      <c r="A1989" t="s">
        <v>3035</v>
      </c>
      <c r="B1989" t="s">
        <v>1002</v>
      </c>
      <c r="C1989" s="1">
        <v>45317</v>
      </c>
      <c r="E1989" t="s">
        <v>39</v>
      </c>
      <c r="F1989">
        <v>36</v>
      </c>
      <c r="G1989" s="12">
        <v>1764</v>
      </c>
      <c r="H1989" s="12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1050</v>
      </c>
      <c r="N1989" t="b">
        <v>1</v>
      </c>
    </row>
    <row r="1990" spans="1:14" x14ac:dyDescent="0.3">
      <c r="A1990" t="s">
        <v>3036</v>
      </c>
      <c r="B1990" t="s">
        <v>200</v>
      </c>
      <c r="C1990" s="1">
        <v>45480</v>
      </c>
      <c r="E1990" t="s">
        <v>39</v>
      </c>
      <c r="F1990">
        <v>16</v>
      </c>
      <c r="G1990" s="12">
        <v>784</v>
      </c>
      <c r="H1990" s="12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1050</v>
      </c>
      <c r="N1990" t="b">
        <v>1</v>
      </c>
    </row>
    <row r="1991" spans="1:14" x14ac:dyDescent="0.3">
      <c r="A1991" t="s">
        <v>3037</v>
      </c>
      <c r="B1991" t="s">
        <v>546</v>
      </c>
      <c r="C1991" s="1">
        <v>45521</v>
      </c>
      <c r="E1991" t="s">
        <v>15</v>
      </c>
      <c r="F1991">
        <v>31</v>
      </c>
      <c r="G1991" s="12">
        <v>589</v>
      </c>
      <c r="H1991" s="12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1050</v>
      </c>
      <c r="N1991" t="b">
        <v>1</v>
      </c>
    </row>
    <row r="1992" spans="1:14" x14ac:dyDescent="0.3">
      <c r="A1992" t="s">
        <v>3038</v>
      </c>
      <c r="B1992" t="s">
        <v>47</v>
      </c>
      <c r="C1992" s="1">
        <v>45657</v>
      </c>
      <c r="E1992" t="s">
        <v>39</v>
      </c>
      <c r="F1992">
        <v>18</v>
      </c>
      <c r="G1992" s="12">
        <v>882</v>
      </c>
      <c r="H1992" s="1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1050</v>
      </c>
      <c r="N1992" t="b">
        <v>0</v>
      </c>
    </row>
    <row r="1993" spans="1:14" x14ac:dyDescent="0.3">
      <c r="A1993" t="s">
        <v>3039</v>
      </c>
      <c r="B1993" t="s">
        <v>904</v>
      </c>
      <c r="C1993" s="1">
        <v>45439</v>
      </c>
      <c r="E1993" t="s">
        <v>39</v>
      </c>
      <c r="F1993">
        <v>45</v>
      </c>
      <c r="G1993" s="12">
        <v>2205</v>
      </c>
      <c r="H1993" s="12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1047</v>
      </c>
      <c r="N1993" t="b">
        <v>1</v>
      </c>
    </row>
    <row r="1994" spans="1:14" x14ac:dyDescent="0.3">
      <c r="A1994" t="s">
        <v>3040</v>
      </c>
      <c r="B1994" t="s">
        <v>596</v>
      </c>
      <c r="C1994" s="1">
        <v>45530</v>
      </c>
      <c r="E1994" t="s">
        <v>15</v>
      </c>
      <c r="F1994">
        <v>44</v>
      </c>
      <c r="G1994" s="12">
        <v>836</v>
      </c>
      <c r="H1994" s="12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1050</v>
      </c>
      <c r="N1994" t="b">
        <v>1</v>
      </c>
    </row>
    <row r="1995" spans="1:14" x14ac:dyDescent="0.3">
      <c r="A1995" t="s">
        <v>3041</v>
      </c>
      <c r="B1995" t="s">
        <v>418</v>
      </c>
      <c r="C1995" s="1">
        <v>45575</v>
      </c>
      <c r="E1995" t="s">
        <v>39</v>
      </c>
      <c r="F1995">
        <v>93</v>
      </c>
      <c r="G1995" s="12">
        <v>4557</v>
      </c>
      <c r="H1995" s="12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1050</v>
      </c>
      <c r="N1995" t="b">
        <v>1</v>
      </c>
    </row>
    <row r="1996" spans="1:14" x14ac:dyDescent="0.3">
      <c r="A1996" t="s">
        <v>3042</v>
      </c>
      <c r="B1996" t="s">
        <v>320</v>
      </c>
      <c r="C1996" s="1">
        <v>45499</v>
      </c>
      <c r="E1996" t="s">
        <v>32</v>
      </c>
      <c r="F1996">
        <v>24</v>
      </c>
      <c r="G1996" s="12">
        <v>4776</v>
      </c>
      <c r="H1996" s="12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1050</v>
      </c>
      <c r="N1996" t="b">
        <v>1</v>
      </c>
    </row>
    <row r="1997" spans="1:14" x14ac:dyDescent="0.3">
      <c r="A1997" t="s">
        <v>3043</v>
      </c>
      <c r="B1997" t="s">
        <v>102</v>
      </c>
      <c r="C1997" s="1">
        <v>45399</v>
      </c>
      <c r="E1997" t="s">
        <v>15</v>
      </c>
      <c r="F1997">
        <v>5</v>
      </c>
      <c r="G1997" s="12">
        <v>95</v>
      </c>
      <c r="H1997" s="12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1050</v>
      </c>
      <c r="N1997" t="b">
        <v>1</v>
      </c>
    </row>
    <row r="1998" spans="1:14" x14ac:dyDescent="0.3">
      <c r="A1998" t="s">
        <v>3044</v>
      </c>
      <c r="B1998" t="s">
        <v>230</v>
      </c>
      <c r="C1998" s="1">
        <v>45606</v>
      </c>
      <c r="E1998" t="s">
        <v>15</v>
      </c>
      <c r="F1998">
        <v>1</v>
      </c>
      <c r="G1998" s="12">
        <v>19</v>
      </c>
      <c r="H1998" s="12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1047</v>
      </c>
      <c r="N1998" t="b">
        <v>1</v>
      </c>
    </row>
    <row r="1999" spans="1:14" x14ac:dyDescent="0.3">
      <c r="A1999" t="s">
        <v>3045</v>
      </c>
      <c r="B1999" t="s">
        <v>36</v>
      </c>
      <c r="C1999" s="1">
        <v>45615</v>
      </c>
      <c r="E1999" t="s">
        <v>32</v>
      </c>
      <c r="F1999">
        <v>19</v>
      </c>
      <c r="G1999" s="12">
        <v>0</v>
      </c>
      <c r="H1999" s="12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1050</v>
      </c>
      <c r="N1999" t="b">
        <v>1</v>
      </c>
    </row>
    <row r="2000" spans="1:14" x14ac:dyDescent="0.3">
      <c r="A2000" t="s">
        <v>3046</v>
      </c>
      <c r="B2000" t="s">
        <v>532</v>
      </c>
      <c r="C2000" s="1">
        <v>45645</v>
      </c>
      <c r="E2000" t="s">
        <v>39</v>
      </c>
      <c r="F2000">
        <v>8</v>
      </c>
      <c r="G2000" s="12">
        <v>392</v>
      </c>
      <c r="H2000" s="12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1050</v>
      </c>
      <c r="N2000" t="b">
        <v>1</v>
      </c>
    </row>
    <row r="2001" spans="1:14" x14ac:dyDescent="0.3">
      <c r="A2001" t="s">
        <v>3047</v>
      </c>
      <c r="B2001" t="s">
        <v>1022</v>
      </c>
      <c r="C2001" s="1">
        <v>45472</v>
      </c>
      <c r="E2001" t="s">
        <v>39</v>
      </c>
      <c r="F2001">
        <v>24</v>
      </c>
      <c r="G2001" s="12">
        <v>1176</v>
      </c>
      <c r="H2001" s="12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1050</v>
      </c>
      <c r="N2001" t="b">
        <v>1</v>
      </c>
    </row>
    <row r="2002" spans="1:14" x14ac:dyDescent="0.3">
      <c r="A2002" t="s">
        <v>3048</v>
      </c>
      <c r="B2002" t="s">
        <v>344</v>
      </c>
      <c r="C2002" s="1">
        <v>45615</v>
      </c>
      <c r="E2002" t="s">
        <v>32</v>
      </c>
      <c r="F2002">
        <v>70</v>
      </c>
      <c r="G2002" s="12">
        <v>13930</v>
      </c>
      <c r="H2002" s="1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1047</v>
      </c>
      <c r="N2002" t="b">
        <v>0</v>
      </c>
    </row>
    <row r="2003" spans="1:14" x14ac:dyDescent="0.3">
      <c r="A2003" t="s">
        <v>3049</v>
      </c>
      <c r="B2003" t="s">
        <v>448</v>
      </c>
      <c r="C2003" s="1">
        <v>45271</v>
      </c>
      <c r="E2003" t="s">
        <v>15</v>
      </c>
      <c r="F2003">
        <v>27</v>
      </c>
      <c r="G2003" s="12">
        <v>513</v>
      </c>
      <c r="H2003" s="12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1050</v>
      </c>
      <c r="N2003" t="b">
        <v>0</v>
      </c>
    </row>
    <row r="2004" spans="1:14" x14ac:dyDescent="0.3">
      <c r="A2004" t="s">
        <v>3050</v>
      </c>
      <c r="B2004" t="s">
        <v>984</v>
      </c>
      <c r="C2004" s="1">
        <v>45641</v>
      </c>
      <c r="D2004" s="1">
        <v>45647</v>
      </c>
      <c r="E2004" t="s">
        <v>15</v>
      </c>
      <c r="F2004">
        <v>27</v>
      </c>
      <c r="G2004" s="12">
        <v>513</v>
      </c>
      <c r="H2004" s="12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1050</v>
      </c>
      <c r="N2004" t="b">
        <v>0</v>
      </c>
    </row>
    <row r="2005" spans="1:14" x14ac:dyDescent="0.3">
      <c r="A2005" t="s">
        <v>3051</v>
      </c>
      <c r="B2005" t="s">
        <v>1010</v>
      </c>
      <c r="C2005" s="1">
        <v>45615</v>
      </c>
      <c r="E2005" t="s">
        <v>32</v>
      </c>
      <c r="F2005">
        <v>16</v>
      </c>
      <c r="G2005" s="12">
        <v>3184</v>
      </c>
      <c r="H2005" s="12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1050</v>
      </c>
      <c r="N2005" t="b">
        <v>0</v>
      </c>
    </row>
    <row r="2006" spans="1:14" x14ac:dyDescent="0.3">
      <c r="A2006" t="s">
        <v>3052</v>
      </c>
      <c r="B2006" t="s">
        <v>550</v>
      </c>
      <c r="C2006" s="1">
        <v>45453</v>
      </c>
      <c r="E2006" t="s">
        <v>32</v>
      </c>
      <c r="F2006">
        <v>23</v>
      </c>
      <c r="G2006" s="12">
        <v>4577</v>
      </c>
      <c r="H2006" s="12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1050</v>
      </c>
      <c r="N2006" t="b">
        <v>1</v>
      </c>
    </row>
    <row r="2007" spans="1:14" x14ac:dyDescent="0.3">
      <c r="A2007" t="s">
        <v>3053</v>
      </c>
      <c r="B2007" t="s">
        <v>742</v>
      </c>
      <c r="C2007" s="1">
        <v>45133</v>
      </c>
      <c r="E2007" t="s">
        <v>32</v>
      </c>
      <c r="F2007">
        <v>49</v>
      </c>
      <c r="G2007" s="12">
        <v>9751</v>
      </c>
      <c r="H2007" s="12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1050</v>
      </c>
      <c r="N2007" t="b">
        <v>1</v>
      </c>
    </row>
    <row r="2008" spans="1:14" x14ac:dyDescent="0.3">
      <c r="A2008" t="s">
        <v>3054</v>
      </c>
      <c r="B2008" t="s">
        <v>978</v>
      </c>
      <c r="C2008" s="1">
        <v>45549</v>
      </c>
      <c r="E2008" t="s">
        <v>32</v>
      </c>
      <c r="F2008">
        <v>9</v>
      </c>
      <c r="G2008" s="12">
        <v>1791</v>
      </c>
      <c r="H2008" s="12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1047</v>
      </c>
      <c r="N2008" t="b">
        <v>0</v>
      </c>
    </row>
    <row r="2009" spans="1:14" x14ac:dyDescent="0.3">
      <c r="A2009" t="s">
        <v>3055</v>
      </c>
      <c r="B2009" t="s">
        <v>278</v>
      </c>
      <c r="C2009" s="1">
        <v>45585</v>
      </c>
      <c r="E2009" t="s">
        <v>15</v>
      </c>
      <c r="F2009">
        <v>1</v>
      </c>
      <c r="G2009" s="12">
        <v>19</v>
      </c>
      <c r="H2009" s="12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1050</v>
      </c>
      <c r="N2009" t="b">
        <v>1</v>
      </c>
    </row>
    <row r="2010" spans="1:14" x14ac:dyDescent="0.3">
      <c r="A2010" t="s">
        <v>3056</v>
      </c>
      <c r="B2010" t="s">
        <v>676</v>
      </c>
      <c r="C2010" s="1">
        <v>45359</v>
      </c>
      <c r="E2010" t="s">
        <v>32</v>
      </c>
      <c r="F2010">
        <v>39</v>
      </c>
      <c r="G2010" s="12">
        <v>0</v>
      </c>
      <c r="H2010" s="12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1047</v>
      </c>
      <c r="N2010" t="b">
        <v>1</v>
      </c>
    </row>
    <row r="2011" spans="1:14" x14ac:dyDescent="0.3">
      <c r="A2011" t="s">
        <v>3057</v>
      </c>
      <c r="B2011" t="s">
        <v>296</v>
      </c>
      <c r="C2011" s="1">
        <v>45480</v>
      </c>
      <c r="E2011" t="s">
        <v>39</v>
      </c>
      <c r="F2011">
        <v>32</v>
      </c>
      <c r="G2011" s="12">
        <v>1568</v>
      </c>
      <c r="H2011" s="12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1047</v>
      </c>
      <c r="N2011" t="b">
        <v>1</v>
      </c>
    </row>
    <row r="2012" spans="1:14" x14ac:dyDescent="0.3">
      <c r="A2012" t="s">
        <v>3058</v>
      </c>
      <c r="B2012" t="s">
        <v>290</v>
      </c>
      <c r="C2012" s="1">
        <v>45542</v>
      </c>
      <c r="E2012" t="s">
        <v>32</v>
      </c>
      <c r="F2012">
        <v>93</v>
      </c>
      <c r="G2012" s="12">
        <v>18507</v>
      </c>
      <c r="H2012" s="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1047</v>
      </c>
      <c r="N2012" t="b">
        <v>1</v>
      </c>
    </row>
    <row r="2013" spans="1:14" x14ac:dyDescent="0.3">
      <c r="A2013" t="s">
        <v>3059</v>
      </c>
      <c r="B2013" t="s">
        <v>36</v>
      </c>
      <c r="C2013" s="1">
        <v>45418</v>
      </c>
      <c r="E2013" t="s">
        <v>15</v>
      </c>
      <c r="F2013">
        <v>11</v>
      </c>
      <c r="G2013" s="12">
        <v>209</v>
      </c>
      <c r="H2013" s="12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1050</v>
      </c>
      <c r="N2013" t="b">
        <v>1</v>
      </c>
    </row>
    <row r="2014" spans="1:14" x14ac:dyDescent="0.3">
      <c r="A2014" t="s">
        <v>3060</v>
      </c>
      <c r="B2014" t="s">
        <v>436</v>
      </c>
      <c r="C2014" s="1">
        <v>45570</v>
      </c>
      <c r="E2014" t="s">
        <v>32</v>
      </c>
      <c r="F2014">
        <v>54</v>
      </c>
      <c r="G2014" s="12">
        <v>10746</v>
      </c>
      <c r="H2014" s="12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1047</v>
      </c>
      <c r="N2014" t="b">
        <v>1</v>
      </c>
    </row>
    <row r="2015" spans="1:14" x14ac:dyDescent="0.3">
      <c r="A2015" t="s">
        <v>3061</v>
      </c>
      <c r="B2015" t="s">
        <v>560</v>
      </c>
      <c r="C2015" s="1">
        <v>45613</v>
      </c>
      <c r="E2015" t="s">
        <v>39</v>
      </c>
      <c r="F2015">
        <v>69</v>
      </c>
      <c r="G2015" s="12">
        <v>3381</v>
      </c>
      <c r="H2015" s="12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1047</v>
      </c>
      <c r="N2015" t="b">
        <v>1</v>
      </c>
    </row>
    <row r="2016" spans="1:14" x14ac:dyDescent="0.3">
      <c r="A2016" t="s">
        <v>3062</v>
      </c>
      <c r="B2016" t="s">
        <v>878</v>
      </c>
      <c r="C2016" s="1">
        <v>45563</v>
      </c>
      <c r="E2016" t="s">
        <v>39</v>
      </c>
      <c r="F2016">
        <v>30</v>
      </c>
      <c r="G2016" s="12">
        <v>0</v>
      </c>
      <c r="H2016" s="12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1050</v>
      </c>
      <c r="N2016" t="b">
        <v>1</v>
      </c>
    </row>
    <row r="2017" spans="1:14" x14ac:dyDescent="0.3">
      <c r="A2017" t="s">
        <v>3063</v>
      </c>
      <c r="B2017" t="s">
        <v>542</v>
      </c>
      <c r="C2017" s="1">
        <v>45448</v>
      </c>
      <c r="E2017" t="s">
        <v>32</v>
      </c>
      <c r="F2017">
        <v>8</v>
      </c>
      <c r="G2017" s="12">
        <v>1592</v>
      </c>
      <c r="H2017" s="12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1050</v>
      </c>
      <c r="N2017" t="b">
        <v>1</v>
      </c>
    </row>
    <row r="2018" spans="1:14" x14ac:dyDescent="0.3">
      <c r="A2018" t="s">
        <v>3064</v>
      </c>
      <c r="B2018" t="s">
        <v>630</v>
      </c>
      <c r="C2018" s="1">
        <v>45490</v>
      </c>
      <c r="D2018" s="1">
        <v>45595</v>
      </c>
      <c r="E2018" t="s">
        <v>32</v>
      </c>
      <c r="F2018">
        <v>16</v>
      </c>
      <c r="G2018" s="12">
        <v>3184</v>
      </c>
      <c r="H2018" s="12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1047</v>
      </c>
      <c r="N2018" t="b">
        <v>1</v>
      </c>
    </row>
    <row r="2019" spans="1:14" x14ac:dyDescent="0.3">
      <c r="A2019" t="s">
        <v>3065</v>
      </c>
      <c r="B2019" t="s">
        <v>140</v>
      </c>
      <c r="C2019" s="1">
        <v>45653</v>
      </c>
      <c r="D2019" s="1">
        <v>45654</v>
      </c>
      <c r="E2019" t="s">
        <v>39</v>
      </c>
      <c r="F2019">
        <v>36</v>
      </c>
      <c r="G2019" s="12">
        <v>1764</v>
      </c>
      <c r="H2019" s="12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1050</v>
      </c>
      <c r="N2019" t="b">
        <v>1</v>
      </c>
    </row>
    <row r="2020" spans="1:14" x14ac:dyDescent="0.3">
      <c r="A2020" t="s">
        <v>3066</v>
      </c>
      <c r="B2020" t="s">
        <v>796</v>
      </c>
      <c r="C2020" s="1">
        <v>45441</v>
      </c>
      <c r="E2020" t="s">
        <v>32</v>
      </c>
      <c r="F2020">
        <v>40</v>
      </c>
      <c r="G2020" s="12">
        <v>7960</v>
      </c>
      <c r="H2020" s="12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1050</v>
      </c>
      <c r="N2020" t="b">
        <v>1</v>
      </c>
    </row>
    <row r="2021" spans="1:14" x14ac:dyDescent="0.3">
      <c r="A2021" t="s">
        <v>3067</v>
      </c>
      <c r="B2021" t="s">
        <v>744</v>
      </c>
      <c r="C2021" s="1">
        <v>45330</v>
      </c>
      <c r="E2021" t="s">
        <v>15</v>
      </c>
      <c r="F2021">
        <v>13</v>
      </c>
      <c r="G2021" s="12">
        <v>247</v>
      </c>
      <c r="H2021" s="12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1047</v>
      </c>
      <c r="N2021" t="b">
        <v>1</v>
      </c>
    </row>
    <row r="2022" spans="1:14" x14ac:dyDescent="0.3">
      <c r="A2022" t="s">
        <v>3068</v>
      </c>
      <c r="B2022" t="s">
        <v>864</v>
      </c>
      <c r="C2022" s="1">
        <v>45498</v>
      </c>
      <c r="E2022" t="s">
        <v>15</v>
      </c>
      <c r="F2022">
        <v>13</v>
      </c>
      <c r="G2022" s="12">
        <v>247</v>
      </c>
      <c r="H2022" s="1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1047</v>
      </c>
      <c r="N2022" t="b">
        <v>1</v>
      </c>
    </row>
    <row r="2023" spans="1:14" x14ac:dyDescent="0.3">
      <c r="A2023" t="s">
        <v>3069</v>
      </c>
      <c r="B2023" t="s">
        <v>99</v>
      </c>
      <c r="C2023" s="1">
        <v>45622</v>
      </c>
      <c r="E2023" t="s">
        <v>32</v>
      </c>
      <c r="F2023">
        <v>13</v>
      </c>
      <c r="G2023" s="12">
        <v>0</v>
      </c>
      <c r="H2023" s="12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1050</v>
      </c>
      <c r="N2023" t="b">
        <v>1</v>
      </c>
    </row>
    <row r="2024" spans="1:14" x14ac:dyDescent="0.3">
      <c r="A2024" t="s">
        <v>3070</v>
      </c>
      <c r="B2024" t="s">
        <v>566</v>
      </c>
      <c r="C2024" s="1">
        <v>45602</v>
      </c>
      <c r="E2024" t="s">
        <v>32</v>
      </c>
      <c r="F2024">
        <v>11</v>
      </c>
      <c r="G2024" s="12">
        <v>2189</v>
      </c>
      <c r="H2024" s="12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1050</v>
      </c>
      <c r="N2024" t="b">
        <v>1</v>
      </c>
    </row>
    <row r="2025" spans="1:14" x14ac:dyDescent="0.3">
      <c r="A2025" t="s">
        <v>3071</v>
      </c>
      <c r="B2025" t="s">
        <v>780</v>
      </c>
      <c r="C2025" s="1">
        <v>45583</v>
      </c>
      <c r="E2025" t="s">
        <v>15</v>
      </c>
      <c r="F2025">
        <v>18</v>
      </c>
      <c r="G2025" s="12">
        <v>342</v>
      </c>
      <c r="H2025" s="12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1047</v>
      </c>
      <c r="N2025" t="b">
        <v>1</v>
      </c>
    </row>
    <row r="2026" spans="1:14" x14ac:dyDescent="0.3">
      <c r="A2026" t="s">
        <v>3072</v>
      </c>
      <c r="B2026" t="s">
        <v>412</v>
      </c>
      <c r="C2026" s="1">
        <v>45432</v>
      </c>
      <c r="E2026" t="s">
        <v>32</v>
      </c>
      <c r="F2026">
        <v>20</v>
      </c>
      <c r="G2026" s="12">
        <v>3980</v>
      </c>
      <c r="H2026" s="12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1047</v>
      </c>
      <c r="N2026" t="b">
        <v>1</v>
      </c>
    </row>
    <row r="2027" spans="1:14" x14ac:dyDescent="0.3">
      <c r="A2027" t="s">
        <v>3073</v>
      </c>
      <c r="B2027" t="s">
        <v>232</v>
      </c>
      <c r="C2027" s="1">
        <v>45643</v>
      </c>
      <c r="D2027" s="1">
        <v>45651</v>
      </c>
      <c r="E2027" t="s">
        <v>15</v>
      </c>
      <c r="F2027">
        <v>20</v>
      </c>
      <c r="G2027" s="12">
        <v>380</v>
      </c>
      <c r="H2027" s="12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1047</v>
      </c>
      <c r="N2027" t="b">
        <v>0</v>
      </c>
    </row>
    <row r="2028" spans="1:14" x14ac:dyDescent="0.3">
      <c r="A2028" t="s">
        <v>3074</v>
      </c>
      <c r="B2028" t="s">
        <v>490</v>
      </c>
      <c r="C2028" s="1">
        <v>45569</v>
      </c>
      <c r="E2028" t="s">
        <v>15</v>
      </c>
      <c r="F2028">
        <v>8</v>
      </c>
      <c r="G2028" s="12">
        <v>152</v>
      </c>
      <c r="H2028" s="12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1047</v>
      </c>
      <c r="N2028" t="b">
        <v>1</v>
      </c>
    </row>
    <row r="2029" spans="1:14" x14ac:dyDescent="0.3">
      <c r="A2029" t="s">
        <v>3075</v>
      </c>
      <c r="B2029" t="s">
        <v>89</v>
      </c>
      <c r="C2029" s="1">
        <v>45590</v>
      </c>
      <c r="E2029" t="s">
        <v>15</v>
      </c>
      <c r="F2029">
        <v>18</v>
      </c>
      <c r="G2029" s="12">
        <v>342</v>
      </c>
      <c r="H2029" s="12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1050</v>
      </c>
      <c r="N2029" t="b">
        <v>1</v>
      </c>
    </row>
    <row r="2030" spans="1:14" x14ac:dyDescent="0.3">
      <c r="A2030" t="s">
        <v>3076</v>
      </c>
      <c r="B2030" t="s">
        <v>952</v>
      </c>
      <c r="C2030" s="1">
        <v>45657</v>
      </c>
      <c r="E2030" t="s">
        <v>39</v>
      </c>
      <c r="F2030">
        <v>45</v>
      </c>
      <c r="G2030" s="12">
        <v>2205</v>
      </c>
      <c r="H2030" s="12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1050</v>
      </c>
      <c r="N2030" t="b">
        <v>1</v>
      </c>
    </row>
    <row r="2031" spans="1:14" x14ac:dyDescent="0.3">
      <c r="A2031" t="s">
        <v>3077</v>
      </c>
      <c r="B2031" t="s">
        <v>670</v>
      </c>
      <c r="C2031" s="1">
        <v>45652</v>
      </c>
      <c r="E2031" t="s">
        <v>15</v>
      </c>
      <c r="F2031">
        <v>71</v>
      </c>
      <c r="G2031" s="12">
        <v>1349</v>
      </c>
      <c r="H2031" s="12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1047</v>
      </c>
      <c r="N2031" t="b">
        <v>1</v>
      </c>
    </row>
    <row r="2032" spans="1:14" x14ac:dyDescent="0.3">
      <c r="A2032" t="s">
        <v>3078</v>
      </c>
      <c r="B2032" t="s">
        <v>110</v>
      </c>
      <c r="C2032" s="1">
        <v>45350</v>
      </c>
      <c r="E2032" t="s">
        <v>15</v>
      </c>
      <c r="F2032">
        <v>56</v>
      </c>
      <c r="G2032" s="12">
        <v>1064</v>
      </c>
      <c r="H2032" s="1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1050</v>
      </c>
      <c r="N2032" t="b">
        <v>1</v>
      </c>
    </row>
    <row r="2033" spans="1:14" x14ac:dyDescent="0.3">
      <c r="A2033" t="s">
        <v>3079</v>
      </c>
      <c r="B2033" t="s">
        <v>156</v>
      </c>
      <c r="C2033" s="1">
        <v>45532</v>
      </c>
      <c r="E2033" t="s">
        <v>15</v>
      </c>
      <c r="F2033">
        <v>17</v>
      </c>
      <c r="G2033" s="12">
        <v>323</v>
      </c>
      <c r="H2033" s="12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1050</v>
      </c>
      <c r="N2033" t="b">
        <v>1</v>
      </c>
    </row>
    <row r="2034" spans="1:14" x14ac:dyDescent="0.3">
      <c r="A2034" t="s">
        <v>3080</v>
      </c>
      <c r="B2034" t="s">
        <v>57</v>
      </c>
      <c r="C2034" s="1">
        <v>45476</v>
      </c>
      <c r="E2034" t="s">
        <v>15</v>
      </c>
      <c r="F2034">
        <v>28</v>
      </c>
      <c r="G2034" s="12">
        <v>532</v>
      </c>
      <c r="H2034" s="12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1050</v>
      </c>
      <c r="N2034" t="b">
        <v>1</v>
      </c>
    </row>
    <row r="2035" spans="1:14" x14ac:dyDescent="0.3">
      <c r="A2035" t="s">
        <v>3081</v>
      </c>
      <c r="B2035" t="s">
        <v>526</v>
      </c>
      <c r="C2035" s="1">
        <v>45168</v>
      </c>
      <c r="E2035" t="s">
        <v>15</v>
      </c>
      <c r="F2035">
        <v>5</v>
      </c>
      <c r="G2035" s="12">
        <v>0</v>
      </c>
      <c r="H2035" s="12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1047</v>
      </c>
      <c r="N2035" t="b">
        <v>1</v>
      </c>
    </row>
    <row r="2036" spans="1:14" x14ac:dyDescent="0.3">
      <c r="A2036" t="s">
        <v>3082</v>
      </c>
      <c r="B2036" t="s">
        <v>302</v>
      </c>
      <c r="C2036" s="1">
        <v>45629</v>
      </c>
      <c r="E2036" t="s">
        <v>15</v>
      </c>
      <c r="F2036">
        <v>47</v>
      </c>
      <c r="G2036" s="12">
        <v>0</v>
      </c>
      <c r="H2036" s="12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1047</v>
      </c>
      <c r="N2036" t="b">
        <v>1</v>
      </c>
    </row>
    <row r="2037" spans="1:14" x14ac:dyDescent="0.3">
      <c r="A2037" t="s">
        <v>3083</v>
      </c>
      <c r="B2037" t="s">
        <v>128</v>
      </c>
      <c r="C2037" s="1">
        <v>45289</v>
      </c>
      <c r="E2037" t="s">
        <v>32</v>
      </c>
      <c r="F2037">
        <v>13</v>
      </c>
      <c r="G2037" s="12">
        <v>2587</v>
      </c>
      <c r="H2037" s="12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1047</v>
      </c>
      <c r="N2037" t="b">
        <v>1</v>
      </c>
    </row>
    <row r="2038" spans="1:14" x14ac:dyDescent="0.3">
      <c r="A2038" t="s">
        <v>3084</v>
      </c>
      <c r="B2038" t="s">
        <v>414</v>
      </c>
      <c r="C2038" s="1">
        <v>45493</v>
      </c>
      <c r="E2038" t="s">
        <v>32</v>
      </c>
      <c r="F2038">
        <v>16</v>
      </c>
      <c r="G2038" s="12">
        <v>3184</v>
      </c>
      <c r="H2038" s="12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1050</v>
      </c>
      <c r="N2038" t="b">
        <v>1</v>
      </c>
    </row>
    <row r="2039" spans="1:14" x14ac:dyDescent="0.3">
      <c r="A2039" t="s">
        <v>3085</v>
      </c>
      <c r="B2039" t="s">
        <v>984</v>
      </c>
      <c r="C2039" s="1">
        <v>45600</v>
      </c>
      <c r="E2039" t="s">
        <v>39</v>
      </c>
      <c r="F2039">
        <v>14</v>
      </c>
      <c r="G2039" s="12">
        <v>686</v>
      </c>
      <c r="H2039" s="12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1050</v>
      </c>
      <c r="N2039" t="b">
        <v>0</v>
      </c>
    </row>
    <row r="2040" spans="1:14" x14ac:dyDescent="0.3">
      <c r="A2040" t="s">
        <v>3086</v>
      </c>
      <c r="B2040" t="s">
        <v>648</v>
      </c>
      <c r="C2040" s="1">
        <v>45568</v>
      </c>
      <c r="E2040" t="s">
        <v>39</v>
      </c>
      <c r="F2040">
        <v>15</v>
      </c>
      <c r="G2040" s="12">
        <v>735</v>
      </c>
      <c r="H2040" s="12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1050</v>
      </c>
      <c r="N2040" t="b">
        <v>1</v>
      </c>
    </row>
    <row r="2041" spans="1:14" x14ac:dyDescent="0.3">
      <c r="A2041" t="s">
        <v>3087</v>
      </c>
      <c r="B2041" t="s">
        <v>728</v>
      </c>
      <c r="C2041" s="1">
        <v>45395</v>
      </c>
      <c r="E2041" t="s">
        <v>39</v>
      </c>
      <c r="F2041">
        <v>25</v>
      </c>
      <c r="G2041" s="12">
        <v>1225</v>
      </c>
      <c r="H2041" s="12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1047</v>
      </c>
      <c r="N2041" t="b">
        <v>0</v>
      </c>
    </row>
    <row r="2042" spans="1:14" x14ac:dyDescent="0.3">
      <c r="A2042" t="s">
        <v>3088</v>
      </c>
      <c r="B2042" t="s">
        <v>992</v>
      </c>
      <c r="C2042" s="1">
        <v>45503</v>
      </c>
      <c r="E2042" t="s">
        <v>32</v>
      </c>
      <c r="F2042">
        <v>11</v>
      </c>
      <c r="G2042" s="12">
        <v>0</v>
      </c>
      <c r="H2042" s="1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1050</v>
      </c>
      <c r="N2042" t="b">
        <v>1</v>
      </c>
    </row>
    <row r="2043" spans="1:14" x14ac:dyDescent="0.3">
      <c r="A2043" t="s">
        <v>3089</v>
      </c>
      <c r="B2043" t="s">
        <v>416</v>
      </c>
      <c r="C2043" s="1">
        <v>45553</v>
      </c>
      <c r="E2043" t="s">
        <v>15</v>
      </c>
      <c r="F2043">
        <v>98</v>
      </c>
      <c r="G2043" s="12">
        <v>1862</v>
      </c>
      <c r="H2043" s="12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1050</v>
      </c>
      <c r="N2043" t="b">
        <v>1</v>
      </c>
    </row>
    <row r="2044" spans="1:14" x14ac:dyDescent="0.3">
      <c r="A2044" t="s">
        <v>3090</v>
      </c>
      <c r="B2044" t="s">
        <v>924</v>
      </c>
      <c r="C2044" s="1">
        <v>45502</v>
      </c>
      <c r="E2044" t="s">
        <v>15</v>
      </c>
      <c r="F2044">
        <v>12</v>
      </c>
      <c r="G2044" s="12">
        <v>228</v>
      </c>
      <c r="H2044" s="12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1047</v>
      </c>
      <c r="N2044" t="b">
        <v>0</v>
      </c>
    </row>
    <row r="2045" spans="1:14" x14ac:dyDescent="0.3">
      <c r="A2045" t="s">
        <v>3091</v>
      </c>
      <c r="B2045" t="s">
        <v>496</v>
      </c>
      <c r="C2045" s="1">
        <v>45637</v>
      </c>
      <c r="D2045" s="1">
        <v>45641</v>
      </c>
      <c r="E2045" t="s">
        <v>39</v>
      </c>
      <c r="F2045">
        <v>13</v>
      </c>
      <c r="G2045" s="12">
        <v>637</v>
      </c>
      <c r="H2045" s="12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1047</v>
      </c>
      <c r="N2045" t="b">
        <v>0</v>
      </c>
    </row>
    <row r="2046" spans="1:14" x14ac:dyDescent="0.3">
      <c r="A2046" t="s">
        <v>3092</v>
      </c>
      <c r="B2046" t="s">
        <v>646</v>
      </c>
      <c r="C2046" s="1">
        <v>45348</v>
      </c>
      <c r="D2046" s="1">
        <v>45491</v>
      </c>
      <c r="E2046" t="s">
        <v>32</v>
      </c>
      <c r="F2046">
        <v>31</v>
      </c>
      <c r="G2046" s="12">
        <v>6169</v>
      </c>
      <c r="H2046" s="12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1047</v>
      </c>
      <c r="N2046" t="b">
        <v>1</v>
      </c>
    </row>
    <row r="2047" spans="1:14" x14ac:dyDescent="0.3">
      <c r="A2047" t="s">
        <v>3093</v>
      </c>
      <c r="B2047" t="s">
        <v>406</v>
      </c>
      <c r="C2047" s="1">
        <v>45604</v>
      </c>
      <c r="E2047" t="s">
        <v>32</v>
      </c>
      <c r="F2047">
        <v>16</v>
      </c>
      <c r="G2047" s="12">
        <v>3184</v>
      </c>
      <c r="H2047" s="12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1050</v>
      </c>
      <c r="N2047" t="b">
        <v>0</v>
      </c>
    </row>
    <row r="2048" spans="1:14" x14ac:dyDescent="0.3">
      <c r="A2048" t="s">
        <v>3094</v>
      </c>
      <c r="B2048" t="s">
        <v>556</v>
      </c>
      <c r="C2048" s="1">
        <v>45597</v>
      </c>
      <c r="E2048" t="s">
        <v>32</v>
      </c>
      <c r="F2048">
        <v>58</v>
      </c>
      <c r="G2048" s="12">
        <v>11542</v>
      </c>
      <c r="H2048" s="12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1047</v>
      </c>
      <c r="N2048" t="b">
        <v>1</v>
      </c>
    </row>
    <row r="2049" spans="1:14" x14ac:dyDescent="0.3">
      <c r="A2049" t="s">
        <v>3095</v>
      </c>
      <c r="B2049" t="s">
        <v>16</v>
      </c>
      <c r="C2049" s="1">
        <v>45481</v>
      </c>
      <c r="E2049" t="s">
        <v>39</v>
      </c>
      <c r="F2049">
        <v>18</v>
      </c>
      <c r="G2049" s="12">
        <v>882</v>
      </c>
      <c r="H2049" s="12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1047</v>
      </c>
      <c r="N2049" t="b">
        <v>1</v>
      </c>
    </row>
    <row r="2050" spans="1:14" x14ac:dyDescent="0.3">
      <c r="A2050" t="s">
        <v>3096</v>
      </c>
      <c r="B2050" t="s">
        <v>678</v>
      </c>
      <c r="C2050" s="1">
        <v>45635</v>
      </c>
      <c r="E2050" t="s">
        <v>15</v>
      </c>
      <c r="F2050">
        <v>27</v>
      </c>
      <c r="G2050" s="12">
        <v>513</v>
      </c>
      <c r="H2050" s="12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1050</v>
      </c>
      <c r="N2050" t="b">
        <v>1</v>
      </c>
    </row>
    <row r="2051" spans="1:14" x14ac:dyDescent="0.3">
      <c r="A2051" t="s">
        <v>3097</v>
      </c>
      <c r="B2051" t="s">
        <v>724</v>
      </c>
      <c r="C2051" s="1">
        <v>45464</v>
      </c>
      <c r="E2051" t="s">
        <v>15</v>
      </c>
      <c r="F2051">
        <v>41</v>
      </c>
      <c r="G2051" s="12">
        <v>779</v>
      </c>
      <c r="H2051" s="12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1050</v>
      </c>
      <c r="N2051" t="b">
        <v>0</v>
      </c>
    </row>
    <row r="2052" spans="1:14" x14ac:dyDescent="0.3">
      <c r="A2052" t="s">
        <v>3098</v>
      </c>
      <c r="B2052" t="s">
        <v>438</v>
      </c>
      <c r="C2052" s="1">
        <v>45556</v>
      </c>
      <c r="E2052" t="s">
        <v>15</v>
      </c>
      <c r="F2052">
        <v>45</v>
      </c>
      <c r="G2052" s="12">
        <v>0</v>
      </c>
      <c r="H2052" s="1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1050</v>
      </c>
      <c r="N2052" t="b">
        <v>1</v>
      </c>
    </row>
    <row r="2053" spans="1:14" x14ac:dyDescent="0.3">
      <c r="A2053" t="s">
        <v>3099</v>
      </c>
      <c r="B2053" t="s">
        <v>468</v>
      </c>
      <c r="C2053" s="1">
        <v>45584</v>
      </c>
      <c r="E2053" t="s">
        <v>32</v>
      </c>
      <c r="F2053">
        <v>10</v>
      </c>
      <c r="G2053" s="12">
        <v>1990</v>
      </c>
      <c r="H2053" s="12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1047</v>
      </c>
      <c r="N2053" t="b">
        <v>1</v>
      </c>
    </row>
    <row r="2054" spans="1:14" x14ac:dyDescent="0.3">
      <c r="A2054" t="s">
        <v>3100</v>
      </c>
      <c r="B2054" t="s">
        <v>780</v>
      </c>
      <c r="C2054" s="1">
        <v>45560</v>
      </c>
      <c r="E2054" t="s">
        <v>39</v>
      </c>
      <c r="F2054">
        <v>16</v>
      </c>
      <c r="G2054" s="12">
        <v>784</v>
      </c>
      <c r="H2054" s="12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1047</v>
      </c>
      <c r="N2054" t="b">
        <v>1</v>
      </c>
    </row>
    <row r="2055" spans="1:14" x14ac:dyDescent="0.3">
      <c r="A2055" t="s">
        <v>3101</v>
      </c>
      <c r="B2055" t="s">
        <v>758</v>
      </c>
      <c r="C2055" s="1">
        <v>45475</v>
      </c>
      <c r="E2055" t="s">
        <v>32</v>
      </c>
      <c r="F2055">
        <v>21</v>
      </c>
      <c r="G2055" s="12">
        <v>0</v>
      </c>
      <c r="H2055" s="12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1047</v>
      </c>
      <c r="N2055" t="b">
        <v>1</v>
      </c>
    </row>
    <row r="2056" spans="1:14" x14ac:dyDescent="0.3">
      <c r="A2056" t="s">
        <v>3102</v>
      </c>
      <c r="B2056" t="s">
        <v>160</v>
      </c>
      <c r="C2056" s="1">
        <v>45650</v>
      </c>
      <c r="E2056" t="s">
        <v>15</v>
      </c>
      <c r="F2056">
        <v>18</v>
      </c>
      <c r="G2056" s="12">
        <v>342</v>
      </c>
      <c r="H2056" s="12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1050</v>
      </c>
      <c r="N2056" t="b">
        <v>1</v>
      </c>
    </row>
    <row r="2057" spans="1:14" x14ac:dyDescent="0.3">
      <c r="A2057" t="s">
        <v>3103</v>
      </c>
      <c r="B2057" t="s">
        <v>882</v>
      </c>
      <c r="C2057" s="1">
        <v>45652</v>
      </c>
      <c r="E2057" t="s">
        <v>15</v>
      </c>
      <c r="F2057">
        <v>10</v>
      </c>
      <c r="G2057" s="12">
        <v>0</v>
      </c>
      <c r="H2057" s="12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1050</v>
      </c>
      <c r="N2057" t="b">
        <v>1</v>
      </c>
    </row>
    <row r="2058" spans="1:14" x14ac:dyDescent="0.3">
      <c r="A2058" t="s">
        <v>3104</v>
      </c>
      <c r="B2058" t="s">
        <v>1006</v>
      </c>
      <c r="C2058" s="1">
        <v>45645</v>
      </c>
      <c r="E2058" t="s">
        <v>39</v>
      </c>
      <c r="F2058">
        <v>148</v>
      </c>
      <c r="G2058" s="12">
        <v>7252</v>
      </c>
      <c r="H2058" s="12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1047</v>
      </c>
      <c r="N2058" t="b">
        <v>1</v>
      </c>
    </row>
    <row r="2059" spans="1:14" x14ac:dyDescent="0.3">
      <c r="A2059" t="s">
        <v>3105</v>
      </c>
      <c r="B2059" t="s">
        <v>278</v>
      </c>
      <c r="C2059" s="1">
        <v>45312</v>
      </c>
      <c r="E2059" t="s">
        <v>15</v>
      </c>
      <c r="F2059">
        <v>6</v>
      </c>
      <c r="G2059" s="12">
        <v>114</v>
      </c>
      <c r="H2059" s="12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1047</v>
      </c>
      <c r="N2059" t="b">
        <v>1</v>
      </c>
    </row>
    <row r="2060" spans="1:14" x14ac:dyDescent="0.3">
      <c r="A2060" t="s">
        <v>3106</v>
      </c>
      <c r="B2060" t="s">
        <v>138</v>
      </c>
      <c r="C2060" s="1">
        <v>45374</v>
      </c>
      <c r="E2060" t="s">
        <v>32</v>
      </c>
      <c r="F2060">
        <v>20</v>
      </c>
      <c r="G2060" s="12">
        <v>0</v>
      </c>
      <c r="H2060" s="12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1047</v>
      </c>
      <c r="N2060" t="b">
        <v>1</v>
      </c>
    </row>
    <row r="2061" spans="1:14" x14ac:dyDescent="0.3">
      <c r="A2061" t="s">
        <v>3107</v>
      </c>
      <c r="B2061" t="s">
        <v>194</v>
      </c>
      <c r="C2061" s="1">
        <v>45442</v>
      </c>
      <c r="D2061" s="1">
        <v>45638</v>
      </c>
      <c r="E2061" t="s">
        <v>39</v>
      </c>
      <c r="F2061">
        <v>11</v>
      </c>
      <c r="G2061" s="12">
        <v>539</v>
      </c>
      <c r="H2061" s="12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1050</v>
      </c>
      <c r="N2061" t="b">
        <v>1</v>
      </c>
    </row>
    <row r="2062" spans="1:14" x14ac:dyDescent="0.3">
      <c r="A2062" t="s">
        <v>3108</v>
      </c>
      <c r="B2062" t="s">
        <v>254</v>
      </c>
      <c r="C2062" s="1">
        <v>45553</v>
      </c>
      <c r="E2062" t="s">
        <v>32</v>
      </c>
      <c r="F2062">
        <v>38</v>
      </c>
      <c r="G2062" s="12">
        <v>7562</v>
      </c>
      <c r="H2062" s="1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1050</v>
      </c>
      <c r="N2062" t="b">
        <v>1</v>
      </c>
    </row>
    <row r="2063" spans="1:14" x14ac:dyDescent="0.3">
      <c r="A2063" t="s">
        <v>3109</v>
      </c>
      <c r="B2063" t="s">
        <v>1004</v>
      </c>
      <c r="C2063" s="1">
        <v>45609</v>
      </c>
      <c r="E2063" t="s">
        <v>32</v>
      </c>
      <c r="F2063">
        <v>32</v>
      </c>
      <c r="G2063" s="12">
        <v>6368</v>
      </c>
      <c r="H2063" s="12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1047</v>
      </c>
      <c r="N2063" t="b">
        <v>1</v>
      </c>
    </row>
    <row r="2064" spans="1:14" x14ac:dyDescent="0.3">
      <c r="A2064" t="s">
        <v>3110</v>
      </c>
      <c r="B2064" t="s">
        <v>710</v>
      </c>
      <c r="C2064" s="1">
        <v>45387</v>
      </c>
      <c r="E2064" t="s">
        <v>32</v>
      </c>
      <c r="F2064">
        <v>23</v>
      </c>
      <c r="G2064" s="12">
        <v>4577</v>
      </c>
      <c r="H2064" s="12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1050</v>
      </c>
      <c r="N2064" t="b">
        <v>1</v>
      </c>
    </row>
    <row r="2065" spans="1:14" x14ac:dyDescent="0.3">
      <c r="A2065" t="s">
        <v>3111</v>
      </c>
      <c r="B2065" t="s">
        <v>122</v>
      </c>
      <c r="C2065" s="1">
        <v>45363</v>
      </c>
      <c r="E2065" t="s">
        <v>15</v>
      </c>
      <c r="F2065">
        <v>22</v>
      </c>
      <c r="G2065" s="12">
        <v>418</v>
      </c>
      <c r="H2065" s="12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1047</v>
      </c>
      <c r="N2065" t="b">
        <v>1</v>
      </c>
    </row>
    <row r="2066" spans="1:14" x14ac:dyDescent="0.3">
      <c r="A2066" t="s">
        <v>3112</v>
      </c>
      <c r="B2066" t="s">
        <v>688</v>
      </c>
      <c r="C2066" s="1">
        <v>45634</v>
      </c>
      <c r="E2066" t="s">
        <v>39</v>
      </c>
      <c r="F2066">
        <v>11</v>
      </c>
      <c r="G2066" s="12">
        <v>539</v>
      </c>
      <c r="H2066" s="12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1050</v>
      </c>
      <c r="N2066" t="b">
        <v>1</v>
      </c>
    </row>
    <row r="2067" spans="1:14" x14ac:dyDescent="0.3">
      <c r="A2067" t="s">
        <v>3113</v>
      </c>
      <c r="B2067" t="s">
        <v>698</v>
      </c>
      <c r="C2067" s="1">
        <v>45636</v>
      </c>
      <c r="E2067" t="s">
        <v>39</v>
      </c>
      <c r="F2067">
        <v>41</v>
      </c>
      <c r="G2067" s="12">
        <v>2009</v>
      </c>
      <c r="H2067" s="12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1047</v>
      </c>
      <c r="N2067" t="b">
        <v>1</v>
      </c>
    </row>
    <row r="2068" spans="1:14" x14ac:dyDescent="0.3">
      <c r="A2068" t="s">
        <v>3114</v>
      </c>
      <c r="B2068" t="s">
        <v>258</v>
      </c>
      <c r="C2068" s="1">
        <v>45489</v>
      </c>
      <c r="E2068" t="s">
        <v>15</v>
      </c>
      <c r="F2068">
        <v>18</v>
      </c>
      <c r="G2068" s="12">
        <v>0</v>
      </c>
      <c r="H2068" s="12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1050</v>
      </c>
      <c r="N2068" t="b">
        <v>0</v>
      </c>
    </row>
    <row r="2069" spans="1:14" x14ac:dyDescent="0.3">
      <c r="A2069" t="s">
        <v>3115</v>
      </c>
      <c r="B2069" t="s">
        <v>118</v>
      </c>
      <c r="C2069" s="1">
        <v>45507</v>
      </c>
      <c r="E2069" t="s">
        <v>15</v>
      </c>
      <c r="F2069">
        <v>19</v>
      </c>
      <c r="G2069" s="12">
        <v>361</v>
      </c>
      <c r="H2069" s="12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1050</v>
      </c>
      <c r="N2069" t="b">
        <v>1</v>
      </c>
    </row>
    <row r="2070" spans="1:14" x14ac:dyDescent="0.3">
      <c r="A2070" t="s">
        <v>3116</v>
      </c>
      <c r="B2070" t="s">
        <v>788</v>
      </c>
      <c r="C2070" s="1">
        <v>45633</v>
      </c>
      <c r="E2070" t="s">
        <v>32</v>
      </c>
      <c r="F2070">
        <v>38</v>
      </c>
      <c r="G2070" s="12">
        <v>7562</v>
      </c>
      <c r="H2070" s="12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1047</v>
      </c>
      <c r="N2070" t="b">
        <v>0</v>
      </c>
    </row>
    <row r="2071" spans="1:14" x14ac:dyDescent="0.3">
      <c r="A2071" t="s">
        <v>3117</v>
      </c>
      <c r="B2071" t="s">
        <v>616</v>
      </c>
      <c r="C2071" s="1">
        <v>45394</v>
      </c>
      <c r="E2071" t="s">
        <v>15</v>
      </c>
      <c r="F2071">
        <v>12</v>
      </c>
      <c r="G2071" s="12">
        <v>228</v>
      </c>
      <c r="H2071" s="12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1050</v>
      </c>
      <c r="N2071" t="b">
        <v>1</v>
      </c>
    </row>
    <row r="2072" spans="1:14" x14ac:dyDescent="0.3">
      <c r="A2072" t="s">
        <v>3118</v>
      </c>
      <c r="B2072" t="s">
        <v>1006</v>
      </c>
      <c r="C2072" s="1">
        <v>45650</v>
      </c>
      <c r="E2072" t="s">
        <v>32</v>
      </c>
      <c r="F2072">
        <v>148</v>
      </c>
      <c r="G2072" s="12">
        <v>0</v>
      </c>
      <c r="H2072" s="1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1047</v>
      </c>
      <c r="N2072" t="b">
        <v>1</v>
      </c>
    </row>
    <row r="2073" spans="1:14" x14ac:dyDescent="0.3">
      <c r="A2073" t="s">
        <v>3119</v>
      </c>
      <c r="B2073" t="s">
        <v>348</v>
      </c>
      <c r="C2073" s="1">
        <v>45179</v>
      </c>
      <c r="E2073" t="s">
        <v>32</v>
      </c>
      <c r="F2073">
        <v>16</v>
      </c>
      <c r="G2073" s="12">
        <v>0</v>
      </c>
      <c r="H2073" s="12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1047</v>
      </c>
      <c r="N2073" t="b">
        <v>0</v>
      </c>
    </row>
    <row r="2074" spans="1:14" x14ac:dyDescent="0.3">
      <c r="A2074" t="s">
        <v>3120</v>
      </c>
      <c r="B2074" t="s">
        <v>896</v>
      </c>
      <c r="C2074" s="1">
        <v>45527</v>
      </c>
      <c r="E2074" t="s">
        <v>39</v>
      </c>
      <c r="F2074">
        <v>24</v>
      </c>
      <c r="G2074" s="12">
        <v>1176</v>
      </c>
      <c r="H2074" s="12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1050</v>
      </c>
      <c r="N2074" t="b">
        <v>1</v>
      </c>
    </row>
    <row r="2075" spans="1:14" x14ac:dyDescent="0.3">
      <c r="A2075" t="s">
        <v>3121</v>
      </c>
      <c r="B2075" t="s">
        <v>818</v>
      </c>
      <c r="C2075" s="1">
        <v>45429</v>
      </c>
      <c r="E2075" t="s">
        <v>32</v>
      </c>
      <c r="F2075">
        <v>20</v>
      </c>
      <c r="G2075" s="12">
        <v>3980</v>
      </c>
      <c r="H2075" s="12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1047</v>
      </c>
      <c r="N2075" t="b">
        <v>1</v>
      </c>
    </row>
    <row r="2076" spans="1:14" x14ac:dyDescent="0.3">
      <c r="A2076" t="s">
        <v>3122</v>
      </c>
      <c r="B2076" t="s">
        <v>562</v>
      </c>
      <c r="C2076" s="1">
        <v>45586</v>
      </c>
      <c r="D2076" s="1">
        <v>45614</v>
      </c>
      <c r="E2076" t="s">
        <v>32</v>
      </c>
      <c r="F2076">
        <v>23</v>
      </c>
      <c r="G2076" s="12">
        <v>4577</v>
      </c>
      <c r="H2076" s="12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1047</v>
      </c>
      <c r="N2076" t="b">
        <v>0</v>
      </c>
    </row>
    <row r="2077" spans="1:14" x14ac:dyDescent="0.3">
      <c r="A2077" t="s">
        <v>3123</v>
      </c>
      <c r="B2077" t="s">
        <v>434</v>
      </c>
      <c r="C2077" s="1">
        <v>45131</v>
      </c>
      <c r="E2077" t="s">
        <v>32</v>
      </c>
      <c r="F2077">
        <v>121</v>
      </c>
      <c r="G2077" s="12">
        <v>24079</v>
      </c>
      <c r="H2077" s="12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1050</v>
      </c>
      <c r="N2077" t="b">
        <v>1</v>
      </c>
    </row>
    <row r="2078" spans="1:14" x14ac:dyDescent="0.3">
      <c r="A2078" t="s">
        <v>3124</v>
      </c>
      <c r="B2078" t="s">
        <v>352</v>
      </c>
      <c r="C2078" s="1">
        <v>45304</v>
      </c>
      <c r="E2078" t="s">
        <v>39</v>
      </c>
      <c r="F2078">
        <v>19</v>
      </c>
      <c r="G2078" s="12">
        <v>931</v>
      </c>
      <c r="H2078" s="12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1047</v>
      </c>
      <c r="N2078" t="b">
        <v>1</v>
      </c>
    </row>
    <row r="2079" spans="1:14" x14ac:dyDescent="0.3">
      <c r="A2079" t="s">
        <v>3125</v>
      </c>
      <c r="B2079" t="s">
        <v>540</v>
      </c>
      <c r="C2079" s="1">
        <v>45639</v>
      </c>
      <c r="E2079" t="s">
        <v>15</v>
      </c>
      <c r="F2079">
        <v>54</v>
      </c>
      <c r="G2079" s="12">
        <v>0</v>
      </c>
      <c r="H2079" s="12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1050</v>
      </c>
      <c r="N2079" t="b">
        <v>0</v>
      </c>
    </row>
    <row r="2080" spans="1:14" x14ac:dyDescent="0.3">
      <c r="A2080" t="s">
        <v>3126</v>
      </c>
      <c r="B2080" t="s">
        <v>178</v>
      </c>
      <c r="C2080" s="1">
        <v>45056</v>
      </c>
      <c r="E2080" t="s">
        <v>32</v>
      </c>
      <c r="F2080">
        <v>28</v>
      </c>
      <c r="G2080" s="12">
        <v>5572</v>
      </c>
      <c r="H2080" s="12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1050</v>
      </c>
      <c r="N2080" t="b">
        <v>0</v>
      </c>
    </row>
    <row r="2081" spans="1:14" x14ac:dyDescent="0.3">
      <c r="A2081" t="s">
        <v>3127</v>
      </c>
      <c r="B2081" t="s">
        <v>346</v>
      </c>
      <c r="C2081" s="1">
        <v>45564</v>
      </c>
      <c r="E2081" t="s">
        <v>32</v>
      </c>
      <c r="F2081">
        <v>31</v>
      </c>
      <c r="G2081" s="12">
        <v>6169</v>
      </c>
      <c r="H2081" s="12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1047</v>
      </c>
      <c r="N2081" t="b">
        <v>1</v>
      </c>
    </row>
    <row r="2082" spans="1:14" x14ac:dyDescent="0.3">
      <c r="A2082" t="s">
        <v>3128</v>
      </c>
      <c r="B2082" t="s">
        <v>310</v>
      </c>
      <c r="C2082" s="1">
        <v>45643</v>
      </c>
      <c r="E2082" t="s">
        <v>32</v>
      </c>
      <c r="F2082">
        <v>31</v>
      </c>
      <c r="G2082" s="12">
        <v>6169</v>
      </c>
      <c r="H2082" s="1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1050</v>
      </c>
      <c r="N2082" t="b">
        <v>1</v>
      </c>
    </row>
    <row r="2083" spans="1:14" x14ac:dyDescent="0.3">
      <c r="A2083" t="s">
        <v>3129</v>
      </c>
      <c r="B2083" t="s">
        <v>676</v>
      </c>
      <c r="C2083" s="1">
        <v>45455</v>
      </c>
      <c r="E2083" t="s">
        <v>39</v>
      </c>
      <c r="F2083">
        <v>12</v>
      </c>
      <c r="G2083" s="12">
        <v>588</v>
      </c>
      <c r="H2083" s="12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1050</v>
      </c>
      <c r="N2083" t="b">
        <v>1</v>
      </c>
    </row>
    <row r="2084" spans="1:14" x14ac:dyDescent="0.3">
      <c r="A2084" t="s">
        <v>3130</v>
      </c>
      <c r="B2084" t="s">
        <v>750</v>
      </c>
      <c r="C2084" s="1">
        <v>45625</v>
      </c>
      <c r="E2084" t="s">
        <v>15</v>
      </c>
      <c r="F2084">
        <v>30</v>
      </c>
      <c r="G2084" s="12">
        <v>570</v>
      </c>
      <c r="H2084" s="12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1050</v>
      </c>
      <c r="N2084" t="b">
        <v>1</v>
      </c>
    </row>
    <row r="2085" spans="1:14" x14ac:dyDescent="0.3">
      <c r="A2085" t="s">
        <v>3131</v>
      </c>
      <c r="B2085" t="s">
        <v>186</v>
      </c>
      <c r="C2085" s="1">
        <v>45178</v>
      </c>
      <c r="D2085" s="1">
        <v>45656</v>
      </c>
      <c r="E2085" t="s">
        <v>32</v>
      </c>
      <c r="F2085">
        <v>10</v>
      </c>
      <c r="G2085" s="12">
        <v>1990</v>
      </c>
      <c r="H2085" s="12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1047</v>
      </c>
      <c r="N2085" t="b">
        <v>1</v>
      </c>
    </row>
    <row r="2086" spans="1:14" x14ac:dyDescent="0.3">
      <c r="A2086" t="s">
        <v>3132</v>
      </c>
      <c r="B2086" t="s">
        <v>746</v>
      </c>
      <c r="C2086" s="1">
        <v>45322</v>
      </c>
      <c r="E2086" t="s">
        <v>15</v>
      </c>
      <c r="F2086">
        <v>87</v>
      </c>
      <c r="G2086" s="12">
        <v>1653</v>
      </c>
      <c r="H2086" s="12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1050</v>
      </c>
      <c r="N2086" t="b">
        <v>0</v>
      </c>
    </row>
    <row r="2087" spans="1:14" x14ac:dyDescent="0.3">
      <c r="A2087" t="s">
        <v>3133</v>
      </c>
      <c r="B2087" t="s">
        <v>774</v>
      </c>
      <c r="C2087" s="1">
        <v>45412</v>
      </c>
      <c r="E2087" t="s">
        <v>39</v>
      </c>
      <c r="F2087">
        <v>35</v>
      </c>
      <c r="G2087" s="12">
        <v>1715</v>
      </c>
      <c r="H2087" s="12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1047</v>
      </c>
      <c r="N2087" t="b">
        <v>1</v>
      </c>
    </row>
    <row r="2088" spans="1:14" x14ac:dyDescent="0.3">
      <c r="A2088" t="s">
        <v>3134</v>
      </c>
      <c r="B2088" t="s">
        <v>49</v>
      </c>
      <c r="C2088" s="1">
        <v>45639</v>
      </c>
      <c r="E2088" t="s">
        <v>39</v>
      </c>
      <c r="F2088">
        <v>59</v>
      </c>
      <c r="G2088" s="12">
        <v>0</v>
      </c>
      <c r="H2088" s="12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1050</v>
      </c>
      <c r="N2088" t="b">
        <v>1</v>
      </c>
    </row>
    <row r="2089" spans="1:14" x14ac:dyDescent="0.3">
      <c r="A2089" t="s">
        <v>3135</v>
      </c>
      <c r="B2089" t="s">
        <v>462</v>
      </c>
      <c r="C2089" s="1">
        <v>45598</v>
      </c>
      <c r="E2089" t="s">
        <v>39</v>
      </c>
      <c r="F2089">
        <v>31</v>
      </c>
      <c r="G2089" s="12">
        <v>1519</v>
      </c>
      <c r="H2089" s="12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1050</v>
      </c>
      <c r="N2089" t="b">
        <v>1</v>
      </c>
    </row>
    <row r="2090" spans="1:14" x14ac:dyDescent="0.3">
      <c r="A2090" t="s">
        <v>3136</v>
      </c>
      <c r="B2090" t="s">
        <v>804</v>
      </c>
      <c r="C2090" s="1">
        <v>45452</v>
      </c>
      <c r="E2090" t="s">
        <v>39</v>
      </c>
      <c r="F2090">
        <v>2</v>
      </c>
      <c r="G2090" s="12">
        <v>0</v>
      </c>
      <c r="H2090" s="12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1047</v>
      </c>
      <c r="N2090" t="b">
        <v>1</v>
      </c>
    </row>
    <row r="2091" spans="1:14" x14ac:dyDescent="0.3">
      <c r="A2091" t="s">
        <v>3137</v>
      </c>
      <c r="B2091" t="s">
        <v>570</v>
      </c>
      <c r="C2091" s="1">
        <v>45631</v>
      </c>
      <c r="E2091" t="s">
        <v>39</v>
      </c>
      <c r="F2091">
        <v>83</v>
      </c>
      <c r="G2091" s="12">
        <v>4067</v>
      </c>
      <c r="H2091" s="12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1050</v>
      </c>
      <c r="N2091" t="b">
        <v>1</v>
      </c>
    </row>
    <row r="2092" spans="1:14" x14ac:dyDescent="0.3">
      <c r="A2092" t="s">
        <v>3138</v>
      </c>
      <c r="B2092" t="s">
        <v>742</v>
      </c>
      <c r="C2092" s="1">
        <v>45273</v>
      </c>
      <c r="E2092" t="s">
        <v>32</v>
      </c>
      <c r="F2092">
        <v>8</v>
      </c>
      <c r="G2092" s="12">
        <v>1592</v>
      </c>
      <c r="H2092" s="1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1050</v>
      </c>
      <c r="N2092" t="b">
        <v>1</v>
      </c>
    </row>
    <row r="2093" spans="1:14" x14ac:dyDescent="0.3">
      <c r="A2093" t="s">
        <v>3139</v>
      </c>
      <c r="B2093" t="s">
        <v>128</v>
      </c>
      <c r="C2093" s="1">
        <v>45248</v>
      </c>
      <c r="E2093" t="s">
        <v>39</v>
      </c>
      <c r="F2093">
        <v>13</v>
      </c>
      <c r="G2093" s="12">
        <v>637</v>
      </c>
      <c r="H2093" s="12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1047</v>
      </c>
      <c r="N2093" t="b">
        <v>1</v>
      </c>
    </row>
    <row r="2094" spans="1:14" x14ac:dyDescent="0.3">
      <c r="A2094" t="s">
        <v>3140</v>
      </c>
      <c r="B2094" t="s">
        <v>900</v>
      </c>
      <c r="C2094" s="1">
        <v>45653</v>
      </c>
      <c r="E2094" t="s">
        <v>39</v>
      </c>
      <c r="F2094">
        <v>40</v>
      </c>
      <c r="G2094" s="12">
        <v>1960</v>
      </c>
      <c r="H2094" s="12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1050</v>
      </c>
      <c r="N2094" t="b">
        <v>0</v>
      </c>
    </row>
    <row r="2095" spans="1:14" x14ac:dyDescent="0.3">
      <c r="A2095" t="s">
        <v>3141</v>
      </c>
      <c r="B2095" t="s">
        <v>700</v>
      </c>
      <c r="C2095" s="1">
        <v>45641</v>
      </c>
      <c r="E2095" t="s">
        <v>32</v>
      </c>
      <c r="F2095">
        <v>21</v>
      </c>
      <c r="G2095" s="12">
        <v>4179</v>
      </c>
      <c r="H2095" s="12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1047</v>
      </c>
      <c r="N2095" t="b">
        <v>1</v>
      </c>
    </row>
    <row r="2096" spans="1:14" x14ac:dyDescent="0.3">
      <c r="A2096" t="s">
        <v>3142</v>
      </c>
      <c r="B2096" t="s">
        <v>482</v>
      </c>
      <c r="C2096" s="1">
        <v>45650</v>
      </c>
      <c r="E2096" t="s">
        <v>39</v>
      </c>
      <c r="F2096">
        <v>69</v>
      </c>
      <c r="G2096" s="12">
        <v>3381</v>
      </c>
      <c r="H2096" s="12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1047</v>
      </c>
      <c r="N2096" t="b">
        <v>1</v>
      </c>
    </row>
    <row r="2097" spans="1:14" x14ac:dyDescent="0.3">
      <c r="A2097" t="s">
        <v>3143</v>
      </c>
      <c r="B2097" t="s">
        <v>244</v>
      </c>
      <c r="C2097" s="1">
        <v>45611</v>
      </c>
      <c r="E2097" t="s">
        <v>32</v>
      </c>
      <c r="F2097">
        <v>25</v>
      </c>
      <c r="G2097" s="12">
        <v>4975</v>
      </c>
      <c r="H2097" s="12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1047</v>
      </c>
      <c r="N2097" t="b">
        <v>1</v>
      </c>
    </row>
    <row r="2098" spans="1:14" x14ac:dyDescent="0.3">
      <c r="A2098" t="s">
        <v>3144</v>
      </c>
      <c r="B2098" t="s">
        <v>782</v>
      </c>
      <c r="C2098" s="1">
        <v>45636</v>
      </c>
      <c r="E2098" t="s">
        <v>15</v>
      </c>
      <c r="F2098">
        <v>17</v>
      </c>
      <c r="G2098" s="12">
        <v>0</v>
      </c>
      <c r="H2098" s="12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1050</v>
      </c>
      <c r="N2098" t="b">
        <v>0</v>
      </c>
    </row>
    <row r="2099" spans="1:14" x14ac:dyDescent="0.3">
      <c r="A2099" t="s">
        <v>3145</v>
      </c>
      <c r="B2099" t="s">
        <v>772</v>
      </c>
      <c r="C2099" s="1">
        <v>45653</v>
      </c>
      <c r="E2099" t="s">
        <v>15</v>
      </c>
      <c r="F2099">
        <v>71</v>
      </c>
      <c r="G2099" s="12">
        <v>1349</v>
      </c>
      <c r="H2099" s="12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1047</v>
      </c>
      <c r="N2099" t="b">
        <v>1</v>
      </c>
    </row>
    <row r="2100" spans="1:14" x14ac:dyDescent="0.3">
      <c r="A2100" t="s">
        <v>3146</v>
      </c>
      <c r="B2100" t="s">
        <v>414</v>
      </c>
      <c r="C2100" s="1">
        <v>45403</v>
      </c>
      <c r="E2100" t="s">
        <v>32</v>
      </c>
      <c r="F2100">
        <v>3</v>
      </c>
      <c r="G2100" s="12">
        <v>597</v>
      </c>
      <c r="H2100" s="12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1047</v>
      </c>
      <c r="N2100" t="b">
        <v>0</v>
      </c>
    </row>
    <row r="2101" spans="1:14" x14ac:dyDescent="0.3">
      <c r="A2101" t="s">
        <v>3147</v>
      </c>
      <c r="B2101" t="s">
        <v>978</v>
      </c>
      <c r="C2101" s="1">
        <v>45455</v>
      </c>
      <c r="E2101" t="s">
        <v>15</v>
      </c>
      <c r="F2101">
        <v>23</v>
      </c>
      <c r="G2101" s="12">
        <v>437</v>
      </c>
      <c r="H2101" s="12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1050</v>
      </c>
      <c r="N2101" t="b">
        <v>0</v>
      </c>
    </row>
    <row r="2102" spans="1:14" x14ac:dyDescent="0.3">
      <c r="A2102" t="s">
        <v>3148</v>
      </c>
      <c r="B2102" t="s">
        <v>1026</v>
      </c>
      <c r="C2102" s="1">
        <v>45623</v>
      </c>
      <c r="E2102" t="s">
        <v>15</v>
      </c>
      <c r="F2102">
        <v>24</v>
      </c>
      <c r="G2102" s="12">
        <v>456</v>
      </c>
      <c r="H2102" s="1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1047</v>
      </c>
      <c r="N2102" t="b">
        <v>1</v>
      </c>
    </row>
    <row r="2103" spans="1:14" x14ac:dyDescent="0.3">
      <c r="A2103" t="s">
        <v>3149</v>
      </c>
      <c r="B2103" t="s">
        <v>150</v>
      </c>
      <c r="C2103" s="1">
        <v>45601</v>
      </c>
      <c r="E2103" t="s">
        <v>32</v>
      </c>
      <c r="F2103">
        <v>16</v>
      </c>
      <c r="G2103" s="12">
        <v>3184</v>
      </c>
      <c r="H2103" s="12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1050</v>
      </c>
      <c r="N2103" t="b">
        <v>1</v>
      </c>
    </row>
    <row r="2104" spans="1:14" x14ac:dyDescent="0.3">
      <c r="A2104" t="s">
        <v>3150</v>
      </c>
      <c r="B2104" t="s">
        <v>636</v>
      </c>
      <c r="C2104" s="1">
        <v>45481</v>
      </c>
      <c r="E2104" t="s">
        <v>15</v>
      </c>
      <c r="F2104">
        <v>9</v>
      </c>
      <c r="G2104" s="12">
        <v>171</v>
      </c>
      <c r="H2104" s="12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1050</v>
      </c>
      <c r="N2104" t="b">
        <v>1</v>
      </c>
    </row>
    <row r="2105" spans="1:14" x14ac:dyDescent="0.3">
      <c r="A2105" t="s">
        <v>3151</v>
      </c>
      <c r="B2105" t="s">
        <v>280</v>
      </c>
      <c r="C2105" s="1">
        <v>44988</v>
      </c>
      <c r="E2105" t="s">
        <v>15</v>
      </c>
      <c r="F2105">
        <v>85</v>
      </c>
      <c r="G2105" s="12">
        <v>0</v>
      </c>
      <c r="H2105" s="12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1047</v>
      </c>
      <c r="N2105" t="b">
        <v>1</v>
      </c>
    </row>
    <row r="2106" spans="1:14" x14ac:dyDescent="0.3">
      <c r="A2106" t="s">
        <v>3152</v>
      </c>
      <c r="B2106" t="s">
        <v>436</v>
      </c>
      <c r="C2106" s="1">
        <v>45459</v>
      </c>
      <c r="E2106" t="s">
        <v>39</v>
      </c>
      <c r="F2106">
        <v>23</v>
      </c>
      <c r="G2106" s="12">
        <v>1127</v>
      </c>
      <c r="H2106" s="12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1047</v>
      </c>
      <c r="N2106" t="b">
        <v>1</v>
      </c>
    </row>
    <row r="2107" spans="1:14" x14ac:dyDescent="0.3">
      <c r="A2107" t="s">
        <v>3153</v>
      </c>
      <c r="B2107" t="s">
        <v>698</v>
      </c>
      <c r="C2107" s="1">
        <v>45445</v>
      </c>
      <c r="E2107" t="s">
        <v>32</v>
      </c>
      <c r="F2107">
        <v>41</v>
      </c>
      <c r="G2107" s="12">
        <v>8159</v>
      </c>
      <c r="H2107" s="12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1047</v>
      </c>
      <c r="N2107" t="b">
        <v>1</v>
      </c>
    </row>
    <row r="2108" spans="1:14" x14ac:dyDescent="0.3">
      <c r="A2108" t="s">
        <v>3154</v>
      </c>
      <c r="B2108" t="s">
        <v>826</v>
      </c>
      <c r="C2108" s="1">
        <v>45607</v>
      </c>
      <c r="E2108" t="s">
        <v>32</v>
      </c>
      <c r="F2108">
        <v>7</v>
      </c>
      <c r="G2108" s="12">
        <v>0</v>
      </c>
      <c r="H2108" s="12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1050</v>
      </c>
      <c r="N2108" t="b">
        <v>1</v>
      </c>
    </row>
    <row r="2109" spans="1:14" x14ac:dyDescent="0.3">
      <c r="A2109" t="s">
        <v>3155</v>
      </c>
      <c r="B2109" t="s">
        <v>310</v>
      </c>
      <c r="C2109" s="1">
        <v>45605</v>
      </c>
      <c r="E2109" t="s">
        <v>32</v>
      </c>
      <c r="F2109">
        <v>31</v>
      </c>
      <c r="G2109" s="12">
        <v>6169</v>
      </c>
      <c r="H2109" s="12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1050</v>
      </c>
      <c r="N2109" t="b">
        <v>1</v>
      </c>
    </row>
    <row r="2110" spans="1:14" x14ac:dyDescent="0.3">
      <c r="A2110" t="s">
        <v>3156</v>
      </c>
      <c r="B2110" t="s">
        <v>406</v>
      </c>
      <c r="C2110" s="1">
        <v>45378</v>
      </c>
      <c r="E2110" t="s">
        <v>15</v>
      </c>
      <c r="F2110">
        <v>8</v>
      </c>
      <c r="G2110" s="12">
        <v>152</v>
      </c>
      <c r="H2110" s="12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1047</v>
      </c>
      <c r="N2110" t="b">
        <v>1</v>
      </c>
    </row>
    <row r="2111" spans="1:14" x14ac:dyDescent="0.3">
      <c r="A2111" t="s">
        <v>3157</v>
      </c>
      <c r="B2111" t="s">
        <v>114</v>
      </c>
      <c r="C2111" s="1">
        <v>45123</v>
      </c>
      <c r="E2111" t="s">
        <v>39</v>
      </c>
      <c r="F2111">
        <v>34</v>
      </c>
      <c r="G2111" s="12">
        <v>1666</v>
      </c>
      <c r="H2111" s="12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1047</v>
      </c>
      <c r="N2111" t="b">
        <v>1</v>
      </c>
    </row>
    <row r="2112" spans="1:14" x14ac:dyDescent="0.3">
      <c r="A2112" t="s">
        <v>3158</v>
      </c>
      <c r="B2112" t="s">
        <v>49</v>
      </c>
      <c r="C2112" s="1">
        <v>45641</v>
      </c>
      <c r="E2112" t="s">
        <v>32</v>
      </c>
      <c r="F2112">
        <v>59</v>
      </c>
      <c r="G2112" s="12">
        <v>0</v>
      </c>
      <c r="H2112" s="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1050</v>
      </c>
      <c r="N2112" t="b">
        <v>1</v>
      </c>
    </row>
    <row r="2113" spans="1:14" x14ac:dyDescent="0.3">
      <c r="A2113" t="s">
        <v>3159</v>
      </c>
      <c r="B2113" t="s">
        <v>310</v>
      </c>
      <c r="C2113" s="1">
        <v>45637</v>
      </c>
      <c r="E2113" t="s">
        <v>32</v>
      </c>
      <c r="F2113">
        <v>31</v>
      </c>
      <c r="G2113" s="12">
        <v>6169</v>
      </c>
      <c r="H2113" s="12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1047</v>
      </c>
      <c r="N2113" t="b">
        <v>1</v>
      </c>
    </row>
    <row r="2114" spans="1:14" x14ac:dyDescent="0.3">
      <c r="A2114" t="s">
        <v>3160</v>
      </c>
      <c r="B2114" t="s">
        <v>842</v>
      </c>
      <c r="C2114" s="1">
        <v>45580</v>
      </c>
      <c r="E2114" t="s">
        <v>15</v>
      </c>
      <c r="F2114">
        <v>22</v>
      </c>
      <c r="G2114" s="12">
        <v>418</v>
      </c>
      <c r="H2114" s="12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1050</v>
      </c>
      <c r="N2114" t="b">
        <v>1</v>
      </c>
    </row>
    <row r="2115" spans="1:14" x14ac:dyDescent="0.3">
      <c r="A2115" t="s">
        <v>3161</v>
      </c>
      <c r="B2115" t="s">
        <v>524</v>
      </c>
      <c r="C2115" s="1">
        <v>45568</v>
      </c>
      <c r="D2115" s="1">
        <v>45623</v>
      </c>
      <c r="E2115" t="s">
        <v>32</v>
      </c>
      <c r="F2115">
        <v>7</v>
      </c>
      <c r="G2115" s="12">
        <v>1393</v>
      </c>
      <c r="H2115" s="12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1050</v>
      </c>
      <c r="N2115" t="b">
        <v>1</v>
      </c>
    </row>
    <row r="2116" spans="1:14" x14ac:dyDescent="0.3">
      <c r="A2116" t="s">
        <v>3162</v>
      </c>
      <c r="B2116" t="s">
        <v>614</v>
      </c>
      <c r="C2116" s="1">
        <v>45612</v>
      </c>
      <c r="E2116" t="s">
        <v>15</v>
      </c>
      <c r="F2116">
        <v>25</v>
      </c>
      <c r="G2116" s="12">
        <v>475</v>
      </c>
      <c r="H2116" s="12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1050</v>
      </c>
      <c r="N2116" t="b">
        <v>1</v>
      </c>
    </row>
    <row r="2117" spans="1:14" x14ac:dyDescent="0.3">
      <c r="A2117" t="s">
        <v>3163</v>
      </c>
      <c r="B2117" t="s">
        <v>93</v>
      </c>
      <c r="C2117" s="1">
        <v>45652</v>
      </c>
      <c r="E2117" t="s">
        <v>32</v>
      </c>
      <c r="F2117">
        <v>14</v>
      </c>
      <c r="G2117" s="12">
        <v>0</v>
      </c>
      <c r="H2117" s="12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1047</v>
      </c>
      <c r="N2117" t="b">
        <v>1</v>
      </c>
    </row>
    <row r="2118" spans="1:14" x14ac:dyDescent="0.3">
      <c r="A2118" t="s">
        <v>3164</v>
      </c>
      <c r="B2118" t="s">
        <v>444</v>
      </c>
      <c r="C2118" s="1">
        <v>45403</v>
      </c>
      <c r="E2118" t="s">
        <v>39</v>
      </c>
      <c r="F2118">
        <v>4</v>
      </c>
      <c r="G2118" s="12">
        <v>196</v>
      </c>
      <c r="H2118" s="12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1050</v>
      </c>
      <c r="N2118" t="b">
        <v>0</v>
      </c>
    </row>
    <row r="2119" spans="1:14" x14ac:dyDescent="0.3">
      <c r="A2119" t="s">
        <v>3165</v>
      </c>
      <c r="B2119" t="s">
        <v>93</v>
      </c>
      <c r="C2119" s="1">
        <v>45602</v>
      </c>
      <c r="E2119" t="s">
        <v>32</v>
      </c>
      <c r="F2119">
        <v>29</v>
      </c>
      <c r="G2119" s="12">
        <v>5771</v>
      </c>
      <c r="H2119" s="12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1047</v>
      </c>
      <c r="N2119" t="b">
        <v>0</v>
      </c>
    </row>
    <row r="2120" spans="1:14" x14ac:dyDescent="0.3">
      <c r="A2120" t="s">
        <v>3166</v>
      </c>
      <c r="B2120" t="s">
        <v>800</v>
      </c>
      <c r="C2120" s="1">
        <v>45259</v>
      </c>
      <c r="D2120" s="1">
        <v>45319</v>
      </c>
      <c r="E2120" t="s">
        <v>32</v>
      </c>
      <c r="F2120">
        <v>52</v>
      </c>
      <c r="G2120" s="12">
        <v>0</v>
      </c>
      <c r="H2120" s="12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1047</v>
      </c>
      <c r="N2120" t="b">
        <v>0</v>
      </c>
    </row>
    <row r="2121" spans="1:14" x14ac:dyDescent="0.3">
      <c r="A2121" t="s">
        <v>3167</v>
      </c>
      <c r="B2121" t="s">
        <v>912</v>
      </c>
      <c r="C2121" s="1">
        <v>45603</v>
      </c>
      <c r="D2121" s="1">
        <v>45614</v>
      </c>
      <c r="E2121" t="s">
        <v>32</v>
      </c>
      <c r="F2121">
        <v>9</v>
      </c>
      <c r="G2121" s="12">
        <v>0</v>
      </c>
      <c r="H2121" s="12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1047</v>
      </c>
      <c r="N2121" t="b">
        <v>1</v>
      </c>
    </row>
    <row r="2122" spans="1:14" x14ac:dyDescent="0.3">
      <c r="A2122" t="s">
        <v>3168</v>
      </c>
      <c r="B2122" t="s">
        <v>598</v>
      </c>
      <c r="C2122" s="1">
        <v>45646</v>
      </c>
      <c r="E2122" t="s">
        <v>39</v>
      </c>
      <c r="F2122">
        <v>24</v>
      </c>
      <c r="G2122" s="12">
        <v>1176</v>
      </c>
      <c r="H2122" s="1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1047</v>
      </c>
      <c r="N2122" t="b">
        <v>1</v>
      </c>
    </row>
    <row r="2123" spans="1:14" x14ac:dyDescent="0.3">
      <c r="A2123" t="s">
        <v>3169</v>
      </c>
      <c r="B2123" t="s">
        <v>68</v>
      </c>
      <c r="C2123" s="1">
        <v>45461</v>
      </c>
      <c r="D2123" s="1">
        <v>45513</v>
      </c>
      <c r="E2123" t="s">
        <v>32</v>
      </c>
      <c r="F2123">
        <v>14</v>
      </c>
      <c r="G2123" s="12">
        <v>0</v>
      </c>
      <c r="H2123" s="12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1047</v>
      </c>
      <c r="N2123" t="b">
        <v>1</v>
      </c>
    </row>
    <row r="2124" spans="1:14" x14ac:dyDescent="0.3">
      <c r="A2124" t="s">
        <v>3170</v>
      </c>
      <c r="B2124" t="s">
        <v>118</v>
      </c>
      <c r="C2124" s="1">
        <v>45622</v>
      </c>
      <c r="E2124" t="s">
        <v>39</v>
      </c>
      <c r="F2124">
        <v>4</v>
      </c>
      <c r="G2124" s="12">
        <v>196</v>
      </c>
      <c r="H2124" s="12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1047</v>
      </c>
      <c r="N2124" t="b">
        <v>1</v>
      </c>
    </row>
    <row r="2125" spans="1:14" x14ac:dyDescent="0.3">
      <c r="A2125" t="s">
        <v>3171</v>
      </c>
      <c r="B2125" t="s">
        <v>116</v>
      </c>
      <c r="C2125" s="1">
        <v>45126</v>
      </c>
      <c r="E2125" t="s">
        <v>32</v>
      </c>
      <c r="F2125">
        <v>14</v>
      </c>
      <c r="G2125" s="12">
        <v>2786</v>
      </c>
      <c r="H2125" s="12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1050</v>
      </c>
      <c r="N2125" t="b">
        <v>1</v>
      </c>
    </row>
    <row r="2126" spans="1:14" x14ac:dyDescent="0.3">
      <c r="A2126" t="s">
        <v>3172</v>
      </c>
      <c r="B2126" t="s">
        <v>402</v>
      </c>
      <c r="C2126" s="1">
        <v>45480</v>
      </c>
      <c r="D2126" s="1">
        <v>45588</v>
      </c>
      <c r="E2126" t="s">
        <v>15</v>
      </c>
      <c r="F2126">
        <v>28</v>
      </c>
      <c r="G2126" s="12">
        <v>0</v>
      </c>
      <c r="H2126" s="12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1047</v>
      </c>
      <c r="N2126" t="b">
        <v>0</v>
      </c>
    </row>
    <row r="2127" spans="1:14" x14ac:dyDescent="0.3">
      <c r="A2127" t="s">
        <v>3173</v>
      </c>
      <c r="B2127" t="s">
        <v>284</v>
      </c>
      <c r="C2127" s="1">
        <v>45285</v>
      </c>
      <c r="E2127" t="s">
        <v>15</v>
      </c>
      <c r="F2127">
        <v>23</v>
      </c>
      <c r="G2127" s="12">
        <v>437</v>
      </c>
      <c r="H2127" s="12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1050</v>
      </c>
      <c r="N2127" t="b">
        <v>0</v>
      </c>
    </row>
    <row r="2128" spans="1:14" x14ac:dyDescent="0.3">
      <c r="A2128" t="s">
        <v>3174</v>
      </c>
      <c r="B2128" t="s">
        <v>704</v>
      </c>
      <c r="C2128" s="1">
        <v>45620</v>
      </c>
      <c r="E2128" t="s">
        <v>39</v>
      </c>
      <c r="F2128">
        <v>87</v>
      </c>
      <c r="G2128" s="12">
        <v>4263</v>
      </c>
      <c r="H2128" s="12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1047</v>
      </c>
      <c r="N2128" t="b">
        <v>0</v>
      </c>
    </row>
    <row r="2129" spans="1:14" x14ac:dyDescent="0.3">
      <c r="A2129" t="s">
        <v>3175</v>
      </c>
      <c r="B2129" t="s">
        <v>620</v>
      </c>
      <c r="C2129" s="1">
        <v>45591</v>
      </c>
      <c r="E2129" t="s">
        <v>32</v>
      </c>
      <c r="F2129">
        <v>12</v>
      </c>
      <c r="G2129" s="12">
        <v>2388</v>
      </c>
      <c r="H2129" s="12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1050</v>
      </c>
      <c r="N2129" t="b">
        <v>1</v>
      </c>
    </row>
    <row r="2130" spans="1:14" x14ac:dyDescent="0.3">
      <c r="A2130" t="s">
        <v>3176</v>
      </c>
      <c r="B2130" t="s">
        <v>564</v>
      </c>
      <c r="C2130" s="1">
        <v>45657</v>
      </c>
      <c r="E2130" t="s">
        <v>32</v>
      </c>
      <c r="F2130">
        <v>45</v>
      </c>
      <c r="G2130" s="12">
        <v>8955</v>
      </c>
      <c r="H2130" s="12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1047</v>
      </c>
      <c r="N2130" t="b">
        <v>1</v>
      </c>
    </row>
    <row r="2131" spans="1:14" x14ac:dyDescent="0.3">
      <c r="A2131" t="s">
        <v>3177</v>
      </c>
      <c r="B2131" t="s">
        <v>734</v>
      </c>
      <c r="C2131" s="1">
        <v>45562</v>
      </c>
      <c r="E2131" t="s">
        <v>32</v>
      </c>
      <c r="F2131">
        <v>29</v>
      </c>
      <c r="G2131" s="12">
        <v>5771</v>
      </c>
      <c r="H2131" s="12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1047</v>
      </c>
      <c r="N2131" t="b">
        <v>1</v>
      </c>
    </row>
    <row r="2132" spans="1:14" x14ac:dyDescent="0.3">
      <c r="A2132" t="s">
        <v>3178</v>
      </c>
      <c r="B2132" t="s">
        <v>272</v>
      </c>
      <c r="C2132" s="1">
        <v>45344</v>
      </c>
      <c r="E2132" t="s">
        <v>15</v>
      </c>
      <c r="F2132">
        <v>44</v>
      </c>
      <c r="G2132" s="12">
        <v>836</v>
      </c>
      <c r="H2132" s="1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1047</v>
      </c>
      <c r="N2132" t="b">
        <v>1</v>
      </c>
    </row>
    <row r="2133" spans="1:14" x14ac:dyDescent="0.3">
      <c r="A2133" t="s">
        <v>3179</v>
      </c>
      <c r="B2133" t="s">
        <v>336</v>
      </c>
      <c r="C2133" s="1">
        <v>45633</v>
      </c>
      <c r="E2133" t="s">
        <v>15</v>
      </c>
      <c r="F2133">
        <v>2</v>
      </c>
      <c r="G2133" s="12">
        <v>38</v>
      </c>
      <c r="H2133" s="12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1047</v>
      </c>
      <c r="N2133" t="b">
        <v>1</v>
      </c>
    </row>
    <row r="2134" spans="1:14" x14ac:dyDescent="0.3">
      <c r="A2134" t="s">
        <v>3180</v>
      </c>
      <c r="B2134" t="s">
        <v>646</v>
      </c>
      <c r="C2134" s="1">
        <v>45568</v>
      </c>
      <c r="E2134" t="s">
        <v>15</v>
      </c>
      <c r="F2134">
        <v>11</v>
      </c>
      <c r="G2134" s="12">
        <v>0</v>
      </c>
      <c r="H2134" s="12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1050</v>
      </c>
      <c r="N2134" t="b">
        <v>1</v>
      </c>
    </row>
    <row r="2135" spans="1:14" x14ac:dyDescent="0.3">
      <c r="A2135" t="s">
        <v>3181</v>
      </c>
      <c r="B2135" t="s">
        <v>314</v>
      </c>
      <c r="C2135" s="1">
        <v>45166</v>
      </c>
      <c r="E2135" t="s">
        <v>32</v>
      </c>
      <c r="F2135">
        <v>13</v>
      </c>
      <c r="G2135" s="12">
        <v>2587</v>
      </c>
      <c r="H2135" s="12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1050</v>
      </c>
      <c r="N2135" t="b">
        <v>1</v>
      </c>
    </row>
    <row r="2136" spans="1:14" x14ac:dyDescent="0.3">
      <c r="A2136" t="s">
        <v>3182</v>
      </c>
      <c r="B2136" t="s">
        <v>106</v>
      </c>
      <c r="C2136" s="1">
        <v>45650</v>
      </c>
      <c r="E2136" t="s">
        <v>39</v>
      </c>
      <c r="F2136">
        <v>20</v>
      </c>
      <c r="G2136" s="12">
        <v>980</v>
      </c>
      <c r="H2136" s="12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1050</v>
      </c>
      <c r="N2136" t="b">
        <v>1</v>
      </c>
    </row>
    <row r="2137" spans="1:14" x14ac:dyDescent="0.3">
      <c r="A2137" t="s">
        <v>3183</v>
      </c>
      <c r="B2137" t="s">
        <v>420</v>
      </c>
      <c r="C2137" s="1">
        <v>45462</v>
      </c>
      <c r="E2137" t="s">
        <v>39</v>
      </c>
      <c r="F2137">
        <v>5</v>
      </c>
      <c r="G2137" s="12">
        <v>245</v>
      </c>
      <c r="H2137" s="12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1050</v>
      </c>
      <c r="N2137" t="b">
        <v>1</v>
      </c>
    </row>
    <row r="2138" spans="1:14" x14ac:dyDescent="0.3">
      <c r="A2138" t="s">
        <v>3184</v>
      </c>
      <c r="B2138" t="s">
        <v>114</v>
      </c>
      <c r="C2138" s="1">
        <v>45259</v>
      </c>
      <c r="E2138" t="s">
        <v>32</v>
      </c>
      <c r="F2138">
        <v>34</v>
      </c>
      <c r="G2138" s="12">
        <v>0</v>
      </c>
      <c r="H2138" s="12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1050</v>
      </c>
      <c r="N2138" t="b">
        <v>1</v>
      </c>
    </row>
    <row r="2139" spans="1:14" x14ac:dyDescent="0.3">
      <c r="A2139" t="s">
        <v>3185</v>
      </c>
      <c r="B2139" t="s">
        <v>992</v>
      </c>
      <c r="C2139" s="1">
        <v>45280</v>
      </c>
      <c r="E2139" t="s">
        <v>32</v>
      </c>
      <c r="F2139">
        <v>19</v>
      </c>
      <c r="G2139" s="12">
        <v>3781</v>
      </c>
      <c r="H2139" s="12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1047</v>
      </c>
      <c r="N2139" t="b">
        <v>1</v>
      </c>
    </row>
    <row r="2140" spans="1:14" x14ac:dyDescent="0.3">
      <c r="A2140" t="s">
        <v>3186</v>
      </c>
      <c r="B2140" t="s">
        <v>102</v>
      </c>
      <c r="C2140" s="1">
        <v>45333</v>
      </c>
      <c r="E2140" t="s">
        <v>32</v>
      </c>
      <c r="F2140">
        <v>7</v>
      </c>
      <c r="G2140" s="12">
        <v>1393</v>
      </c>
      <c r="H2140" s="12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1047</v>
      </c>
      <c r="N2140" t="b">
        <v>1</v>
      </c>
    </row>
    <row r="2141" spans="1:14" x14ac:dyDescent="0.3">
      <c r="A2141" t="s">
        <v>3187</v>
      </c>
      <c r="B2141" t="s">
        <v>760</v>
      </c>
      <c r="C2141" s="1">
        <v>45585</v>
      </c>
      <c r="E2141" t="s">
        <v>32</v>
      </c>
      <c r="F2141">
        <v>7</v>
      </c>
      <c r="G2141" s="12">
        <v>1393</v>
      </c>
      <c r="H2141" s="12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1047</v>
      </c>
      <c r="N2141" t="b">
        <v>1</v>
      </c>
    </row>
    <row r="2142" spans="1:14" x14ac:dyDescent="0.3">
      <c r="A2142" t="s">
        <v>3188</v>
      </c>
      <c r="B2142" t="s">
        <v>458</v>
      </c>
      <c r="C2142" s="1">
        <v>45617</v>
      </c>
      <c r="E2142" t="s">
        <v>15</v>
      </c>
      <c r="F2142">
        <v>7</v>
      </c>
      <c r="G2142" s="12">
        <v>133</v>
      </c>
      <c r="H2142" s="1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1050</v>
      </c>
      <c r="N2142" t="b">
        <v>1</v>
      </c>
    </row>
    <row r="2143" spans="1:14" x14ac:dyDescent="0.3">
      <c r="A2143" t="s">
        <v>3189</v>
      </c>
      <c r="B2143" t="s">
        <v>836</v>
      </c>
      <c r="C2143" s="1">
        <v>45638</v>
      </c>
      <c r="E2143" t="s">
        <v>39</v>
      </c>
      <c r="F2143">
        <v>117</v>
      </c>
      <c r="G2143" s="12">
        <v>5733</v>
      </c>
      <c r="H2143" s="12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1047</v>
      </c>
      <c r="N2143" t="b">
        <v>1</v>
      </c>
    </row>
    <row r="2144" spans="1:14" x14ac:dyDescent="0.3">
      <c r="A2144" t="s">
        <v>3190</v>
      </c>
      <c r="B2144" t="s">
        <v>1016</v>
      </c>
      <c r="C2144" s="1">
        <v>45622</v>
      </c>
      <c r="D2144" s="1">
        <v>45626</v>
      </c>
      <c r="E2144" t="s">
        <v>15</v>
      </c>
      <c r="F2144">
        <v>11</v>
      </c>
      <c r="G2144" s="12">
        <v>209</v>
      </c>
      <c r="H2144" s="12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1050</v>
      </c>
      <c r="N2144" t="b">
        <v>1</v>
      </c>
    </row>
    <row r="2145" spans="1:14" x14ac:dyDescent="0.3">
      <c r="A2145" t="s">
        <v>3191</v>
      </c>
      <c r="B2145" t="s">
        <v>156</v>
      </c>
      <c r="C2145" s="1">
        <v>45598</v>
      </c>
      <c r="E2145" t="s">
        <v>15</v>
      </c>
      <c r="F2145">
        <v>41</v>
      </c>
      <c r="G2145" s="12">
        <v>779</v>
      </c>
      <c r="H2145" s="12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1050</v>
      </c>
      <c r="N2145" t="b">
        <v>0</v>
      </c>
    </row>
    <row r="2146" spans="1:14" x14ac:dyDescent="0.3">
      <c r="A2146" t="s">
        <v>3192</v>
      </c>
      <c r="B2146" t="s">
        <v>95</v>
      </c>
      <c r="C2146" s="1">
        <v>45378</v>
      </c>
      <c r="E2146" t="s">
        <v>32</v>
      </c>
      <c r="F2146">
        <v>2</v>
      </c>
      <c r="G2146" s="12">
        <v>398</v>
      </c>
      <c r="H2146" s="12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1047</v>
      </c>
      <c r="N2146" t="b">
        <v>1</v>
      </c>
    </row>
    <row r="2147" spans="1:14" x14ac:dyDescent="0.3">
      <c r="A2147" t="s">
        <v>3193</v>
      </c>
      <c r="B2147" t="s">
        <v>400</v>
      </c>
      <c r="C2147" s="1">
        <v>45638</v>
      </c>
      <c r="E2147" t="s">
        <v>39</v>
      </c>
      <c r="F2147">
        <v>41</v>
      </c>
      <c r="G2147" s="12">
        <v>2009</v>
      </c>
      <c r="H2147" s="12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1047</v>
      </c>
      <c r="N2147" t="b">
        <v>0</v>
      </c>
    </row>
    <row r="2148" spans="1:14" x14ac:dyDescent="0.3">
      <c r="A2148" t="s">
        <v>3194</v>
      </c>
      <c r="B2148" t="s">
        <v>918</v>
      </c>
      <c r="C2148" s="1">
        <v>45638</v>
      </c>
      <c r="E2148" t="s">
        <v>39</v>
      </c>
      <c r="F2148">
        <v>37</v>
      </c>
      <c r="G2148" s="12">
        <v>1813</v>
      </c>
      <c r="H2148" s="12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1047</v>
      </c>
      <c r="N2148" t="b">
        <v>1</v>
      </c>
    </row>
    <row r="2149" spans="1:14" x14ac:dyDescent="0.3">
      <c r="A2149" t="s">
        <v>3195</v>
      </c>
      <c r="B2149" t="s">
        <v>130</v>
      </c>
      <c r="C2149" s="1">
        <v>45552</v>
      </c>
      <c r="E2149" t="s">
        <v>15</v>
      </c>
      <c r="F2149">
        <v>47</v>
      </c>
      <c r="G2149" s="12">
        <v>0</v>
      </c>
      <c r="H2149" s="12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1050</v>
      </c>
      <c r="N2149" t="b">
        <v>1</v>
      </c>
    </row>
    <row r="2150" spans="1:14" x14ac:dyDescent="0.3">
      <c r="A2150" t="s">
        <v>3196</v>
      </c>
      <c r="B2150" t="s">
        <v>1004</v>
      </c>
      <c r="C2150" s="1">
        <v>45203</v>
      </c>
      <c r="D2150" s="1">
        <v>45292</v>
      </c>
      <c r="E2150" t="s">
        <v>15</v>
      </c>
      <c r="F2150">
        <v>21</v>
      </c>
      <c r="G2150" s="12">
        <v>399</v>
      </c>
      <c r="H2150" s="12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1050</v>
      </c>
      <c r="N2150" t="b">
        <v>1</v>
      </c>
    </row>
    <row r="2151" spans="1:14" x14ac:dyDescent="0.3">
      <c r="A2151" t="s">
        <v>3197</v>
      </c>
      <c r="B2151" t="s">
        <v>632</v>
      </c>
      <c r="C2151" s="1">
        <v>45497</v>
      </c>
      <c r="E2151" t="s">
        <v>15</v>
      </c>
      <c r="F2151">
        <v>17</v>
      </c>
      <c r="G2151" s="12">
        <v>323</v>
      </c>
      <c r="H2151" s="12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1050</v>
      </c>
      <c r="N2151" t="b">
        <v>1</v>
      </c>
    </row>
    <row r="2152" spans="1:14" x14ac:dyDescent="0.3">
      <c r="A2152" t="s">
        <v>3198</v>
      </c>
      <c r="B2152" t="s">
        <v>746</v>
      </c>
      <c r="C2152" s="1">
        <v>45588</v>
      </c>
      <c r="D2152" s="1">
        <v>45622</v>
      </c>
      <c r="E2152" t="s">
        <v>39</v>
      </c>
      <c r="F2152">
        <v>87</v>
      </c>
      <c r="G2152" s="12">
        <v>4263</v>
      </c>
      <c r="H2152" s="1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1047</v>
      </c>
      <c r="N2152" t="b">
        <v>1</v>
      </c>
    </row>
    <row r="2153" spans="1:14" x14ac:dyDescent="0.3">
      <c r="A2153" t="s">
        <v>3199</v>
      </c>
      <c r="B2153" t="s">
        <v>948</v>
      </c>
      <c r="C2153" s="1">
        <v>45526</v>
      </c>
      <c r="E2153" t="s">
        <v>15</v>
      </c>
      <c r="F2153">
        <v>14</v>
      </c>
      <c r="G2153" s="12">
        <v>266</v>
      </c>
      <c r="H2153" s="12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1050</v>
      </c>
      <c r="N2153" t="b">
        <v>1</v>
      </c>
    </row>
    <row r="2154" spans="1:14" x14ac:dyDescent="0.3">
      <c r="A2154" t="s">
        <v>3200</v>
      </c>
      <c r="B2154" t="s">
        <v>998</v>
      </c>
      <c r="C2154" s="1">
        <v>45381</v>
      </c>
      <c r="E2154" t="s">
        <v>15</v>
      </c>
      <c r="F2154">
        <v>40</v>
      </c>
      <c r="G2154" s="12">
        <v>760</v>
      </c>
      <c r="H2154" s="12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1050</v>
      </c>
      <c r="N2154" t="b">
        <v>1</v>
      </c>
    </row>
    <row r="2155" spans="1:14" x14ac:dyDescent="0.3">
      <c r="A2155" t="s">
        <v>3201</v>
      </c>
      <c r="B2155" t="s">
        <v>854</v>
      </c>
      <c r="C2155" s="1">
        <v>45632</v>
      </c>
      <c r="E2155" t="s">
        <v>32</v>
      </c>
      <c r="F2155">
        <v>69</v>
      </c>
      <c r="G2155" s="12">
        <v>13731</v>
      </c>
      <c r="H2155" s="12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1050</v>
      </c>
      <c r="N2155" t="b">
        <v>1</v>
      </c>
    </row>
    <row r="2156" spans="1:14" x14ac:dyDescent="0.3">
      <c r="A2156" t="s">
        <v>3202</v>
      </c>
      <c r="B2156" t="s">
        <v>518</v>
      </c>
      <c r="C2156" s="1">
        <v>45558</v>
      </c>
      <c r="E2156" t="s">
        <v>15</v>
      </c>
      <c r="F2156">
        <v>21</v>
      </c>
      <c r="G2156" s="12">
        <v>399</v>
      </c>
      <c r="H2156" s="12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1050</v>
      </c>
      <c r="N2156" t="b">
        <v>1</v>
      </c>
    </row>
    <row r="2157" spans="1:14" x14ac:dyDescent="0.3">
      <c r="A2157" t="s">
        <v>3203</v>
      </c>
      <c r="B2157" t="s">
        <v>29</v>
      </c>
      <c r="C2157" s="1">
        <v>45657</v>
      </c>
      <c r="D2157" s="1">
        <v>45657</v>
      </c>
      <c r="E2157" t="s">
        <v>32</v>
      </c>
      <c r="F2157">
        <v>109</v>
      </c>
      <c r="G2157" s="12">
        <v>21691</v>
      </c>
      <c r="H2157" s="12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1047</v>
      </c>
      <c r="N2157" t="b">
        <v>1</v>
      </c>
    </row>
    <row r="2158" spans="1:14" x14ac:dyDescent="0.3">
      <c r="A2158" t="s">
        <v>3204</v>
      </c>
      <c r="B2158" t="s">
        <v>176</v>
      </c>
      <c r="C2158" s="1">
        <v>45642</v>
      </c>
      <c r="E2158" t="s">
        <v>32</v>
      </c>
      <c r="F2158">
        <v>37</v>
      </c>
      <c r="G2158" s="12">
        <v>7363</v>
      </c>
      <c r="H2158" s="12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1050</v>
      </c>
      <c r="N2158" t="b">
        <v>1</v>
      </c>
    </row>
    <row r="2159" spans="1:14" x14ac:dyDescent="0.3">
      <c r="A2159" t="s">
        <v>3205</v>
      </c>
      <c r="B2159" t="s">
        <v>83</v>
      </c>
      <c r="C2159" s="1">
        <v>45423</v>
      </c>
      <c r="E2159" t="s">
        <v>32</v>
      </c>
      <c r="F2159">
        <v>19</v>
      </c>
      <c r="G2159" s="12">
        <v>3781</v>
      </c>
      <c r="H2159" s="12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1047</v>
      </c>
      <c r="N2159" t="b">
        <v>1</v>
      </c>
    </row>
    <row r="2160" spans="1:14" x14ac:dyDescent="0.3">
      <c r="A2160" t="s">
        <v>3206</v>
      </c>
      <c r="B2160" t="s">
        <v>724</v>
      </c>
      <c r="C2160" s="1">
        <v>45633</v>
      </c>
      <c r="E2160" t="s">
        <v>39</v>
      </c>
      <c r="F2160">
        <v>31</v>
      </c>
      <c r="G2160" s="12">
        <v>1519</v>
      </c>
      <c r="H2160" s="12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1050</v>
      </c>
      <c r="N2160" t="b">
        <v>0</v>
      </c>
    </row>
    <row r="2161" spans="1:14" x14ac:dyDescent="0.3">
      <c r="A2161" t="s">
        <v>3207</v>
      </c>
      <c r="B2161" t="s">
        <v>216</v>
      </c>
      <c r="C2161" s="1">
        <v>45641</v>
      </c>
      <c r="E2161" t="s">
        <v>39</v>
      </c>
      <c r="F2161">
        <v>31</v>
      </c>
      <c r="G2161" s="12">
        <v>1519</v>
      </c>
      <c r="H2161" s="12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1050</v>
      </c>
      <c r="N2161" t="b">
        <v>1</v>
      </c>
    </row>
    <row r="2162" spans="1:14" x14ac:dyDescent="0.3">
      <c r="A2162" t="s">
        <v>3208</v>
      </c>
      <c r="B2162" t="s">
        <v>544</v>
      </c>
      <c r="C2162" s="1">
        <v>45567</v>
      </c>
      <c r="E2162" t="s">
        <v>39</v>
      </c>
      <c r="F2162">
        <v>69</v>
      </c>
      <c r="G2162" s="12">
        <v>3381</v>
      </c>
      <c r="H2162" s="1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1050</v>
      </c>
      <c r="N2162" t="b">
        <v>1</v>
      </c>
    </row>
    <row r="2163" spans="1:14" x14ac:dyDescent="0.3">
      <c r="A2163" t="s">
        <v>3209</v>
      </c>
      <c r="B2163" t="s">
        <v>562</v>
      </c>
      <c r="C2163" s="1">
        <v>45600</v>
      </c>
      <c r="E2163" t="s">
        <v>15</v>
      </c>
      <c r="F2163">
        <v>23</v>
      </c>
      <c r="G2163" s="12">
        <v>437</v>
      </c>
      <c r="H2163" s="12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1050</v>
      </c>
      <c r="N2163" t="b">
        <v>0</v>
      </c>
    </row>
    <row r="2164" spans="1:14" x14ac:dyDescent="0.3">
      <c r="A2164" t="s">
        <v>3210</v>
      </c>
      <c r="B2164" t="s">
        <v>680</v>
      </c>
      <c r="C2164" s="1">
        <v>45626</v>
      </c>
      <c r="E2164" t="s">
        <v>39</v>
      </c>
      <c r="F2164">
        <v>6</v>
      </c>
      <c r="G2164" s="12">
        <v>294</v>
      </c>
      <c r="H2164" s="12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1050</v>
      </c>
      <c r="N2164" t="b">
        <v>0</v>
      </c>
    </row>
    <row r="2165" spans="1:14" x14ac:dyDescent="0.3">
      <c r="A2165" t="s">
        <v>3211</v>
      </c>
      <c r="B2165" t="s">
        <v>818</v>
      </c>
      <c r="C2165" s="1">
        <v>45403</v>
      </c>
      <c r="D2165" s="1">
        <v>45565</v>
      </c>
      <c r="E2165" t="s">
        <v>15</v>
      </c>
      <c r="F2165">
        <v>20</v>
      </c>
      <c r="G2165" s="12">
        <v>380</v>
      </c>
      <c r="H2165" s="12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1047</v>
      </c>
      <c r="N2165" t="b">
        <v>1</v>
      </c>
    </row>
    <row r="2166" spans="1:14" x14ac:dyDescent="0.3">
      <c r="A2166" t="s">
        <v>3212</v>
      </c>
      <c r="B2166" t="s">
        <v>108</v>
      </c>
      <c r="C2166" s="1">
        <v>45622</v>
      </c>
      <c r="D2166" s="1">
        <v>45632</v>
      </c>
      <c r="E2166" t="s">
        <v>15</v>
      </c>
      <c r="F2166">
        <v>4</v>
      </c>
      <c r="G2166" s="12">
        <v>76</v>
      </c>
      <c r="H2166" s="12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1047</v>
      </c>
      <c r="N2166" t="b">
        <v>1</v>
      </c>
    </row>
    <row r="2167" spans="1:14" x14ac:dyDescent="0.3">
      <c r="A2167" t="s">
        <v>3213</v>
      </c>
      <c r="B2167" t="s">
        <v>116</v>
      </c>
      <c r="C2167" s="1">
        <v>45291</v>
      </c>
      <c r="E2167" t="s">
        <v>32</v>
      </c>
      <c r="F2167">
        <v>40</v>
      </c>
      <c r="G2167" s="12">
        <v>7960</v>
      </c>
      <c r="H2167" s="12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1050</v>
      </c>
      <c r="N2167" t="b">
        <v>1</v>
      </c>
    </row>
    <row r="2168" spans="1:14" x14ac:dyDescent="0.3">
      <c r="A2168" t="s">
        <v>3214</v>
      </c>
      <c r="B2168" t="s">
        <v>856</v>
      </c>
      <c r="C2168" s="1">
        <v>45456</v>
      </c>
      <c r="E2168" t="s">
        <v>39</v>
      </c>
      <c r="F2168">
        <v>29</v>
      </c>
      <c r="G2168" s="12">
        <v>1421</v>
      </c>
      <c r="H2168" s="12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1047</v>
      </c>
      <c r="N2168" t="b">
        <v>0</v>
      </c>
    </row>
    <row r="2169" spans="1:14" x14ac:dyDescent="0.3">
      <c r="A2169" t="s">
        <v>3215</v>
      </c>
      <c r="B2169" t="s">
        <v>520</v>
      </c>
      <c r="C2169" s="1">
        <v>45614</v>
      </c>
      <c r="D2169" s="1">
        <v>45657</v>
      </c>
      <c r="E2169" t="s">
        <v>32</v>
      </c>
      <c r="F2169">
        <v>41</v>
      </c>
      <c r="G2169" s="12">
        <v>8159</v>
      </c>
      <c r="H2169" s="12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1047</v>
      </c>
      <c r="N2169" t="b">
        <v>1</v>
      </c>
    </row>
    <row r="2170" spans="1:14" x14ac:dyDescent="0.3">
      <c r="A2170" t="s">
        <v>3216</v>
      </c>
      <c r="B2170" t="s">
        <v>444</v>
      </c>
      <c r="C2170" s="1">
        <v>45400</v>
      </c>
      <c r="E2170" t="s">
        <v>32</v>
      </c>
      <c r="F2170">
        <v>53</v>
      </c>
      <c r="G2170" s="12">
        <v>10547</v>
      </c>
      <c r="H2170" s="12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1047</v>
      </c>
      <c r="N2170" t="b">
        <v>1</v>
      </c>
    </row>
    <row r="2171" spans="1:14" x14ac:dyDescent="0.3">
      <c r="A2171" t="s">
        <v>3217</v>
      </c>
      <c r="B2171" t="s">
        <v>962</v>
      </c>
      <c r="C2171" s="1">
        <v>45615</v>
      </c>
      <c r="E2171" t="s">
        <v>32</v>
      </c>
      <c r="F2171">
        <v>19</v>
      </c>
      <c r="G2171" s="12">
        <v>3781</v>
      </c>
      <c r="H2171" s="12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1047</v>
      </c>
      <c r="N2171" t="b">
        <v>1</v>
      </c>
    </row>
    <row r="2172" spans="1:14" x14ac:dyDescent="0.3">
      <c r="A2172" t="s">
        <v>3218</v>
      </c>
      <c r="B2172" t="s">
        <v>760</v>
      </c>
      <c r="C2172" s="1">
        <v>45612</v>
      </c>
      <c r="E2172" t="s">
        <v>32</v>
      </c>
      <c r="F2172">
        <v>30</v>
      </c>
      <c r="G2172" s="12">
        <v>5970</v>
      </c>
      <c r="H2172" s="1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1050</v>
      </c>
      <c r="N2172" t="b">
        <v>1</v>
      </c>
    </row>
    <row r="2173" spans="1:14" x14ac:dyDescent="0.3">
      <c r="A2173" t="s">
        <v>3219</v>
      </c>
      <c r="B2173" t="s">
        <v>280</v>
      </c>
      <c r="C2173" s="1">
        <v>45631</v>
      </c>
      <c r="E2173" t="s">
        <v>32</v>
      </c>
      <c r="F2173">
        <v>10</v>
      </c>
      <c r="G2173" s="12">
        <v>1990</v>
      </c>
      <c r="H2173" s="12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1047</v>
      </c>
      <c r="N2173" t="b">
        <v>0</v>
      </c>
    </row>
    <row r="2174" spans="1:14" x14ac:dyDescent="0.3">
      <c r="A2174" t="s">
        <v>3220</v>
      </c>
      <c r="B2174" t="s">
        <v>650</v>
      </c>
      <c r="C2174" s="1">
        <v>45627</v>
      </c>
      <c r="E2174" t="s">
        <v>15</v>
      </c>
      <c r="F2174">
        <v>3</v>
      </c>
      <c r="G2174" s="12">
        <v>57</v>
      </c>
      <c r="H2174" s="12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1047</v>
      </c>
      <c r="N2174" t="b">
        <v>1</v>
      </c>
    </row>
    <row r="2175" spans="1:14" x14ac:dyDescent="0.3">
      <c r="A2175" t="s">
        <v>3221</v>
      </c>
      <c r="B2175" t="s">
        <v>208</v>
      </c>
      <c r="C2175" s="1">
        <v>45540</v>
      </c>
      <c r="E2175" t="s">
        <v>39</v>
      </c>
      <c r="F2175">
        <v>40</v>
      </c>
      <c r="G2175" s="12">
        <v>1960</v>
      </c>
      <c r="H2175" s="12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1047</v>
      </c>
      <c r="N2175" t="b">
        <v>1</v>
      </c>
    </row>
    <row r="2176" spans="1:14" x14ac:dyDescent="0.3">
      <c r="A2176" t="s">
        <v>3222</v>
      </c>
      <c r="B2176" t="s">
        <v>556</v>
      </c>
      <c r="C2176" s="1">
        <v>45566</v>
      </c>
      <c r="E2176" t="s">
        <v>15</v>
      </c>
      <c r="F2176">
        <v>58</v>
      </c>
      <c r="G2176" s="12">
        <v>1102</v>
      </c>
      <c r="H2176" s="12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1050</v>
      </c>
      <c r="N2176" t="b">
        <v>1</v>
      </c>
    </row>
    <row r="2177" spans="1:14" x14ac:dyDescent="0.3">
      <c r="A2177" t="s">
        <v>3223</v>
      </c>
      <c r="B2177" t="s">
        <v>536</v>
      </c>
      <c r="C2177" s="1">
        <v>45635</v>
      </c>
      <c r="E2177" t="s">
        <v>15</v>
      </c>
      <c r="F2177">
        <v>31</v>
      </c>
      <c r="G2177" s="12">
        <v>0</v>
      </c>
      <c r="H2177" s="12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1050</v>
      </c>
      <c r="N2177" t="b">
        <v>1</v>
      </c>
    </row>
    <row r="2178" spans="1:14" x14ac:dyDescent="0.3">
      <c r="A2178" t="s">
        <v>3224</v>
      </c>
      <c r="B2178" t="s">
        <v>1022</v>
      </c>
      <c r="C2178" s="1">
        <v>45338</v>
      </c>
      <c r="E2178" t="s">
        <v>39</v>
      </c>
      <c r="F2178">
        <v>13</v>
      </c>
      <c r="G2178" s="12">
        <v>637</v>
      </c>
      <c r="H2178" s="12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1047</v>
      </c>
      <c r="N2178" t="b">
        <v>1</v>
      </c>
    </row>
    <row r="2179" spans="1:14" x14ac:dyDescent="0.3">
      <c r="A2179" t="s">
        <v>3225</v>
      </c>
      <c r="B2179" t="s">
        <v>880</v>
      </c>
      <c r="C2179" s="1">
        <v>45581</v>
      </c>
      <c r="E2179" t="s">
        <v>15</v>
      </c>
      <c r="F2179">
        <v>12</v>
      </c>
      <c r="G2179" s="12">
        <v>228</v>
      </c>
      <c r="H2179" s="12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1050</v>
      </c>
      <c r="N2179" t="b">
        <v>0</v>
      </c>
    </row>
    <row r="2180" spans="1:14" x14ac:dyDescent="0.3">
      <c r="A2180" t="s">
        <v>3226</v>
      </c>
      <c r="B2180" t="s">
        <v>336</v>
      </c>
      <c r="C2180" s="1">
        <v>45537</v>
      </c>
      <c r="E2180" t="s">
        <v>39</v>
      </c>
      <c r="F2180">
        <v>29</v>
      </c>
      <c r="G2180" s="12">
        <v>1421</v>
      </c>
      <c r="H2180" s="12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1050</v>
      </c>
      <c r="N2180" t="b">
        <v>0</v>
      </c>
    </row>
    <row r="2181" spans="1:14" x14ac:dyDescent="0.3">
      <c r="A2181" t="s">
        <v>3227</v>
      </c>
      <c r="B2181" t="s">
        <v>248</v>
      </c>
      <c r="C2181" s="1">
        <v>44980</v>
      </c>
      <c r="E2181" t="s">
        <v>32</v>
      </c>
      <c r="F2181">
        <v>18</v>
      </c>
      <c r="G2181" s="12">
        <v>3582</v>
      </c>
      <c r="H2181" s="12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1050</v>
      </c>
      <c r="N2181" t="b">
        <v>1</v>
      </c>
    </row>
    <row r="2182" spans="1:14" x14ac:dyDescent="0.3">
      <c r="A2182" t="s">
        <v>3228</v>
      </c>
      <c r="B2182" t="s">
        <v>252</v>
      </c>
      <c r="C2182" s="1">
        <v>45407</v>
      </c>
      <c r="E2182" t="s">
        <v>32</v>
      </c>
      <c r="F2182">
        <v>13</v>
      </c>
      <c r="G2182" s="12">
        <v>0</v>
      </c>
      <c r="H2182" s="1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1047</v>
      </c>
      <c r="N2182" t="b">
        <v>1</v>
      </c>
    </row>
    <row r="2183" spans="1:14" x14ac:dyDescent="0.3">
      <c r="A2183" t="s">
        <v>3229</v>
      </c>
      <c r="B2183" t="s">
        <v>986</v>
      </c>
      <c r="C2183" s="1">
        <v>45387</v>
      </c>
      <c r="E2183" t="s">
        <v>32</v>
      </c>
      <c r="F2183">
        <v>80</v>
      </c>
      <c r="G2183" s="12">
        <v>15920</v>
      </c>
      <c r="H2183" s="12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1050</v>
      </c>
      <c r="N2183" t="b">
        <v>0</v>
      </c>
    </row>
    <row r="2184" spans="1:14" x14ac:dyDescent="0.3">
      <c r="A2184" t="s">
        <v>3230</v>
      </c>
      <c r="B2184" t="s">
        <v>87</v>
      </c>
      <c r="C2184" s="1">
        <v>45378</v>
      </c>
      <c r="E2184" t="s">
        <v>15</v>
      </c>
      <c r="F2184">
        <v>34</v>
      </c>
      <c r="G2184" s="12">
        <v>646</v>
      </c>
      <c r="H2184" s="12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1050</v>
      </c>
      <c r="N2184" t="b">
        <v>0</v>
      </c>
    </row>
    <row r="2185" spans="1:14" x14ac:dyDescent="0.3">
      <c r="A2185" t="s">
        <v>3231</v>
      </c>
      <c r="B2185" t="s">
        <v>366</v>
      </c>
      <c r="C2185" s="1">
        <v>45384</v>
      </c>
      <c r="E2185" t="s">
        <v>39</v>
      </c>
      <c r="F2185">
        <v>23</v>
      </c>
      <c r="G2185" s="12">
        <v>1127</v>
      </c>
      <c r="H2185" s="12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1047</v>
      </c>
      <c r="N2185" t="b">
        <v>1</v>
      </c>
    </row>
    <row r="2186" spans="1:14" x14ac:dyDescent="0.3">
      <c r="A2186" t="s">
        <v>3232</v>
      </c>
      <c r="B2186" t="s">
        <v>21</v>
      </c>
      <c r="C2186" s="1">
        <v>45575</v>
      </c>
      <c r="E2186" t="s">
        <v>32</v>
      </c>
      <c r="F2186">
        <v>29</v>
      </c>
      <c r="G2186" s="12">
        <v>5771</v>
      </c>
      <c r="H2186" s="12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1047</v>
      </c>
      <c r="N2186" t="b">
        <v>1</v>
      </c>
    </row>
    <row r="2187" spans="1:14" x14ac:dyDescent="0.3">
      <c r="A2187" t="s">
        <v>3233</v>
      </c>
      <c r="B2187" t="s">
        <v>440</v>
      </c>
      <c r="C2187" s="1">
        <v>45624</v>
      </c>
      <c r="E2187" t="s">
        <v>15</v>
      </c>
      <c r="F2187">
        <v>50</v>
      </c>
      <c r="G2187" s="12">
        <v>950</v>
      </c>
      <c r="H2187" s="12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1047</v>
      </c>
      <c r="N2187" t="b">
        <v>0</v>
      </c>
    </row>
    <row r="2188" spans="1:14" x14ac:dyDescent="0.3">
      <c r="A2188" t="s">
        <v>3234</v>
      </c>
      <c r="B2188" t="s">
        <v>470</v>
      </c>
      <c r="C2188" s="1">
        <v>45487</v>
      </c>
      <c r="E2188" t="s">
        <v>15</v>
      </c>
      <c r="F2188">
        <v>8</v>
      </c>
      <c r="G2188" s="12">
        <v>152</v>
      </c>
      <c r="H2188" s="12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1047</v>
      </c>
      <c r="N2188" t="b">
        <v>1</v>
      </c>
    </row>
    <row r="2189" spans="1:14" x14ac:dyDescent="0.3">
      <c r="A2189" t="s">
        <v>3235</v>
      </c>
      <c r="B2189" t="s">
        <v>570</v>
      </c>
      <c r="C2189" s="1">
        <v>45603</v>
      </c>
      <c r="E2189" t="s">
        <v>15</v>
      </c>
      <c r="F2189">
        <v>83</v>
      </c>
      <c r="G2189" s="12">
        <v>1577</v>
      </c>
      <c r="H2189" s="12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1050</v>
      </c>
      <c r="N2189" t="b">
        <v>1</v>
      </c>
    </row>
    <row r="2190" spans="1:14" x14ac:dyDescent="0.3">
      <c r="A2190" t="s">
        <v>3236</v>
      </c>
      <c r="B2190" t="s">
        <v>156</v>
      </c>
      <c r="C2190" s="1">
        <v>45586</v>
      </c>
      <c r="E2190" t="s">
        <v>15</v>
      </c>
      <c r="F2190">
        <v>21</v>
      </c>
      <c r="G2190" s="12">
        <v>0</v>
      </c>
      <c r="H2190" s="12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1047</v>
      </c>
      <c r="N2190" t="b">
        <v>1</v>
      </c>
    </row>
    <row r="2191" spans="1:14" x14ac:dyDescent="0.3">
      <c r="A2191" t="s">
        <v>3237</v>
      </c>
      <c r="B2191" t="s">
        <v>816</v>
      </c>
      <c r="C2191" s="1">
        <v>45555</v>
      </c>
      <c r="E2191" t="s">
        <v>15</v>
      </c>
      <c r="F2191">
        <v>18</v>
      </c>
      <c r="G2191" s="12">
        <v>342</v>
      </c>
      <c r="H2191" s="12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1050</v>
      </c>
      <c r="N2191" t="b">
        <v>1</v>
      </c>
    </row>
    <row r="2192" spans="1:14" x14ac:dyDescent="0.3">
      <c r="A2192" t="s">
        <v>3238</v>
      </c>
      <c r="B2192" t="s">
        <v>434</v>
      </c>
      <c r="C2192" s="1">
        <v>45505</v>
      </c>
      <c r="E2192" t="s">
        <v>39</v>
      </c>
      <c r="F2192">
        <v>15</v>
      </c>
      <c r="G2192" s="12">
        <v>735</v>
      </c>
      <c r="H2192" s="1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1050</v>
      </c>
      <c r="N2192" t="b">
        <v>1</v>
      </c>
    </row>
    <row r="2193" spans="1:14" x14ac:dyDescent="0.3">
      <c r="A2193" t="s">
        <v>3239</v>
      </c>
      <c r="B2193" t="s">
        <v>468</v>
      </c>
      <c r="C2193" s="1">
        <v>45283</v>
      </c>
      <c r="E2193" t="s">
        <v>32</v>
      </c>
      <c r="F2193">
        <v>42</v>
      </c>
      <c r="G2193" s="12">
        <v>8358</v>
      </c>
      <c r="H2193" s="12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1050</v>
      </c>
      <c r="N2193" t="b">
        <v>1</v>
      </c>
    </row>
    <row r="2194" spans="1:14" x14ac:dyDescent="0.3">
      <c r="A2194" t="s">
        <v>3240</v>
      </c>
      <c r="B2194" t="s">
        <v>140</v>
      </c>
      <c r="C2194" s="1">
        <v>45584</v>
      </c>
      <c r="E2194" t="s">
        <v>32</v>
      </c>
      <c r="F2194">
        <v>36</v>
      </c>
      <c r="G2194" s="12">
        <v>7164</v>
      </c>
      <c r="H2194" s="12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1050</v>
      </c>
      <c r="N2194" t="b">
        <v>1</v>
      </c>
    </row>
    <row r="2195" spans="1:14" x14ac:dyDescent="0.3">
      <c r="A2195" t="s">
        <v>3241</v>
      </c>
      <c r="B2195" t="s">
        <v>194</v>
      </c>
      <c r="C2195" s="1">
        <v>45251</v>
      </c>
      <c r="E2195" t="s">
        <v>39</v>
      </c>
      <c r="F2195">
        <v>11</v>
      </c>
      <c r="G2195" s="12">
        <v>539</v>
      </c>
      <c r="H2195" s="12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1050</v>
      </c>
      <c r="N2195" t="b">
        <v>1</v>
      </c>
    </row>
    <row r="2196" spans="1:14" x14ac:dyDescent="0.3">
      <c r="A2196" t="s">
        <v>3242</v>
      </c>
      <c r="B2196" t="s">
        <v>21</v>
      </c>
      <c r="C2196" s="1">
        <v>45576</v>
      </c>
      <c r="E2196" t="s">
        <v>32</v>
      </c>
      <c r="F2196">
        <v>2</v>
      </c>
      <c r="G2196" s="12">
        <v>398</v>
      </c>
      <c r="H2196" s="12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1047</v>
      </c>
      <c r="N2196" t="b">
        <v>1</v>
      </c>
    </row>
    <row r="2197" spans="1:14" x14ac:dyDescent="0.3">
      <c r="A2197" t="s">
        <v>3243</v>
      </c>
      <c r="B2197" t="s">
        <v>142</v>
      </c>
      <c r="C2197" s="1">
        <v>45315</v>
      </c>
      <c r="E2197" t="s">
        <v>39</v>
      </c>
      <c r="F2197">
        <v>13</v>
      </c>
      <c r="G2197" s="12">
        <v>637</v>
      </c>
      <c r="H2197" s="12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1047</v>
      </c>
      <c r="N2197" t="b">
        <v>1</v>
      </c>
    </row>
    <row r="2198" spans="1:14" x14ac:dyDescent="0.3">
      <c r="A2198" t="s">
        <v>3244</v>
      </c>
      <c r="B2198" t="s">
        <v>166</v>
      </c>
      <c r="C2198" s="1">
        <v>45401</v>
      </c>
      <c r="E2198" t="s">
        <v>39</v>
      </c>
      <c r="F2198">
        <v>18</v>
      </c>
      <c r="G2198" s="12">
        <v>882</v>
      </c>
      <c r="H2198" s="12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1050</v>
      </c>
      <c r="N2198" t="b">
        <v>1</v>
      </c>
    </row>
    <row r="2199" spans="1:14" x14ac:dyDescent="0.3">
      <c r="A2199" t="s">
        <v>3245</v>
      </c>
      <c r="B2199" t="s">
        <v>952</v>
      </c>
      <c r="C2199" s="1">
        <v>45442</v>
      </c>
      <c r="E2199" t="s">
        <v>15</v>
      </c>
      <c r="F2199">
        <v>25</v>
      </c>
      <c r="G2199" s="12">
        <v>0</v>
      </c>
      <c r="H2199" s="12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1047</v>
      </c>
      <c r="N2199" t="b">
        <v>1</v>
      </c>
    </row>
    <row r="2200" spans="1:14" x14ac:dyDescent="0.3">
      <c r="A2200" t="s">
        <v>3246</v>
      </c>
      <c r="B2200" t="s">
        <v>1000</v>
      </c>
      <c r="C2200" s="1">
        <v>45626</v>
      </c>
      <c r="E2200" t="s">
        <v>32</v>
      </c>
      <c r="F2200">
        <v>61</v>
      </c>
      <c r="G2200" s="12">
        <v>12139</v>
      </c>
      <c r="H2200" s="12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1050</v>
      </c>
      <c r="N2200" t="b">
        <v>1</v>
      </c>
    </row>
    <row r="2201" spans="1:14" x14ac:dyDescent="0.3">
      <c r="A2201" t="s">
        <v>3247</v>
      </c>
      <c r="B2201" t="s">
        <v>150</v>
      </c>
      <c r="C2201" s="1">
        <v>45589</v>
      </c>
      <c r="E2201" t="s">
        <v>39</v>
      </c>
      <c r="F2201">
        <v>8</v>
      </c>
      <c r="G2201" s="12">
        <v>392</v>
      </c>
      <c r="H2201" s="12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1050</v>
      </c>
      <c r="N2201" t="b">
        <v>1</v>
      </c>
    </row>
    <row r="2202" spans="1:14" x14ac:dyDescent="0.3">
      <c r="A2202" t="s">
        <v>3248</v>
      </c>
      <c r="B2202" t="s">
        <v>848</v>
      </c>
      <c r="C2202" s="1">
        <v>45526</v>
      </c>
      <c r="E2202" t="s">
        <v>32</v>
      </c>
      <c r="F2202">
        <v>104</v>
      </c>
      <c r="G2202" s="12">
        <v>0</v>
      </c>
      <c r="H2202" s="1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1047</v>
      </c>
      <c r="N2202" t="b">
        <v>1</v>
      </c>
    </row>
    <row r="2203" spans="1:14" x14ac:dyDescent="0.3">
      <c r="A2203" t="s">
        <v>3249</v>
      </c>
      <c r="B2203" t="s">
        <v>362</v>
      </c>
      <c r="C2203" s="1">
        <v>45569</v>
      </c>
      <c r="E2203" t="s">
        <v>39</v>
      </c>
      <c r="F2203">
        <v>73</v>
      </c>
      <c r="G2203" s="12">
        <v>3577</v>
      </c>
      <c r="H2203" s="12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1050</v>
      </c>
      <c r="N2203" t="b">
        <v>1</v>
      </c>
    </row>
    <row r="2204" spans="1:14" x14ac:dyDescent="0.3">
      <c r="A2204" t="s">
        <v>3250</v>
      </c>
      <c r="B2204" t="s">
        <v>164</v>
      </c>
      <c r="C2204" s="1">
        <v>45505</v>
      </c>
      <c r="E2204" t="s">
        <v>15</v>
      </c>
      <c r="F2204">
        <v>15</v>
      </c>
      <c r="G2204" s="12">
        <v>285</v>
      </c>
      <c r="H2204" s="12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1047</v>
      </c>
      <c r="N2204" t="b">
        <v>0</v>
      </c>
    </row>
    <row r="2205" spans="1:14" x14ac:dyDescent="0.3">
      <c r="A2205" t="s">
        <v>3251</v>
      </c>
      <c r="B2205" t="s">
        <v>158</v>
      </c>
      <c r="C2205" s="1">
        <v>45327</v>
      </c>
      <c r="E2205" t="s">
        <v>39</v>
      </c>
      <c r="F2205">
        <v>46</v>
      </c>
      <c r="G2205" s="12">
        <v>2254</v>
      </c>
      <c r="H2205" s="12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1047</v>
      </c>
      <c r="N2205" t="b">
        <v>1</v>
      </c>
    </row>
    <row r="2206" spans="1:14" x14ac:dyDescent="0.3">
      <c r="A2206" t="s">
        <v>3252</v>
      </c>
      <c r="B2206" t="s">
        <v>814</v>
      </c>
      <c r="C2206" s="1">
        <v>45653</v>
      </c>
      <c r="E2206" t="s">
        <v>15</v>
      </c>
      <c r="F2206">
        <v>49</v>
      </c>
      <c r="G2206" s="12">
        <v>931</v>
      </c>
      <c r="H2206" s="12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1047</v>
      </c>
      <c r="N2206" t="b">
        <v>0</v>
      </c>
    </row>
    <row r="2207" spans="1:14" x14ac:dyDescent="0.3">
      <c r="A2207" t="s">
        <v>3253</v>
      </c>
      <c r="B2207" t="s">
        <v>724</v>
      </c>
      <c r="C2207" s="1">
        <v>45360</v>
      </c>
      <c r="E2207" t="s">
        <v>39</v>
      </c>
      <c r="F2207">
        <v>69</v>
      </c>
      <c r="G2207" s="12">
        <v>0</v>
      </c>
      <c r="H2207" s="12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1047</v>
      </c>
      <c r="N2207" t="b">
        <v>1</v>
      </c>
    </row>
    <row r="2208" spans="1:14" x14ac:dyDescent="0.3">
      <c r="A2208" t="s">
        <v>3254</v>
      </c>
      <c r="B2208" t="s">
        <v>474</v>
      </c>
      <c r="C2208" s="1">
        <v>45597</v>
      </c>
      <c r="E2208" t="s">
        <v>39</v>
      </c>
      <c r="F2208">
        <v>5</v>
      </c>
      <c r="G2208" s="12">
        <v>245</v>
      </c>
      <c r="H2208" s="12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1050</v>
      </c>
      <c r="N2208" t="b">
        <v>1</v>
      </c>
    </row>
    <row r="2209" spans="1:14" x14ac:dyDescent="0.3">
      <c r="A2209" t="s">
        <v>3255</v>
      </c>
      <c r="B2209" t="s">
        <v>526</v>
      </c>
      <c r="C2209" s="1">
        <v>45149</v>
      </c>
      <c r="E2209" t="s">
        <v>39</v>
      </c>
      <c r="F2209">
        <v>32</v>
      </c>
      <c r="G2209" s="12">
        <v>1568</v>
      </c>
      <c r="H2209" s="12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1047</v>
      </c>
      <c r="N2209" t="b">
        <v>1</v>
      </c>
    </row>
    <row r="2210" spans="1:14" x14ac:dyDescent="0.3">
      <c r="A2210" t="s">
        <v>3256</v>
      </c>
      <c r="B2210" t="s">
        <v>662</v>
      </c>
      <c r="C2210" s="1">
        <v>45606</v>
      </c>
      <c r="E2210" t="s">
        <v>32</v>
      </c>
      <c r="F2210">
        <v>41</v>
      </c>
      <c r="G2210" s="12">
        <v>8159</v>
      </c>
      <c r="H2210" s="12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1047</v>
      </c>
      <c r="N2210" t="b">
        <v>1</v>
      </c>
    </row>
    <row r="2211" spans="1:14" x14ac:dyDescent="0.3">
      <c r="A2211" t="s">
        <v>3257</v>
      </c>
      <c r="B2211" t="s">
        <v>284</v>
      </c>
      <c r="C2211" s="1">
        <v>45265</v>
      </c>
      <c r="E2211" t="s">
        <v>15</v>
      </c>
      <c r="F2211">
        <v>23</v>
      </c>
      <c r="G2211" s="12">
        <v>437</v>
      </c>
      <c r="H2211" s="12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1050</v>
      </c>
      <c r="N2211" t="b">
        <v>1</v>
      </c>
    </row>
    <row r="2212" spans="1:14" x14ac:dyDescent="0.3">
      <c r="A2212" t="s">
        <v>3258</v>
      </c>
      <c r="B2212" t="s">
        <v>746</v>
      </c>
      <c r="C2212" s="1">
        <v>45422</v>
      </c>
      <c r="D2212" s="1">
        <v>45632</v>
      </c>
      <c r="E2212" t="s">
        <v>32</v>
      </c>
      <c r="F2212">
        <v>87</v>
      </c>
      <c r="G2212" s="12">
        <v>17313</v>
      </c>
      <c r="H2212" s="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1050</v>
      </c>
      <c r="N2212" t="b">
        <v>1</v>
      </c>
    </row>
    <row r="2213" spans="1:14" x14ac:dyDescent="0.3">
      <c r="A2213" t="s">
        <v>3259</v>
      </c>
      <c r="B2213" t="s">
        <v>232</v>
      </c>
      <c r="C2213" s="1">
        <v>45630</v>
      </c>
      <c r="E2213" t="s">
        <v>32</v>
      </c>
      <c r="F2213">
        <v>20</v>
      </c>
      <c r="G2213" s="12">
        <v>3980</v>
      </c>
      <c r="H2213" s="12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1047</v>
      </c>
      <c r="N2213" t="b">
        <v>0</v>
      </c>
    </row>
    <row r="2214" spans="1:14" x14ac:dyDescent="0.3">
      <c r="A2214" t="s">
        <v>3260</v>
      </c>
      <c r="B2214" t="s">
        <v>746</v>
      </c>
      <c r="C2214" s="1">
        <v>45553</v>
      </c>
      <c r="E2214" t="s">
        <v>32</v>
      </c>
      <c r="F2214">
        <v>87</v>
      </c>
      <c r="G2214" s="12">
        <v>17313</v>
      </c>
      <c r="H2214" s="12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1047</v>
      </c>
      <c r="N2214" t="b">
        <v>1</v>
      </c>
    </row>
    <row r="2215" spans="1:14" x14ac:dyDescent="0.3">
      <c r="A2215" t="s">
        <v>3261</v>
      </c>
      <c r="B2215" t="s">
        <v>222</v>
      </c>
      <c r="C2215" s="1">
        <v>45641</v>
      </c>
      <c r="E2215" t="s">
        <v>32</v>
      </c>
      <c r="F2215">
        <v>13</v>
      </c>
      <c r="G2215" s="12">
        <v>2587</v>
      </c>
      <c r="H2215" s="12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1047</v>
      </c>
      <c r="N2215" t="b">
        <v>1</v>
      </c>
    </row>
    <row r="2216" spans="1:14" x14ac:dyDescent="0.3">
      <c r="A2216" t="s">
        <v>3262</v>
      </c>
      <c r="B2216" t="s">
        <v>264</v>
      </c>
      <c r="C2216" s="1">
        <v>45206</v>
      </c>
      <c r="E2216" t="s">
        <v>15</v>
      </c>
      <c r="F2216">
        <v>38</v>
      </c>
      <c r="G2216" s="12">
        <v>722</v>
      </c>
      <c r="H2216" s="12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1050</v>
      </c>
      <c r="N2216" t="b">
        <v>0</v>
      </c>
    </row>
    <row r="2217" spans="1:14" x14ac:dyDescent="0.3">
      <c r="A2217" t="s">
        <v>3263</v>
      </c>
      <c r="B2217" t="s">
        <v>66</v>
      </c>
      <c r="C2217" s="1">
        <v>45389</v>
      </c>
      <c r="E2217" t="s">
        <v>15</v>
      </c>
      <c r="F2217">
        <v>12</v>
      </c>
      <c r="G2217" s="12">
        <v>228</v>
      </c>
      <c r="H2217" s="12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1047</v>
      </c>
      <c r="N2217" t="b">
        <v>0</v>
      </c>
    </row>
    <row r="2218" spans="1:14" x14ac:dyDescent="0.3">
      <c r="A2218" t="s">
        <v>3264</v>
      </c>
      <c r="B2218" t="s">
        <v>466</v>
      </c>
      <c r="C2218" s="1">
        <v>45037</v>
      </c>
      <c r="E2218" t="s">
        <v>32</v>
      </c>
      <c r="F2218">
        <v>11</v>
      </c>
      <c r="G2218" s="12">
        <v>2189</v>
      </c>
      <c r="H2218" s="12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1047</v>
      </c>
      <c r="N2218" t="b">
        <v>0</v>
      </c>
    </row>
    <row r="2219" spans="1:14" x14ac:dyDescent="0.3">
      <c r="A2219" t="s">
        <v>3265</v>
      </c>
      <c r="B2219" t="s">
        <v>122</v>
      </c>
      <c r="C2219" s="1">
        <v>45075</v>
      </c>
      <c r="D2219" s="1">
        <v>45492</v>
      </c>
      <c r="E2219" t="s">
        <v>39</v>
      </c>
      <c r="F2219">
        <v>56</v>
      </c>
      <c r="G2219" s="12">
        <v>0</v>
      </c>
      <c r="H2219" s="12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1050</v>
      </c>
      <c r="N2219" t="b">
        <v>0</v>
      </c>
    </row>
    <row r="2220" spans="1:14" x14ac:dyDescent="0.3">
      <c r="A2220" t="s">
        <v>3266</v>
      </c>
      <c r="B2220" t="s">
        <v>746</v>
      </c>
      <c r="C2220" s="1">
        <v>45620</v>
      </c>
      <c r="E2220" t="s">
        <v>15</v>
      </c>
      <c r="F2220">
        <v>87</v>
      </c>
      <c r="G2220" s="12">
        <v>1653</v>
      </c>
      <c r="H2220" s="12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1047</v>
      </c>
      <c r="N2220" t="b">
        <v>1</v>
      </c>
    </row>
    <row r="2221" spans="1:14" x14ac:dyDescent="0.3">
      <c r="A2221" t="s">
        <v>3267</v>
      </c>
      <c r="B2221" t="s">
        <v>374</v>
      </c>
      <c r="C2221" s="1">
        <v>45618</v>
      </c>
      <c r="E2221" t="s">
        <v>39</v>
      </c>
      <c r="F2221">
        <v>17</v>
      </c>
      <c r="G2221" s="12">
        <v>833</v>
      </c>
      <c r="H2221" s="12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1047</v>
      </c>
      <c r="N2221" t="b">
        <v>1</v>
      </c>
    </row>
    <row r="2222" spans="1:14" x14ac:dyDescent="0.3">
      <c r="A2222" t="s">
        <v>3268</v>
      </c>
      <c r="B2222" t="s">
        <v>552</v>
      </c>
      <c r="C2222" s="1">
        <v>45476</v>
      </c>
      <c r="E2222" t="s">
        <v>32</v>
      </c>
      <c r="F2222">
        <v>8</v>
      </c>
      <c r="G2222" s="12">
        <v>0</v>
      </c>
      <c r="H2222" s="1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1047</v>
      </c>
      <c r="N2222" t="b">
        <v>1</v>
      </c>
    </row>
    <row r="2223" spans="1:14" x14ac:dyDescent="0.3">
      <c r="A2223" t="s">
        <v>3269</v>
      </c>
      <c r="B2223" t="s">
        <v>340</v>
      </c>
      <c r="C2223" s="1">
        <v>45613</v>
      </c>
      <c r="E2223" t="s">
        <v>39</v>
      </c>
      <c r="F2223">
        <v>14</v>
      </c>
      <c r="G2223" s="12">
        <v>686</v>
      </c>
      <c r="H2223" s="12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1050</v>
      </c>
      <c r="N2223" t="b">
        <v>1</v>
      </c>
    </row>
    <row r="2224" spans="1:14" x14ac:dyDescent="0.3">
      <c r="A2224" t="s">
        <v>3270</v>
      </c>
      <c r="B2224" t="s">
        <v>316</v>
      </c>
      <c r="C2224" s="1">
        <v>45442</v>
      </c>
      <c r="E2224" t="s">
        <v>32</v>
      </c>
      <c r="F2224">
        <v>33</v>
      </c>
      <c r="G2224" s="12">
        <v>6567</v>
      </c>
      <c r="H2224" s="12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1050</v>
      </c>
      <c r="N2224" t="b">
        <v>1</v>
      </c>
    </row>
    <row r="2225" spans="1:14" x14ac:dyDescent="0.3">
      <c r="A2225" t="s">
        <v>3271</v>
      </c>
      <c r="B2225" t="s">
        <v>282</v>
      </c>
      <c r="C2225" s="1">
        <v>45625</v>
      </c>
      <c r="E2225" t="s">
        <v>15</v>
      </c>
      <c r="F2225">
        <v>33</v>
      </c>
      <c r="G2225" s="12">
        <v>627</v>
      </c>
      <c r="H2225" s="12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1047</v>
      </c>
      <c r="N2225" t="b">
        <v>1</v>
      </c>
    </row>
    <row r="2226" spans="1:14" x14ac:dyDescent="0.3">
      <c r="A2226" t="s">
        <v>3272</v>
      </c>
      <c r="B2226" t="s">
        <v>68</v>
      </c>
      <c r="C2226" s="1">
        <v>45396</v>
      </c>
      <c r="E2226" t="s">
        <v>15</v>
      </c>
      <c r="F2226">
        <v>32</v>
      </c>
      <c r="G2226" s="12">
        <v>608</v>
      </c>
      <c r="H2226" s="12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1050</v>
      </c>
      <c r="N2226" t="b">
        <v>1</v>
      </c>
    </row>
    <row r="2227" spans="1:14" x14ac:dyDescent="0.3">
      <c r="A2227" t="s">
        <v>3273</v>
      </c>
      <c r="B2227" t="s">
        <v>246</v>
      </c>
      <c r="C2227" s="1">
        <v>45297</v>
      </c>
      <c r="E2227" t="s">
        <v>39</v>
      </c>
      <c r="F2227">
        <v>61</v>
      </c>
      <c r="G2227" s="12">
        <v>2989</v>
      </c>
      <c r="H2227" s="12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1050</v>
      </c>
      <c r="N2227" t="b">
        <v>0</v>
      </c>
    </row>
    <row r="2228" spans="1:14" x14ac:dyDescent="0.3">
      <c r="A2228" t="s">
        <v>3274</v>
      </c>
      <c r="B2228" t="s">
        <v>960</v>
      </c>
      <c r="C2228" s="1">
        <v>45227</v>
      </c>
      <c r="E2228" t="s">
        <v>39</v>
      </c>
      <c r="F2228">
        <v>35</v>
      </c>
      <c r="G2228" s="12">
        <v>1715</v>
      </c>
      <c r="H2228" s="12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1047</v>
      </c>
      <c r="N2228" t="b">
        <v>1</v>
      </c>
    </row>
    <row r="2229" spans="1:14" x14ac:dyDescent="0.3">
      <c r="A2229" t="s">
        <v>3275</v>
      </c>
      <c r="B2229" t="s">
        <v>288</v>
      </c>
      <c r="C2229" s="1">
        <v>45609</v>
      </c>
      <c r="E2229" t="s">
        <v>39</v>
      </c>
      <c r="F2229">
        <v>3</v>
      </c>
      <c r="G2229" s="12">
        <v>147</v>
      </c>
      <c r="H2229" s="12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1050</v>
      </c>
      <c r="N2229" t="b">
        <v>1</v>
      </c>
    </row>
    <row r="2230" spans="1:14" x14ac:dyDescent="0.3">
      <c r="A2230" t="s">
        <v>3276</v>
      </c>
      <c r="B2230" t="s">
        <v>340</v>
      </c>
      <c r="C2230" s="1">
        <v>45613</v>
      </c>
      <c r="E2230" t="s">
        <v>15</v>
      </c>
      <c r="F2230">
        <v>9</v>
      </c>
      <c r="G2230" s="12">
        <v>171</v>
      </c>
      <c r="H2230" s="12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1047</v>
      </c>
      <c r="N2230" t="b">
        <v>1</v>
      </c>
    </row>
    <row r="2231" spans="1:14" x14ac:dyDescent="0.3">
      <c r="A2231" t="s">
        <v>3277</v>
      </c>
      <c r="B2231" t="s">
        <v>728</v>
      </c>
      <c r="C2231" s="1">
        <v>45502</v>
      </c>
      <c r="D2231" s="1">
        <v>45586</v>
      </c>
      <c r="E2231" t="s">
        <v>15</v>
      </c>
      <c r="F2231">
        <v>29</v>
      </c>
      <c r="G2231" s="12">
        <v>551</v>
      </c>
      <c r="H2231" s="12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1050</v>
      </c>
      <c r="N2231" t="b">
        <v>1</v>
      </c>
    </row>
    <row r="2232" spans="1:14" x14ac:dyDescent="0.3">
      <c r="A2232" t="s">
        <v>3278</v>
      </c>
      <c r="B2232" t="s">
        <v>788</v>
      </c>
      <c r="C2232" s="1">
        <v>45644</v>
      </c>
      <c r="E2232" t="s">
        <v>32</v>
      </c>
      <c r="F2232">
        <v>34</v>
      </c>
      <c r="G2232" s="12">
        <v>6766</v>
      </c>
      <c r="H2232" s="1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1050</v>
      </c>
      <c r="N2232" t="b">
        <v>0</v>
      </c>
    </row>
    <row r="2233" spans="1:14" x14ac:dyDescent="0.3">
      <c r="A2233" t="s">
        <v>3279</v>
      </c>
      <c r="B2233" t="s">
        <v>272</v>
      </c>
      <c r="C2233" s="1">
        <v>45467</v>
      </c>
      <c r="E2233" t="s">
        <v>15</v>
      </c>
      <c r="F2233">
        <v>15</v>
      </c>
      <c r="G2233" s="12">
        <v>0</v>
      </c>
      <c r="H2233" s="12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1050</v>
      </c>
      <c r="N2233" t="b">
        <v>1</v>
      </c>
    </row>
    <row r="2234" spans="1:14" x14ac:dyDescent="0.3">
      <c r="A2234" t="s">
        <v>3280</v>
      </c>
      <c r="B2234" t="s">
        <v>118</v>
      </c>
      <c r="C2234" s="1">
        <v>45506</v>
      </c>
      <c r="D2234" s="1">
        <v>45536</v>
      </c>
      <c r="E2234" t="s">
        <v>15</v>
      </c>
      <c r="F2234">
        <v>2</v>
      </c>
      <c r="G2234" s="12">
        <v>38</v>
      </c>
      <c r="H2234" s="12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1047</v>
      </c>
      <c r="N2234" t="b">
        <v>1</v>
      </c>
    </row>
    <row r="2235" spans="1:14" x14ac:dyDescent="0.3">
      <c r="A2235" t="s">
        <v>3281</v>
      </c>
      <c r="B2235" t="s">
        <v>630</v>
      </c>
      <c r="C2235" s="1">
        <v>45430</v>
      </c>
      <c r="E2235" t="s">
        <v>15</v>
      </c>
      <c r="F2235">
        <v>4</v>
      </c>
      <c r="G2235" s="12">
        <v>76</v>
      </c>
      <c r="H2235" s="12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1050</v>
      </c>
      <c r="N2235" t="b">
        <v>1</v>
      </c>
    </row>
    <row r="2236" spans="1:14" x14ac:dyDescent="0.3">
      <c r="A2236" t="s">
        <v>3282</v>
      </c>
      <c r="B2236" t="s">
        <v>976</v>
      </c>
      <c r="C2236" s="1">
        <v>45149</v>
      </c>
      <c r="E2236" t="s">
        <v>15</v>
      </c>
      <c r="F2236">
        <v>54</v>
      </c>
      <c r="G2236" s="12">
        <v>1026</v>
      </c>
      <c r="H2236" s="12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1050</v>
      </c>
      <c r="N2236" t="b">
        <v>1</v>
      </c>
    </row>
    <row r="2237" spans="1:14" x14ac:dyDescent="0.3">
      <c r="A2237" t="s">
        <v>3283</v>
      </c>
      <c r="B2237" t="s">
        <v>338</v>
      </c>
      <c r="C2237" s="1">
        <v>45599</v>
      </c>
      <c r="E2237" t="s">
        <v>39</v>
      </c>
      <c r="F2237">
        <v>27</v>
      </c>
      <c r="G2237" s="12">
        <v>1323</v>
      </c>
      <c r="H2237" s="12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1047</v>
      </c>
      <c r="N2237" t="b">
        <v>1</v>
      </c>
    </row>
    <row r="2238" spans="1:14" x14ac:dyDescent="0.3">
      <c r="A2238" t="s">
        <v>3284</v>
      </c>
      <c r="B2238" t="s">
        <v>576</v>
      </c>
      <c r="C2238" s="1">
        <v>45467</v>
      </c>
      <c r="E2238" t="s">
        <v>15</v>
      </c>
      <c r="F2238">
        <v>30</v>
      </c>
      <c r="G2238" s="12">
        <v>570</v>
      </c>
      <c r="H2238" s="12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1047</v>
      </c>
      <c r="N2238" t="b">
        <v>0</v>
      </c>
    </row>
    <row r="2239" spans="1:14" x14ac:dyDescent="0.3">
      <c r="A2239" t="s">
        <v>3285</v>
      </c>
      <c r="B2239" t="s">
        <v>226</v>
      </c>
      <c r="C2239" s="1">
        <v>45616</v>
      </c>
      <c r="E2239" t="s">
        <v>32</v>
      </c>
      <c r="F2239">
        <v>50</v>
      </c>
      <c r="G2239" s="12">
        <v>9950</v>
      </c>
      <c r="H2239" s="12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1050</v>
      </c>
      <c r="N2239" t="b">
        <v>1</v>
      </c>
    </row>
    <row r="2240" spans="1:14" x14ac:dyDescent="0.3">
      <c r="A2240" t="s">
        <v>3286</v>
      </c>
      <c r="B2240" t="s">
        <v>942</v>
      </c>
      <c r="C2240" s="1">
        <v>45633</v>
      </c>
      <c r="E2240" t="s">
        <v>39</v>
      </c>
      <c r="F2240">
        <v>3</v>
      </c>
      <c r="G2240" s="12">
        <v>147</v>
      </c>
      <c r="H2240" s="12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1050</v>
      </c>
      <c r="N2240" t="b">
        <v>1</v>
      </c>
    </row>
    <row r="2241" spans="1:14" x14ac:dyDescent="0.3">
      <c r="A2241" t="s">
        <v>3287</v>
      </c>
      <c r="B2241" t="s">
        <v>488</v>
      </c>
      <c r="C2241" s="1">
        <v>45582</v>
      </c>
      <c r="E2241" t="s">
        <v>32</v>
      </c>
      <c r="F2241">
        <v>6</v>
      </c>
      <c r="G2241" s="12">
        <v>1194</v>
      </c>
      <c r="H2241" s="12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1047</v>
      </c>
      <c r="N2241" t="b">
        <v>1</v>
      </c>
    </row>
    <row r="2242" spans="1:14" x14ac:dyDescent="0.3">
      <c r="A2242" t="s">
        <v>3288</v>
      </c>
      <c r="B2242" t="s">
        <v>962</v>
      </c>
      <c r="C2242" s="1">
        <v>45413</v>
      </c>
      <c r="E2242" t="s">
        <v>15</v>
      </c>
      <c r="F2242">
        <v>19</v>
      </c>
      <c r="G2242" s="12">
        <v>361</v>
      </c>
      <c r="H2242" s="1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1050</v>
      </c>
      <c r="N2242" t="b">
        <v>0</v>
      </c>
    </row>
    <row r="2243" spans="1:14" x14ac:dyDescent="0.3">
      <c r="A2243" t="s">
        <v>3289</v>
      </c>
      <c r="B2243" t="s">
        <v>458</v>
      </c>
      <c r="C2243" s="1">
        <v>45541</v>
      </c>
      <c r="E2243" t="s">
        <v>32</v>
      </c>
      <c r="F2243">
        <v>4</v>
      </c>
      <c r="G2243" s="12">
        <v>796</v>
      </c>
      <c r="H2243" s="12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1047</v>
      </c>
      <c r="N2243" t="b">
        <v>1</v>
      </c>
    </row>
    <row r="2244" spans="1:14" x14ac:dyDescent="0.3">
      <c r="A2244" t="s">
        <v>3290</v>
      </c>
      <c r="B2244" t="s">
        <v>200</v>
      </c>
      <c r="C2244" s="1">
        <v>45545</v>
      </c>
      <c r="E2244" t="s">
        <v>39</v>
      </c>
      <c r="F2244">
        <v>30</v>
      </c>
      <c r="G2244" s="12">
        <v>1470</v>
      </c>
      <c r="H2244" s="12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1047</v>
      </c>
      <c r="N2244" t="b">
        <v>0</v>
      </c>
    </row>
    <row r="2245" spans="1:14" x14ac:dyDescent="0.3">
      <c r="A2245" t="s">
        <v>3291</v>
      </c>
      <c r="B2245" t="s">
        <v>326</v>
      </c>
      <c r="C2245" s="1">
        <v>45613</v>
      </c>
      <c r="E2245" t="s">
        <v>32</v>
      </c>
      <c r="F2245">
        <v>33</v>
      </c>
      <c r="G2245" s="12">
        <v>6567</v>
      </c>
      <c r="H2245" s="12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1047</v>
      </c>
      <c r="N2245" t="b">
        <v>1</v>
      </c>
    </row>
    <row r="2246" spans="1:14" x14ac:dyDescent="0.3">
      <c r="A2246" t="s">
        <v>3292</v>
      </c>
      <c r="B2246" t="s">
        <v>842</v>
      </c>
      <c r="C2246" s="1">
        <v>45167</v>
      </c>
      <c r="E2246" t="s">
        <v>32</v>
      </c>
      <c r="F2246">
        <v>21</v>
      </c>
      <c r="G2246" s="12">
        <v>4179</v>
      </c>
      <c r="H2246" s="12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1050</v>
      </c>
      <c r="N2246" t="b">
        <v>1</v>
      </c>
    </row>
    <row r="2247" spans="1:14" x14ac:dyDescent="0.3">
      <c r="A2247" t="s">
        <v>3293</v>
      </c>
      <c r="B2247" t="s">
        <v>536</v>
      </c>
      <c r="C2247" s="1">
        <v>45655</v>
      </c>
      <c r="E2247" t="s">
        <v>32</v>
      </c>
      <c r="F2247">
        <v>170</v>
      </c>
      <c r="G2247" s="12">
        <v>33830</v>
      </c>
      <c r="H2247" s="12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1047</v>
      </c>
      <c r="N2247" t="b">
        <v>1</v>
      </c>
    </row>
    <row r="2248" spans="1:14" x14ac:dyDescent="0.3">
      <c r="A2248" t="s">
        <v>3294</v>
      </c>
      <c r="B2248" t="s">
        <v>198</v>
      </c>
      <c r="C2248" s="1">
        <v>45414</v>
      </c>
      <c r="E2248" t="s">
        <v>32</v>
      </c>
      <c r="F2248">
        <v>38</v>
      </c>
      <c r="G2248" s="12">
        <v>7562</v>
      </c>
      <c r="H2248" s="12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1050</v>
      </c>
      <c r="N2248" t="b">
        <v>1</v>
      </c>
    </row>
    <row r="2249" spans="1:14" x14ac:dyDescent="0.3">
      <c r="A2249" t="s">
        <v>3295</v>
      </c>
      <c r="B2249" t="s">
        <v>604</v>
      </c>
      <c r="C2249" s="1">
        <v>45649</v>
      </c>
      <c r="E2249" t="s">
        <v>39</v>
      </c>
      <c r="F2249">
        <v>93</v>
      </c>
      <c r="G2249" s="12">
        <v>4557</v>
      </c>
      <c r="H2249" s="12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1050</v>
      </c>
      <c r="N2249" t="b">
        <v>1</v>
      </c>
    </row>
    <row r="2250" spans="1:14" x14ac:dyDescent="0.3">
      <c r="A2250" t="s">
        <v>3296</v>
      </c>
      <c r="B2250" t="s">
        <v>650</v>
      </c>
      <c r="C2250" s="1">
        <v>45604</v>
      </c>
      <c r="E2250" t="s">
        <v>15</v>
      </c>
      <c r="F2250">
        <v>22</v>
      </c>
      <c r="G2250" s="12">
        <v>418</v>
      </c>
      <c r="H2250" s="12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1047</v>
      </c>
      <c r="N2250" t="b">
        <v>1</v>
      </c>
    </row>
    <row r="2251" spans="1:14" x14ac:dyDescent="0.3">
      <c r="A2251" t="s">
        <v>3297</v>
      </c>
      <c r="B2251" t="s">
        <v>16</v>
      </c>
      <c r="C2251" s="1">
        <v>45236</v>
      </c>
      <c r="E2251" t="s">
        <v>32</v>
      </c>
      <c r="F2251">
        <v>28</v>
      </c>
      <c r="G2251" s="12">
        <v>5572</v>
      </c>
      <c r="H2251" s="12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1047</v>
      </c>
      <c r="N2251" t="b">
        <v>1</v>
      </c>
    </row>
    <row r="2252" spans="1:14" x14ac:dyDescent="0.3">
      <c r="A2252" t="s">
        <v>3298</v>
      </c>
      <c r="B2252" t="s">
        <v>636</v>
      </c>
      <c r="C2252" s="1">
        <v>45615</v>
      </c>
      <c r="E2252" t="s">
        <v>15</v>
      </c>
      <c r="F2252">
        <v>13</v>
      </c>
      <c r="G2252" s="12">
        <v>247</v>
      </c>
      <c r="H2252" s="1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1050</v>
      </c>
      <c r="N2252" t="b">
        <v>1</v>
      </c>
    </row>
    <row r="2253" spans="1:14" x14ac:dyDescent="0.3">
      <c r="A2253" t="s">
        <v>3299</v>
      </c>
      <c r="B2253" t="s">
        <v>544</v>
      </c>
      <c r="C2253" s="1">
        <v>45628</v>
      </c>
      <c r="E2253" t="s">
        <v>39</v>
      </c>
      <c r="F2253">
        <v>37</v>
      </c>
      <c r="G2253" s="12">
        <v>1813</v>
      </c>
      <c r="H2253" s="12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1050</v>
      </c>
      <c r="N2253" t="b">
        <v>1</v>
      </c>
    </row>
    <row r="2254" spans="1:14" x14ac:dyDescent="0.3">
      <c r="A2254" t="s">
        <v>3300</v>
      </c>
      <c r="B2254" t="s">
        <v>902</v>
      </c>
      <c r="C2254" s="1">
        <v>45575</v>
      </c>
      <c r="E2254" t="s">
        <v>39</v>
      </c>
      <c r="F2254">
        <v>83</v>
      </c>
      <c r="G2254" s="12">
        <v>4067</v>
      </c>
      <c r="H2254" s="12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1050</v>
      </c>
      <c r="N2254" t="b">
        <v>1</v>
      </c>
    </row>
    <row r="2255" spans="1:14" x14ac:dyDescent="0.3">
      <c r="A2255" t="s">
        <v>3301</v>
      </c>
      <c r="B2255" t="s">
        <v>594</v>
      </c>
      <c r="C2255" s="1">
        <v>45345</v>
      </c>
      <c r="E2255" t="s">
        <v>15</v>
      </c>
      <c r="F2255">
        <v>4</v>
      </c>
      <c r="G2255" s="12">
        <v>76</v>
      </c>
      <c r="H2255" s="12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1047</v>
      </c>
      <c r="N2255" t="b">
        <v>1</v>
      </c>
    </row>
    <row r="2256" spans="1:14" x14ac:dyDescent="0.3">
      <c r="A2256" t="s">
        <v>3302</v>
      </c>
      <c r="B2256" t="s">
        <v>74</v>
      </c>
      <c r="C2256" s="1">
        <v>45568</v>
      </c>
      <c r="E2256" t="s">
        <v>15</v>
      </c>
      <c r="F2256">
        <v>86</v>
      </c>
      <c r="G2256" s="12">
        <v>1634</v>
      </c>
      <c r="H2256" s="12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1050</v>
      </c>
      <c r="N2256" t="b">
        <v>1</v>
      </c>
    </row>
    <row r="2257" spans="1:14" x14ac:dyDescent="0.3">
      <c r="A2257" t="s">
        <v>3303</v>
      </c>
      <c r="B2257" t="s">
        <v>68</v>
      </c>
      <c r="C2257" s="1">
        <v>45471</v>
      </c>
      <c r="D2257" s="1">
        <v>45505</v>
      </c>
      <c r="E2257" t="s">
        <v>39</v>
      </c>
      <c r="F2257">
        <v>20</v>
      </c>
      <c r="G2257" s="12">
        <v>980</v>
      </c>
      <c r="H2257" s="12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1050</v>
      </c>
      <c r="N2257" t="b">
        <v>0</v>
      </c>
    </row>
    <row r="2258" spans="1:14" x14ac:dyDescent="0.3">
      <c r="A2258" t="s">
        <v>3304</v>
      </c>
      <c r="B2258" t="s">
        <v>924</v>
      </c>
      <c r="C2258" s="1">
        <v>45620</v>
      </c>
      <c r="E2258" t="s">
        <v>15</v>
      </c>
      <c r="F2258">
        <v>12</v>
      </c>
      <c r="G2258" s="12">
        <v>228</v>
      </c>
      <c r="H2258" s="12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1047</v>
      </c>
      <c r="N2258" t="b">
        <v>1</v>
      </c>
    </row>
    <row r="2259" spans="1:14" x14ac:dyDescent="0.3">
      <c r="A2259" t="s">
        <v>3305</v>
      </c>
      <c r="B2259" t="s">
        <v>872</v>
      </c>
      <c r="C2259" s="1">
        <v>45564</v>
      </c>
      <c r="E2259" t="s">
        <v>32</v>
      </c>
      <c r="F2259">
        <v>12</v>
      </c>
      <c r="G2259" s="12">
        <v>2388</v>
      </c>
      <c r="H2259" s="12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1047</v>
      </c>
      <c r="N2259" t="b">
        <v>1</v>
      </c>
    </row>
    <row r="2260" spans="1:14" x14ac:dyDescent="0.3">
      <c r="A2260" t="s">
        <v>3306</v>
      </c>
      <c r="B2260" t="s">
        <v>10</v>
      </c>
      <c r="C2260" s="1">
        <v>45625</v>
      </c>
      <c r="E2260" t="s">
        <v>32</v>
      </c>
      <c r="F2260">
        <v>9</v>
      </c>
      <c r="G2260" s="12">
        <v>1791</v>
      </c>
      <c r="H2260" s="12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1050</v>
      </c>
      <c r="N2260" t="b">
        <v>0</v>
      </c>
    </row>
    <row r="2261" spans="1:14" x14ac:dyDescent="0.3">
      <c r="A2261" t="s">
        <v>3307</v>
      </c>
      <c r="B2261" t="s">
        <v>362</v>
      </c>
      <c r="C2261" s="1">
        <v>45227</v>
      </c>
      <c r="E2261" t="s">
        <v>32</v>
      </c>
      <c r="F2261">
        <v>73</v>
      </c>
      <c r="G2261" s="12">
        <v>14527</v>
      </c>
      <c r="H2261" s="12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1050</v>
      </c>
      <c r="N2261" t="b">
        <v>1</v>
      </c>
    </row>
    <row r="2262" spans="1:14" x14ac:dyDescent="0.3">
      <c r="A2262" t="s">
        <v>3308</v>
      </c>
      <c r="B2262" t="s">
        <v>768</v>
      </c>
      <c r="C2262" s="1">
        <v>45190</v>
      </c>
      <c r="D2262" s="1">
        <v>45649</v>
      </c>
      <c r="E2262" t="s">
        <v>39</v>
      </c>
      <c r="F2262">
        <v>28</v>
      </c>
      <c r="G2262" s="12">
        <v>1372</v>
      </c>
      <c r="H2262" s="1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1050</v>
      </c>
      <c r="N2262" t="b">
        <v>1</v>
      </c>
    </row>
    <row r="2263" spans="1:14" x14ac:dyDescent="0.3">
      <c r="A2263" t="s">
        <v>3309</v>
      </c>
      <c r="B2263" t="s">
        <v>362</v>
      </c>
      <c r="C2263" s="1">
        <v>45214</v>
      </c>
      <c r="E2263" t="s">
        <v>32</v>
      </c>
      <c r="F2263">
        <v>73</v>
      </c>
      <c r="G2263" s="12">
        <v>14527</v>
      </c>
      <c r="H2263" s="12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1047</v>
      </c>
      <c r="N2263" t="b">
        <v>1</v>
      </c>
    </row>
    <row r="2264" spans="1:14" x14ac:dyDescent="0.3">
      <c r="A2264" t="s">
        <v>3310</v>
      </c>
      <c r="B2264" t="s">
        <v>872</v>
      </c>
      <c r="C2264" s="1">
        <v>45583</v>
      </c>
      <c r="E2264" t="s">
        <v>15</v>
      </c>
      <c r="F2264">
        <v>19</v>
      </c>
      <c r="G2264" s="12">
        <v>0</v>
      </c>
      <c r="H2264" s="12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1050</v>
      </c>
      <c r="N2264" t="b">
        <v>1</v>
      </c>
    </row>
    <row r="2265" spans="1:14" x14ac:dyDescent="0.3">
      <c r="A2265" t="s">
        <v>3311</v>
      </c>
      <c r="B2265" t="s">
        <v>210</v>
      </c>
      <c r="C2265" s="1">
        <v>45411</v>
      </c>
      <c r="E2265" t="s">
        <v>15</v>
      </c>
      <c r="F2265">
        <v>33</v>
      </c>
      <c r="G2265" s="12">
        <v>627</v>
      </c>
      <c r="H2265" s="12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1047</v>
      </c>
      <c r="N2265" t="b">
        <v>1</v>
      </c>
    </row>
    <row r="2266" spans="1:14" x14ac:dyDescent="0.3">
      <c r="A2266" t="s">
        <v>3312</v>
      </c>
      <c r="B2266" t="s">
        <v>768</v>
      </c>
      <c r="C2266" s="1">
        <v>45445</v>
      </c>
      <c r="E2266" t="s">
        <v>32</v>
      </c>
      <c r="F2266">
        <v>28</v>
      </c>
      <c r="G2266" s="12">
        <v>0</v>
      </c>
      <c r="H2266" s="12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1050</v>
      </c>
      <c r="N2266" t="b">
        <v>1</v>
      </c>
    </row>
    <row r="2267" spans="1:14" x14ac:dyDescent="0.3">
      <c r="A2267" t="s">
        <v>3313</v>
      </c>
      <c r="B2267" t="s">
        <v>920</v>
      </c>
      <c r="C2267" s="1">
        <v>45532</v>
      </c>
      <c r="E2267" t="s">
        <v>32</v>
      </c>
      <c r="F2267">
        <v>21</v>
      </c>
      <c r="G2267" s="12">
        <v>4179</v>
      </c>
      <c r="H2267" s="12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1047</v>
      </c>
      <c r="N2267" t="b">
        <v>1</v>
      </c>
    </row>
    <row r="2268" spans="1:14" x14ac:dyDescent="0.3">
      <c r="A2268" t="s">
        <v>3314</v>
      </c>
      <c r="B2268" t="s">
        <v>866</v>
      </c>
      <c r="C2268" s="1">
        <v>45518</v>
      </c>
      <c r="E2268" t="s">
        <v>15</v>
      </c>
      <c r="F2268">
        <v>23</v>
      </c>
      <c r="G2268" s="12">
        <v>437</v>
      </c>
      <c r="H2268" s="12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1050</v>
      </c>
      <c r="N2268" t="b">
        <v>1</v>
      </c>
    </row>
    <row r="2269" spans="1:14" x14ac:dyDescent="0.3">
      <c r="A2269" t="s">
        <v>3315</v>
      </c>
      <c r="B2269" t="s">
        <v>304</v>
      </c>
      <c r="C2269" s="1">
        <v>45633</v>
      </c>
      <c r="E2269" t="s">
        <v>32</v>
      </c>
      <c r="F2269">
        <v>59</v>
      </c>
      <c r="G2269" s="12">
        <v>11741</v>
      </c>
      <c r="H2269" s="12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1050</v>
      </c>
      <c r="N2269" t="b">
        <v>1</v>
      </c>
    </row>
    <row r="2270" spans="1:14" x14ac:dyDescent="0.3">
      <c r="A2270" t="s">
        <v>3316</v>
      </c>
      <c r="B2270" t="s">
        <v>188</v>
      </c>
      <c r="C2270" s="1">
        <v>45513</v>
      </c>
      <c r="E2270" t="s">
        <v>15</v>
      </c>
      <c r="F2270">
        <v>17</v>
      </c>
      <c r="G2270" s="12">
        <v>0</v>
      </c>
      <c r="H2270" s="12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1050</v>
      </c>
      <c r="N2270" t="b">
        <v>1</v>
      </c>
    </row>
    <row r="2271" spans="1:14" x14ac:dyDescent="0.3">
      <c r="A2271" t="s">
        <v>3317</v>
      </c>
      <c r="B2271" t="s">
        <v>406</v>
      </c>
      <c r="C2271" s="1">
        <v>45448</v>
      </c>
      <c r="E2271" t="s">
        <v>39</v>
      </c>
      <c r="F2271">
        <v>8</v>
      </c>
      <c r="G2271" s="12">
        <v>392</v>
      </c>
      <c r="H2271" s="12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1047</v>
      </c>
      <c r="N2271" t="b">
        <v>1</v>
      </c>
    </row>
    <row r="2272" spans="1:14" x14ac:dyDescent="0.3">
      <c r="A2272" t="s">
        <v>3318</v>
      </c>
      <c r="B2272" t="s">
        <v>536</v>
      </c>
      <c r="C2272" s="1">
        <v>45610</v>
      </c>
      <c r="E2272" t="s">
        <v>39</v>
      </c>
      <c r="F2272">
        <v>31</v>
      </c>
      <c r="G2272" s="12">
        <v>0</v>
      </c>
      <c r="H2272" s="1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1047</v>
      </c>
      <c r="N2272" t="b">
        <v>1</v>
      </c>
    </row>
    <row r="2273" spans="1:14" x14ac:dyDescent="0.3">
      <c r="A2273" t="s">
        <v>3319</v>
      </c>
      <c r="B2273" t="s">
        <v>864</v>
      </c>
      <c r="C2273" s="1">
        <v>45337</v>
      </c>
      <c r="E2273" t="s">
        <v>15</v>
      </c>
      <c r="F2273">
        <v>20</v>
      </c>
      <c r="G2273" s="12">
        <v>380</v>
      </c>
      <c r="H2273" s="12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1050</v>
      </c>
      <c r="N2273" t="b">
        <v>0</v>
      </c>
    </row>
    <row r="2274" spans="1:14" x14ac:dyDescent="0.3">
      <c r="A2274" t="s">
        <v>3320</v>
      </c>
      <c r="B2274" t="s">
        <v>994</v>
      </c>
      <c r="C2274" s="1">
        <v>45645</v>
      </c>
      <c r="E2274" t="s">
        <v>15</v>
      </c>
      <c r="F2274">
        <v>48</v>
      </c>
      <c r="G2274" s="12">
        <v>0</v>
      </c>
      <c r="H2274" s="12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1050</v>
      </c>
      <c r="N2274" t="b">
        <v>1</v>
      </c>
    </row>
    <row r="2275" spans="1:14" x14ac:dyDescent="0.3">
      <c r="A2275" t="s">
        <v>3321</v>
      </c>
      <c r="B2275" t="s">
        <v>47</v>
      </c>
      <c r="C2275" s="1">
        <v>45599</v>
      </c>
      <c r="E2275" t="s">
        <v>15</v>
      </c>
      <c r="F2275">
        <v>18</v>
      </c>
      <c r="G2275" s="12">
        <v>342</v>
      </c>
      <c r="H2275" s="12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1047</v>
      </c>
      <c r="N2275" t="b">
        <v>1</v>
      </c>
    </row>
    <row r="2276" spans="1:14" x14ac:dyDescent="0.3">
      <c r="A2276" t="s">
        <v>3322</v>
      </c>
      <c r="B2276" t="s">
        <v>866</v>
      </c>
      <c r="C2276" s="1">
        <v>45505</v>
      </c>
      <c r="E2276" t="s">
        <v>32</v>
      </c>
      <c r="F2276">
        <v>24</v>
      </c>
      <c r="G2276" s="12">
        <v>4776</v>
      </c>
      <c r="H2276" s="12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1047</v>
      </c>
      <c r="N2276" t="b">
        <v>1</v>
      </c>
    </row>
    <row r="2277" spans="1:14" x14ac:dyDescent="0.3">
      <c r="A2277" t="s">
        <v>3323</v>
      </c>
      <c r="B2277" t="s">
        <v>99</v>
      </c>
      <c r="C2277" s="1">
        <v>45460</v>
      </c>
      <c r="E2277" t="s">
        <v>15</v>
      </c>
      <c r="F2277">
        <v>24</v>
      </c>
      <c r="G2277" s="12">
        <v>456</v>
      </c>
      <c r="H2277" s="12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1050</v>
      </c>
      <c r="N2277" t="b">
        <v>1</v>
      </c>
    </row>
    <row r="2278" spans="1:14" x14ac:dyDescent="0.3">
      <c r="A2278" t="s">
        <v>3324</v>
      </c>
      <c r="B2278" t="s">
        <v>280</v>
      </c>
      <c r="C2278" s="1">
        <v>45419</v>
      </c>
      <c r="E2278" t="s">
        <v>32</v>
      </c>
      <c r="F2278">
        <v>7</v>
      </c>
      <c r="G2278" s="12">
        <v>1393</v>
      </c>
      <c r="H2278" s="12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1050</v>
      </c>
      <c r="N2278" t="b">
        <v>1</v>
      </c>
    </row>
    <row r="2279" spans="1:14" x14ac:dyDescent="0.3">
      <c r="A2279" t="s">
        <v>3325</v>
      </c>
      <c r="B2279" t="s">
        <v>132</v>
      </c>
      <c r="C2279" s="1">
        <v>45649</v>
      </c>
      <c r="E2279" t="s">
        <v>15</v>
      </c>
      <c r="F2279">
        <v>13</v>
      </c>
      <c r="G2279" s="12">
        <v>247</v>
      </c>
      <c r="H2279" s="12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1047</v>
      </c>
      <c r="N2279" t="b">
        <v>1</v>
      </c>
    </row>
    <row r="2280" spans="1:14" x14ac:dyDescent="0.3">
      <c r="A2280" t="s">
        <v>3326</v>
      </c>
      <c r="B2280" t="s">
        <v>646</v>
      </c>
      <c r="C2280" s="1">
        <v>45337</v>
      </c>
      <c r="E2280" t="s">
        <v>39</v>
      </c>
      <c r="F2280">
        <v>17</v>
      </c>
      <c r="G2280" s="12">
        <v>833</v>
      </c>
      <c r="H2280" s="12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1050</v>
      </c>
      <c r="N2280" t="b">
        <v>1</v>
      </c>
    </row>
    <row r="2281" spans="1:14" x14ac:dyDescent="0.3">
      <c r="A2281" t="s">
        <v>3327</v>
      </c>
      <c r="B2281" t="s">
        <v>47</v>
      </c>
      <c r="C2281" s="1">
        <v>45574</v>
      </c>
      <c r="E2281" t="s">
        <v>15</v>
      </c>
      <c r="F2281">
        <v>60</v>
      </c>
      <c r="G2281" s="12">
        <v>1140</v>
      </c>
      <c r="H2281" s="12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1047</v>
      </c>
      <c r="N2281" t="b">
        <v>1</v>
      </c>
    </row>
    <row r="2282" spans="1:14" x14ac:dyDescent="0.3">
      <c r="A2282" t="s">
        <v>3328</v>
      </c>
      <c r="B2282" t="s">
        <v>164</v>
      </c>
      <c r="C2282" s="1">
        <v>45540</v>
      </c>
      <c r="E2282" t="s">
        <v>15</v>
      </c>
      <c r="F2282">
        <v>2</v>
      </c>
      <c r="G2282" s="12">
        <v>38</v>
      </c>
      <c r="H2282" s="1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1050</v>
      </c>
      <c r="N2282" t="b">
        <v>1</v>
      </c>
    </row>
    <row r="2283" spans="1:14" x14ac:dyDescent="0.3">
      <c r="A2283" t="s">
        <v>3329</v>
      </c>
      <c r="B2283" t="s">
        <v>176</v>
      </c>
      <c r="C2283" s="1">
        <v>45650</v>
      </c>
      <c r="E2283" t="s">
        <v>32</v>
      </c>
      <c r="F2283">
        <v>37</v>
      </c>
      <c r="G2283" s="12">
        <v>7363</v>
      </c>
      <c r="H2283" s="12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1047</v>
      </c>
      <c r="N2283" t="b">
        <v>1</v>
      </c>
    </row>
    <row r="2284" spans="1:14" x14ac:dyDescent="0.3">
      <c r="A2284" t="s">
        <v>3330</v>
      </c>
      <c r="B2284" t="s">
        <v>840</v>
      </c>
      <c r="C2284" s="1">
        <v>45506</v>
      </c>
      <c r="E2284" t="s">
        <v>15</v>
      </c>
      <c r="F2284">
        <v>6</v>
      </c>
      <c r="G2284" s="12">
        <v>114</v>
      </c>
      <c r="H2284" s="12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1050</v>
      </c>
      <c r="N2284" t="b">
        <v>0</v>
      </c>
    </row>
    <row r="2285" spans="1:14" x14ac:dyDescent="0.3">
      <c r="A2285" t="s">
        <v>3331</v>
      </c>
      <c r="B2285" t="s">
        <v>902</v>
      </c>
      <c r="C2285" s="1">
        <v>45540</v>
      </c>
      <c r="E2285" t="s">
        <v>15</v>
      </c>
      <c r="F2285">
        <v>8</v>
      </c>
      <c r="G2285" s="12">
        <v>152</v>
      </c>
      <c r="H2285" s="12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1047</v>
      </c>
      <c r="N2285" t="b">
        <v>1</v>
      </c>
    </row>
    <row r="2286" spans="1:14" x14ac:dyDescent="0.3">
      <c r="A2286" t="s">
        <v>3332</v>
      </c>
      <c r="B2286" t="s">
        <v>520</v>
      </c>
      <c r="C2286" s="1">
        <v>45648</v>
      </c>
      <c r="E2286" t="s">
        <v>32</v>
      </c>
      <c r="F2286">
        <v>41</v>
      </c>
      <c r="G2286" s="12">
        <v>8159</v>
      </c>
      <c r="H2286" s="12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1050</v>
      </c>
      <c r="N2286" t="b">
        <v>1</v>
      </c>
    </row>
    <row r="2287" spans="1:14" x14ac:dyDescent="0.3">
      <c r="A2287" t="s">
        <v>3333</v>
      </c>
      <c r="B2287" t="s">
        <v>864</v>
      </c>
      <c r="C2287" s="1">
        <v>45330</v>
      </c>
      <c r="E2287" t="s">
        <v>39</v>
      </c>
      <c r="F2287">
        <v>47</v>
      </c>
      <c r="G2287" s="12">
        <v>2303</v>
      </c>
      <c r="H2287" s="12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1050</v>
      </c>
      <c r="N2287" t="b">
        <v>1</v>
      </c>
    </row>
    <row r="2288" spans="1:14" x14ac:dyDescent="0.3">
      <c r="A2288" t="s">
        <v>3334</v>
      </c>
      <c r="B2288" t="s">
        <v>520</v>
      </c>
      <c r="C2288" s="1">
        <v>45570</v>
      </c>
      <c r="E2288" t="s">
        <v>15</v>
      </c>
      <c r="F2288">
        <v>41</v>
      </c>
      <c r="G2288" s="12">
        <v>0</v>
      </c>
      <c r="H2288" s="12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1047</v>
      </c>
      <c r="N2288" t="b">
        <v>0</v>
      </c>
    </row>
    <row r="2289" spans="1:14" x14ac:dyDescent="0.3">
      <c r="A2289" t="s">
        <v>3335</v>
      </c>
      <c r="B2289" t="s">
        <v>586</v>
      </c>
      <c r="C2289" s="1">
        <v>45570</v>
      </c>
      <c r="D2289" s="1">
        <v>45639</v>
      </c>
      <c r="E2289" t="s">
        <v>32</v>
      </c>
      <c r="F2289">
        <v>98</v>
      </c>
      <c r="G2289" s="12">
        <v>19502</v>
      </c>
      <c r="H2289" s="12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1047</v>
      </c>
      <c r="N2289" t="b">
        <v>1</v>
      </c>
    </row>
    <row r="2290" spans="1:14" x14ac:dyDescent="0.3">
      <c r="A2290" t="s">
        <v>3336</v>
      </c>
      <c r="B2290" t="s">
        <v>47</v>
      </c>
      <c r="C2290" s="1">
        <v>45565</v>
      </c>
      <c r="E2290" t="s">
        <v>15</v>
      </c>
      <c r="F2290">
        <v>35</v>
      </c>
      <c r="G2290" s="12">
        <v>665</v>
      </c>
      <c r="H2290" s="12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1050</v>
      </c>
      <c r="N2290" t="b">
        <v>1</v>
      </c>
    </row>
    <row r="2291" spans="1:14" x14ac:dyDescent="0.3">
      <c r="A2291" t="s">
        <v>3337</v>
      </c>
      <c r="B2291" t="s">
        <v>134</v>
      </c>
      <c r="C2291" s="1">
        <v>45545</v>
      </c>
      <c r="E2291" t="s">
        <v>39</v>
      </c>
      <c r="F2291">
        <v>22</v>
      </c>
      <c r="G2291" s="12">
        <v>1078</v>
      </c>
      <c r="H2291" s="12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1047</v>
      </c>
      <c r="N2291" t="b">
        <v>1</v>
      </c>
    </row>
    <row r="2292" spans="1:14" x14ac:dyDescent="0.3">
      <c r="A2292" t="s">
        <v>3338</v>
      </c>
      <c r="B2292" t="s">
        <v>10</v>
      </c>
      <c r="C2292" s="1">
        <v>45609</v>
      </c>
      <c r="E2292" t="s">
        <v>15</v>
      </c>
      <c r="F2292">
        <v>102</v>
      </c>
      <c r="G2292" s="12">
        <v>1938</v>
      </c>
      <c r="H2292" s="1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1047</v>
      </c>
      <c r="N2292" t="b">
        <v>1</v>
      </c>
    </row>
    <row r="2293" spans="1:14" x14ac:dyDescent="0.3">
      <c r="A2293" t="s">
        <v>3339</v>
      </c>
      <c r="B2293" t="s">
        <v>466</v>
      </c>
      <c r="C2293" s="1">
        <v>45413</v>
      </c>
      <c r="E2293" t="s">
        <v>15</v>
      </c>
      <c r="F2293">
        <v>33</v>
      </c>
      <c r="G2293" s="12">
        <v>627</v>
      </c>
      <c r="H2293" s="12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1050</v>
      </c>
      <c r="N2293" t="b">
        <v>1</v>
      </c>
    </row>
    <row r="2294" spans="1:14" x14ac:dyDescent="0.3">
      <c r="A2294" t="s">
        <v>3340</v>
      </c>
      <c r="B2294" t="s">
        <v>700</v>
      </c>
      <c r="C2294" s="1">
        <v>45645</v>
      </c>
      <c r="E2294" t="s">
        <v>15</v>
      </c>
      <c r="F2294">
        <v>21</v>
      </c>
      <c r="G2294" s="12">
        <v>399</v>
      </c>
      <c r="H2294" s="12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1050</v>
      </c>
      <c r="N2294" t="b">
        <v>1</v>
      </c>
    </row>
    <row r="2295" spans="1:14" x14ac:dyDescent="0.3">
      <c r="A2295" t="s">
        <v>3341</v>
      </c>
      <c r="B2295" t="s">
        <v>732</v>
      </c>
      <c r="C2295" s="1">
        <v>45641</v>
      </c>
      <c r="E2295" t="s">
        <v>32</v>
      </c>
      <c r="F2295">
        <v>32</v>
      </c>
      <c r="G2295" s="12">
        <v>6368</v>
      </c>
      <c r="H2295" s="12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1047</v>
      </c>
      <c r="N2295" t="b">
        <v>1</v>
      </c>
    </row>
    <row r="2296" spans="1:14" x14ac:dyDescent="0.3">
      <c r="A2296" t="s">
        <v>3342</v>
      </c>
      <c r="B2296" t="s">
        <v>532</v>
      </c>
      <c r="C2296" s="1">
        <v>45638</v>
      </c>
      <c r="E2296" t="s">
        <v>15</v>
      </c>
      <c r="F2296">
        <v>20</v>
      </c>
      <c r="G2296" s="12">
        <v>380</v>
      </c>
      <c r="H2296" s="12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1047</v>
      </c>
      <c r="N2296" t="b">
        <v>1</v>
      </c>
    </row>
    <row r="2297" spans="1:14" x14ac:dyDescent="0.3">
      <c r="A2297" t="s">
        <v>3343</v>
      </c>
      <c r="B2297" t="s">
        <v>134</v>
      </c>
      <c r="C2297" s="1">
        <v>45310</v>
      </c>
      <c r="E2297" t="s">
        <v>39</v>
      </c>
      <c r="F2297">
        <v>22</v>
      </c>
      <c r="G2297" s="12">
        <v>1078</v>
      </c>
      <c r="H2297" s="12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1047</v>
      </c>
      <c r="N2297" t="b">
        <v>1</v>
      </c>
    </row>
    <row r="2298" spans="1:14" x14ac:dyDescent="0.3">
      <c r="A2298" t="s">
        <v>3344</v>
      </c>
      <c r="B2298" t="s">
        <v>660</v>
      </c>
      <c r="C2298" s="1">
        <v>45306</v>
      </c>
      <c r="E2298" t="s">
        <v>15</v>
      </c>
      <c r="F2298">
        <v>10</v>
      </c>
      <c r="G2298" s="12">
        <v>190</v>
      </c>
      <c r="H2298" s="12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1050</v>
      </c>
      <c r="N2298" t="b">
        <v>0</v>
      </c>
    </row>
    <row r="2299" spans="1:14" x14ac:dyDescent="0.3">
      <c r="A2299" t="s">
        <v>3345</v>
      </c>
      <c r="B2299" t="s">
        <v>974</v>
      </c>
      <c r="C2299" s="1">
        <v>45655</v>
      </c>
      <c r="E2299" t="s">
        <v>15</v>
      </c>
      <c r="F2299">
        <v>50</v>
      </c>
      <c r="G2299" s="12">
        <v>950</v>
      </c>
      <c r="H2299" s="12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1047</v>
      </c>
      <c r="N2299" t="b">
        <v>0</v>
      </c>
    </row>
    <row r="2300" spans="1:14" x14ac:dyDescent="0.3">
      <c r="A2300" t="s">
        <v>3346</v>
      </c>
      <c r="B2300" t="s">
        <v>648</v>
      </c>
      <c r="C2300" s="1">
        <v>45283</v>
      </c>
      <c r="E2300" t="s">
        <v>15</v>
      </c>
      <c r="F2300">
        <v>25</v>
      </c>
      <c r="G2300" s="12">
        <v>475</v>
      </c>
      <c r="H2300" s="12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1050</v>
      </c>
      <c r="N2300" t="b">
        <v>1</v>
      </c>
    </row>
    <row r="2301" spans="1:14" x14ac:dyDescent="0.3">
      <c r="A2301" t="s">
        <v>3347</v>
      </c>
      <c r="B2301" t="s">
        <v>572</v>
      </c>
      <c r="C2301" s="1">
        <v>45538</v>
      </c>
      <c r="E2301" t="s">
        <v>32</v>
      </c>
      <c r="F2301">
        <v>50</v>
      </c>
      <c r="G2301" s="12">
        <v>9950</v>
      </c>
      <c r="H2301" s="12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1047</v>
      </c>
      <c r="N2301" t="b">
        <v>1</v>
      </c>
    </row>
    <row r="2302" spans="1:14" x14ac:dyDescent="0.3">
      <c r="A2302" t="s">
        <v>3348</v>
      </c>
      <c r="B2302" t="s">
        <v>724</v>
      </c>
      <c r="C2302" s="1">
        <v>45445</v>
      </c>
      <c r="E2302" t="s">
        <v>15</v>
      </c>
      <c r="F2302">
        <v>91</v>
      </c>
      <c r="G2302" s="12">
        <v>1729</v>
      </c>
      <c r="H2302" s="1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1050</v>
      </c>
      <c r="N2302" t="b">
        <v>1</v>
      </c>
    </row>
    <row r="2303" spans="1:14" x14ac:dyDescent="0.3">
      <c r="A2303" t="s">
        <v>3349</v>
      </c>
      <c r="B2303" t="s">
        <v>668</v>
      </c>
      <c r="C2303" s="1">
        <v>45374</v>
      </c>
      <c r="E2303" t="s">
        <v>39</v>
      </c>
      <c r="F2303">
        <v>18</v>
      </c>
      <c r="G2303" s="12">
        <v>882</v>
      </c>
      <c r="H2303" s="12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1047</v>
      </c>
      <c r="N2303" t="b">
        <v>1</v>
      </c>
    </row>
    <row r="2304" spans="1:14" x14ac:dyDescent="0.3">
      <c r="A2304" t="s">
        <v>3350</v>
      </c>
      <c r="B2304" t="s">
        <v>306</v>
      </c>
      <c r="C2304" s="1">
        <v>45650</v>
      </c>
      <c r="E2304" t="s">
        <v>39</v>
      </c>
      <c r="F2304">
        <v>19</v>
      </c>
      <c r="G2304" s="12">
        <v>0</v>
      </c>
      <c r="H2304" s="12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1050</v>
      </c>
      <c r="N2304" t="b">
        <v>1</v>
      </c>
    </row>
    <row r="2305" spans="1:14" x14ac:dyDescent="0.3">
      <c r="A2305" t="s">
        <v>3351</v>
      </c>
      <c r="B2305" t="s">
        <v>984</v>
      </c>
      <c r="C2305" s="1">
        <v>45487</v>
      </c>
      <c r="E2305" t="s">
        <v>32</v>
      </c>
      <c r="F2305">
        <v>28</v>
      </c>
      <c r="G2305" s="12">
        <v>5572</v>
      </c>
      <c r="H2305" s="12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1047</v>
      </c>
      <c r="N2305" t="b">
        <v>0</v>
      </c>
    </row>
    <row r="2306" spans="1:14" x14ac:dyDescent="0.3">
      <c r="A2306" t="s">
        <v>3352</v>
      </c>
      <c r="B2306" t="s">
        <v>836</v>
      </c>
      <c r="C2306" s="1">
        <v>45583</v>
      </c>
      <c r="E2306" t="s">
        <v>15</v>
      </c>
      <c r="F2306">
        <v>117</v>
      </c>
      <c r="G2306" s="12">
        <v>2223</v>
      </c>
      <c r="H2306" s="12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1047</v>
      </c>
      <c r="N2306" t="b">
        <v>1</v>
      </c>
    </row>
    <row r="2307" spans="1:14" x14ac:dyDescent="0.3">
      <c r="A2307" t="s">
        <v>3353</v>
      </c>
      <c r="B2307" t="s">
        <v>356</v>
      </c>
      <c r="C2307" s="1">
        <v>45530</v>
      </c>
      <c r="E2307" t="s">
        <v>39</v>
      </c>
      <c r="F2307">
        <v>44</v>
      </c>
      <c r="G2307" s="12">
        <v>2156</v>
      </c>
      <c r="H2307" s="12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1050</v>
      </c>
      <c r="N2307" t="b">
        <v>0</v>
      </c>
    </row>
    <row r="2308" spans="1:14" x14ac:dyDescent="0.3">
      <c r="A2308" t="s">
        <v>3354</v>
      </c>
      <c r="B2308" t="s">
        <v>768</v>
      </c>
      <c r="C2308" s="1">
        <v>45543</v>
      </c>
      <c r="E2308" t="s">
        <v>15</v>
      </c>
      <c r="F2308">
        <v>28</v>
      </c>
      <c r="G2308" s="12">
        <v>532</v>
      </c>
      <c r="H2308" s="12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1047</v>
      </c>
      <c r="N2308" t="b">
        <v>1</v>
      </c>
    </row>
    <row r="2309" spans="1:14" x14ac:dyDescent="0.3">
      <c r="A2309" t="s">
        <v>3355</v>
      </c>
      <c r="B2309" t="s">
        <v>620</v>
      </c>
      <c r="C2309" s="1">
        <v>45575</v>
      </c>
      <c r="E2309" t="s">
        <v>32</v>
      </c>
      <c r="F2309">
        <v>6</v>
      </c>
      <c r="G2309" s="12">
        <v>0</v>
      </c>
      <c r="H2309" s="12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1050</v>
      </c>
      <c r="N2309" t="b">
        <v>1</v>
      </c>
    </row>
    <row r="2310" spans="1:14" x14ac:dyDescent="0.3">
      <c r="A2310" t="s">
        <v>3356</v>
      </c>
      <c r="B2310" t="s">
        <v>178</v>
      </c>
      <c r="C2310" s="1">
        <v>45113</v>
      </c>
      <c r="D2310" s="1">
        <v>45243</v>
      </c>
      <c r="E2310" t="s">
        <v>39</v>
      </c>
      <c r="F2310">
        <v>5</v>
      </c>
      <c r="G2310" s="12">
        <v>245</v>
      </c>
      <c r="H2310" s="12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1047</v>
      </c>
      <c r="N2310" t="b">
        <v>0</v>
      </c>
    </row>
    <row r="2311" spans="1:14" x14ac:dyDescent="0.3">
      <c r="A2311" t="s">
        <v>3357</v>
      </c>
      <c r="B2311" t="s">
        <v>814</v>
      </c>
      <c r="C2311" s="1">
        <v>45347</v>
      </c>
      <c r="E2311" t="s">
        <v>39</v>
      </c>
      <c r="F2311">
        <v>30</v>
      </c>
      <c r="G2311" s="12">
        <v>1470</v>
      </c>
      <c r="H2311" s="12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1050</v>
      </c>
      <c r="N2311" t="b">
        <v>1</v>
      </c>
    </row>
    <row r="2312" spans="1:14" x14ac:dyDescent="0.3">
      <c r="A2312" t="s">
        <v>3358</v>
      </c>
      <c r="B2312" t="s">
        <v>536</v>
      </c>
      <c r="C2312" s="1">
        <v>45641</v>
      </c>
      <c r="E2312" t="s">
        <v>39</v>
      </c>
      <c r="F2312">
        <v>43</v>
      </c>
      <c r="G2312" s="12">
        <v>0</v>
      </c>
      <c r="H2312" s="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1050</v>
      </c>
      <c r="N2312" t="b">
        <v>1</v>
      </c>
    </row>
    <row r="2313" spans="1:14" x14ac:dyDescent="0.3">
      <c r="A2313" t="s">
        <v>3359</v>
      </c>
      <c r="B2313" t="s">
        <v>646</v>
      </c>
      <c r="C2313" s="1">
        <v>45611</v>
      </c>
      <c r="D2313" s="1">
        <v>45619</v>
      </c>
      <c r="E2313" t="s">
        <v>39</v>
      </c>
      <c r="F2313">
        <v>39</v>
      </c>
      <c r="G2313" s="12">
        <v>1911</v>
      </c>
      <c r="H2313" s="12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1047</v>
      </c>
      <c r="N2313" t="b">
        <v>1</v>
      </c>
    </row>
    <row r="2314" spans="1:14" x14ac:dyDescent="0.3">
      <c r="A2314" t="s">
        <v>3360</v>
      </c>
      <c r="B2314" t="s">
        <v>422</v>
      </c>
      <c r="C2314" s="1">
        <v>45435</v>
      </c>
      <c r="D2314" s="1">
        <v>45562</v>
      </c>
      <c r="E2314" t="s">
        <v>32</v>
      </c>
      <c r="F2314">
        <v>22</v>
      </c>
      <c r="G2314" s="12">
        <v>4378</v>
      </c>
      <c r="H2314" s="12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1050</v>
      </c>
      <c r="N2314" t="b">
        <v>1</v>
      </c>
    </row>
    <row r="2315" spans="1:14" x14ac:dyDescent="0.3">
      <c r="A2315" t="s">
        <v>3361</v>
      </c>
      <c r="B2315" t="s">
        <v>574</v>
      </c>
      <c r="C2315" s="1">
        <v>45622</v>
      </c>
      <c r="E2315" t="s">
        <v>39</v>
      </c>
      <c r="F2315">
        <v>35</v>
      </c>
      <c r="G2315" s="12">
        <v>1715</v>
      </c>
      <c r="H2315" s="12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1047</v>
      </c>
      <c r="N2315" t="b">
        <v>0</v>
      </c>
    </row>
    <row r="2316" spans="1:14" x14ac:dyDescent="0.3">
      <c r="A2316" t="s">
        <v>3362</v>
      </c>
      <c r="B2316" t="s">
        <v>624</v>
      </c>
      <c r="C2316" s="1">
        <v>45554</v>
      </c>
      <c r="E2316" t="s">
        <v>39</v>
      </c>
      <c r="F2316">
        <v>56</v>
      </c>
      <c r="G2316" s="12">
        <v>2744</v>
      </c>
      <c r="H2316" s="12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1047</v>
      </c>
      <c r="N2316" t="b">
        <v>0</v>
      </c>
    </row>
    <row r="2317" spans="1:14" x14ac:dyDescent="0.3">
      <c r="A2317" t="s">
        <v>3363</v>
      </c>
      <c r="B2317" t="s">
        <v>748</v>
      </c>
      <c r="C2317" s="1">
        <v>45468</v>
      </c>
      <c r="E2317" t="s">
        <v>15</v>
      </c>
      <c r="F2317">
        <v>22</v>
      </c>
      <c r="G2317" s="12">
        <v>418</v>
      </c>
      <c r="H2317" s="12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1050</v>
      </c>
      <c r="N2317" t="b">
        <v>1</v>
      </c>
    </row>
    <row r="2318" spans="1:14" x14ac:dyDescent="0.3">
      <c r="A2318" t="s">
        <v>3364</v>
      </c>
      <c r="B2318" t="s">
        <v>16</v>
      </c>
      <c r="C2318" s="1">
        <v>45259</v>
      </c>
      <c r="E2318" t="s">
        <v>15</v>
      </c>
      <c r="F2318">
        <v>18</v>
      </c>
      <c r="G2318" s="12">
        <v>342</v>
      </c>
      <c r="H2318" s="12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1050</v>
      </c>
      <c r="N2318" t="b">
        <v>1</v>
      </c>
    </row>
    <row r="2319" spans="1:14" x14ac:dyDescent="0.3">
      <c r="A2319" t="s">
        <v>3365</v>
      </c>
      <c r="B2319" t="s">
        <v>600</v>
      </c>
      <c r="C2319" s="1">
        <v>45596</v>
      </c>
      <c r="E2319" t="s">
        <v>15</v>
      </c>
      <c r="F2319">
        <v>37</v>
      </c>
      <c r="G2319" s="12">
        <v>703</v>
      </c>
      <c r="H2319" s="12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1047</v>
      </c>
      <c r="N2319" t="b">
        <v>1</v>
      </c>
    </row>
    <row r="2320" spans="1:14" x14ac:dyDescent="0.3">
      <c r="A2320" t="s">
        <v>3366</v>
      </c>
      <c r="B2320" t="s">
        <v>89</v>
      </c>
      <c r="C2320" s="1">
        <v>45611</v>
      </c>
      <c r="E2320" t="s">
        <v>39</v>
      </c>
      <c r="F2320">
        <v>7</v>
      </c>
      <c r="G2320" s="12">
        <v>343</v>
      </c>
      <c r="H2320" s="12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1047</v>
      </c>
      <c r="N2320" t="b">
        <v>1</v>
      </c>
    </row>
    <row r="2321" spans="1:14" x14ac:dyDescent="0.3">
      <c r="A2321" t="s">
        <v>3367</v>
      </c>
      <c r="B2321" t="s">
        <v>330</v>
      </c>
      <c r="C2321" s="1">
        <v>45448</v>
      </c>
      <c r="E2321" t="s">
        <v>15</v>
      </c>
      <c r="F2321">
        <v>30</v>
      </c>
      <c r="G2321" s="12">
        <v>570</v>
      </c>
      <c r="H2321" s="12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1050</v>
      </c>
      <c r="N2321" t="b">
        <v>1</v>
      </c>
    </row>
    <row r="2322" spans="1:14" x14ac:dyDescent="0.3">
      <c r="A2322" t="s">
        <v>3368</v>
      </c>
      <c r="B2322" t="s">
        <v>278</v>
      </c>
      <c r="C2322" s="1">
        <v>45311</v>
      </c>
      <c r="E2322" t="s">
        <v>15</v>
      </c>
      <c r="F2322">
        <v>7</v>
      </c>
      <c r="G2322" s="12">
        <v>133</v>
      </c>
      <c r="H2322" s="1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1047</v>
      </c>
      <c r="N2322" t="b">
        <v>1</v>
      </c>
    </row>
    <row r="2323" spans="1:14" x14ac:dyDescent="0.3">
      <c r="A2323" t="s">
        <v>3369</v>
      </c>
      <c r="B2323" t="s">
        <v>794</v>
      </c>
      <c r="C2323" s="1">
        <v>45451</v>
      </c>
      <c r="E2323" t="s">
        <v>15</v>
      </c>
      <c r="F2323">
        <v>31</v>
      </c>
      <c r="G2323" s="12">
        <v>0</v>
      </c>
      <c r="H2323" s="12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1047</v>
      </c>
      <c r="N2323" t="b">
        <v>0</v>
      </c>
    </row>
    <row r="2324" spans="1:14" x14ac:dyDescent="0.3">
      <c r="A2324" t="s">
        <v>3370</v>
      </c>
      <c r="B2324" t="s">
        <v>416</v>
      </c>
      <c r="C2324" s="1">
        <v>44954</v>
      </c>
      <c r="E2324" t="s">
        <v>32</v>
      </c>
      <c r="F2324">
        <v>18</v>
      </c>
      <c r="G2324" s="12">
        <v>3582</v>
      </c>
      <c r="H2324" s="12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1050</v>
      </c>
      <c r="N2324" t="b">
        <v>1</v>
      </c>
    </row>
    <row r="2325" spans="1:14" x14ac:dyDescent="0.3">
      <c r="A2325" t="s">
        <v>3371</v>
      </c>
      <c r="B2325" t="s">
        <v>410</v>
      </c>
      <c r="C2325" s="1">
        <v>45291</v>
      </c>
      <c r="E2325" t="s">
        <v>32</v>
      </c>
      <c r="F2325">
        <v>24</v>
      </c>
      <c r="G2325" s="12">
        <v>0</v>
      </c>
      <c r="H2325" s="12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1047</v>
      </c>
      <c r="N2325" t="b">
        <v>1</v>
      </c>
    </row>
    <row r="2326" spans="1:14" x14ac:dyDescent="0.3">
      <c r="A2326" t="s">
        <v>3372</v>
      </c>
      <c r="B2326" t="s">
        <v>708</v>
      </c>
      <c r="C2326" s="1">
        <v>45600</v>
      </c>
      <c r="E2326" t="s">
        <v>15</v>
      </c>
      <c r="F2326">
        <v>16</v>
      </c>
      <c r="G2326" s="12">
        <v>304</v>
      </c>
      <c r="H2326" s="12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1050</v>
      </c>
      <c r="N2326" t="b">
        <v>1</v>
      </c>
    </row>
    <row r="2327" spans="1:14" x14ac:dyDescent="0.3">
      <c r="A2327" t="s">
        <v>3373</v>
      </c>
      <c r="B2327" t="s">
        <v>886</v>
      </c>
      <c r="C2327" s="1">
        <v>45291</v>
      </c>
      <c r="E2327" t="s">
        <v>15</v>
      </c>
      <c r="F2327">
        <v>16</v>
      </c>
      <c r="G2327" s="12">
        <v>304</v>
      </c>
      <c r="H2327" s="12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1047</v>
      </c>
      <c r="N2327" t="b">
        <v>1</v>
      </c>
    </row>
    <row r="2328" spans="1:14" x14ac:dyDescent="0.3">
      <c r="A2328" t="s">
        <v>3374</v>
      </c>
      <c r="B2328" t="s">
        <v>404</v>
      </c>
      <c r="C2328" s="1">
        <v>45494</v>
      </c>
      <c r="E2328" t="s">
        <v>15</v>
      </c>
      <c r="F2328">
        <v>40</v>
      </c>
      <c r="G2328" s="12">
        <v>0</v>
      </c>
      <c r="H2328" s="12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1047</v>
      </c>
      <c r="N2328" t="b">
        <v>0</v>
      </c>
    </row>
    <row r="2329" spans="1:14" x14ac:dyDescent="0.3">
      <c r="A2329" t="s">
        <v>3375</v>
      </c>
      <c r="B2329" t="s">
        <v>108</v>
      </c>
      <c r="C2329" s="1">
        <v>45593</v>
      </c>
      <c r="E2329" t="s">
        <v>32</v>
      </c>
      <c r="F2329">
        <v>9</v>
      </c>
      <c r="G2329" s="12">
        <v>1791</v>
      </c>
      <c r="H2329" s="12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1050</v>
      </c>
      <c r="N2329" t="b">
        <v>1</v>
      </c>
    </row>
    <row r="2330" spans="1:14" x14ac:dyDescent="0.3">
      <c r="A2330" t="s">
        <v>3376</v>
      </c>
      <c r="B2330" t="s">
        <v>182</v>
      </c>
      <c r="C2330" s="1">
        <v>45472</v>
      </c>
      <c r="D2330" s="1">
        <v>45507</v>
      </c>
      <c r="E2330" t="s">
        <v>39</v>
      </c>
      <c r="F2330">
        <v>44</v>
      </c>
      <c r="G2330" s="12">
        <v>2156</v>
      </c>
      <c r="H2330" s="12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1050</v>
      </c>
      <c r="N2330" t="b">
        <v>1</v>
      </c>
    </row>
    <row r="2331" spans="1:14" x14ac:dyDescent="0.3">
      <c r="A2331" t="s">
        <v>3377</v>
      </c>
      <c r="B2331" t="s">
        <v>510</v>
      </c>
      <c r="C2331" s="1">
        <v>45492</v>
      </c>
      <c r="E2331" t="s">
        <v>32</v>
      </c>
      <c r="F2331">
        <v>55</v>
      </c>
      <c r="G2331" s="12">
        <v>0</v>
      </c>
      <c r="H2331" s="12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1050</v>
      </c>
      <c r="N2331" t="b">
        <v>1</v>
      </c>
    </row>
    <row r="2332" spans="1:14" x14ac:dyDescent="0.3">
      <c r="A2332" t="s">
        <v>3378</v>
      </c>
      <c r="B2332" t="s">
        <v>484</v>
      </c>
      <c r="C2332" s="1">
        <v>45531</v>
      </c>
      <c r="E2332" t="s">
        <v>39</v>
      </c>
      <c r="F2332">
        <v>18</v>
      </c>
      <c r="G2332" s="12">
        <v>882</v>
      </c>
      <c r="H2332" s="1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1047</v>
      </c>
      <c r="N2332" t="b">
        <v>0</v>
      </c>
    </row>
    <row r="2333" spans="1:14" x14ac:dyDescent="0.3">
      <c r="A2333" t="s">
        <v>3379</v>
      </c>
      <c r="B2333" t="s">
        <v>188</v>
      </c>
      <c r="C2333" s="1">
        <v>45118</v>
      </c>
      <c r="E2333" t="s">
        <v>32</v>
      </c>
      <c r="F2333">
        <v>38</v>
      </c>
      <c r="G2333" s="12">
        <v>0</v>
      </c>
      <c r="H2333" s="12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1047</v>
      </c>
      <c r="N2333" t="b">
        <v>1</v>
      </c>
    </row>
    <row r="2334" spans="1:14" x14ac:dyDescent="0.3">
      <c r="A2334" t="s">
        <v>3380</v>
      </c>
      <c r="B2334" t="s">
        <v>648</v>
      </c>
      <c r="C2334" s="1">
        <v>45306</v>
      </c>
      <c r="E2334" t="s">
        <v>32</v>
      </c>
      <c r="F2334">
        <v>16</v>
      </c>
      <c r="G2334" s="12">
        <v>3184</v>
      </c>
      <c r="H2334" s="12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1047</v>
      </c>
      <c r="N2334" t="b">
        <v>1</v>
      </c>
    </row>
    <row r="2335" spans="1:14" x14ac:dyDescent="0.3">
      <c r="A2335" t="s">
        <v>3381</v>
      </c>
      <c r="B2335" t="s">
        <v>33</v>
      </c>
      <c r="C2335" s="1">
        <v>45413</v>
      </c>
      <c r="E2335" t="s">
        <v>39</v>
      </c>
      <c r="F2335">
        <v>4</v>
      </c>
      <c r="G2335" s="12">
        <v>196</v>
      </c>
      <c r="H2335" s="12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1050</v>
      </c>
      <c r="N2335" t="b">
        <v>0</v>
      </c>
    </row>
    <row r="2336" spans="1:14" x14ac:dyDescent="0.3">
      <c r="A2336" t="s">
        <v>3382</v>
      </c>
      <c r="B2336" t="s">
        <v>596</v>
      </c>
      <c r="C2336" s="1">
        <v>45522</v>
      </c>
      <c r="E2336" t="s">
        <v>39</v>
      </c>
      <c r="F2336">
        <v>21</v>
      </c>
      <c r="G2336" s="12">
        <v>1029</v>
      </c>
      <c r="H2336" s="12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1050</v>
      </c>
      <c r="N2336" t="b">
        <v>1</v>
      </c>
    </row>
    <row r="2337" spans="1:14" x14ac:dyDescent="0.3">
      <c r="A2337" t="s">
        <v>3383</v>
      </c>
      <c r="B2337" t="s">
        <v>756</v>
      </c>
      <c r="C2337" s="1">
        <v>45204</v>
      </c>
      <c r="E2337" t="s">
        <v>39</v>
      </c>
      <c r="F2337">
        <v>6</v>
      </c>
      <c r="G2337" s="12">
        <v>294</v>
      </c>
      <c r="H2337" s="12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1047</v>
      </c>
      <c r="N2337" t="b">
        <v>1</v>
      </c>
    </row>
    <row r="2338" spans="1:14" x14ac:dyDescent="0.3">
      <c r="A2338" t="s">
        <v>3384</v>
      </c>
      <c r="B2338" t="s">
        <v>308</v>
      </c>
      <c r="C2338" s="1">
        <v>45552</v>
      </c>
      <c r="E2338" t="s">
        <v>32</v>
      </c>
      <c r="F2338">
        <v>7</v>
      </c>
      <c r="G2338" s="12">
        <v>1393</v>
      </c>
      <c r="H2338" s="12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1050</v>
      </c>
      <c r="N2338" t="b">
        <v>0</v>
      </c>
    </row>
    <row r="2339" spans="1:14" x14ac:dyDescent="0.3">
      <c r="A2339" t="s">
        <v>3385</v>
      </c>
      <c r="B2339" t="s">
        <v>1002</v>
      </c>
      <c r="C2339" s="1">
        <v>45077</v>
      </c>
      <c r="E2339" t="s">
        <v>32</v>
      </c>
      <c r="F2339">
        <v>9</v>
      </c>
      <c r="G2339" s="12">
        <v>1791</v>
      </c>
      <c r="H2339" s="12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1047</v>
      </c>
      <c r="N2339" t="b">
        <v>1</v>
      </c>
    </row>
    <row r="2340" spans="1:14" x14ac:dyDescent="0.3">
      <c r="A2340" t="s">
        <v>3386</v>
      </c>
      <c r="B2340" t="s">
        <v>440</v>
      </c>
      <c r="C2340" s="1">
        <v>45641</v>
      </c>
      <c r="D2340" s="1">
        <v>45648</v>
      </c>
      <c r="E2340" t="s">
        <v>15</v>
      </c>
      <c r="F2340">
        <v>50</v>
      </c>
      <c r="G2340" s="12">
        <v>950</v>
      </c>
      <c r="H2340" s="12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1050</v>
      </c>
      <c r="N2340" t="b">
        <v>1</v>
      </c>
    </row>
    <row r="2341" spans="1:14" x14ac:dyDescent="0.3">
      <c r="A2341" t="s">
        <v>3387</v>
      </c>
      <c r="B2341" t="s">
        <v>218</v>
      </c>
      <c r="C2341" s="1">
        <v>45646</v>
      </c>
      <c r="E2341" t="s">
        <v>32</v>
      </c>
      <c r="F2341">
        <v>9</v>
      </c>
      <c r="G2341" s="12">
        <v>1791</v>
      </c>
      <c r="H2341" s="12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1047</v>
      </c>
      <c r="N2341" t="b">
        <v>1</v>
      </c>
    </row>
    <row r="2342" spans="1:14" x14ac:dyDescent="0.3">
      <c r="A2342" t="s">
        <v>3388</v>
      </c>
      <c r="B2342" t="s">
        <v>866</v>
      </c>
      <c r="C2342" s="1">
        <v>45582</v>
      </c>
      <c r="D2342" s="1">
        <v>45643</v>
      </c>
      <c r="E2342" t="s">
        <v>39</v>
      </c>
      <c r="F2342">
        <v>23</v>
      </c>
      <c r="G2342" s="12">
        <v>1127</v>
      </c>
      <c r="H2342" s="1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1050</v>
      </c>
      <c r="N2342" t="b">
        <v>1</v>
      </c>
    </row>
    <row r="2343" spans="1:14" x14ac:dyDescent="0.3">
      <c r="A2343" t="s">
        <v>3389</v>
      </c>
      <c r="B2343" t="s">
        <v>698</v>
      </c>
      <c r="C2343" s="1">
        <v>45475</v>
      </c>
      <c r="D2343" s="1">
        <v>45517</v>
      </c>
      <c r="E2343" t="s">
        <v>39</v>
      </c>
      <c r="F2343">
        <v>41</v>
      </c>
      <c r="G2343" s="12">
        <v>2009</v>
      </c>
      <c r="H2343" s="12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1047</v>
      </c>
      <c r="N2343" t="b">
        <v>1</v>
      </c>
    </row>
    <row r="2344" spans="1:14" x14ac:dyDescent="0.3">
      <c r="A2344" t="s">
        <v>3390</v>
      </c>
      <c r="B2344" t="s">
        <v>852</v>
      </c>
      <c r="C2344" s="1">
        <v>45515</v>
      </c>
      <c r="E2344" t="s">
        <v>32</v>
      </c>
      <c r="F2344">
        <v>2</v>
      </c>
      <c r="G2344" s="12">
        <v>0</v>
      </c>
      <c r="H2344" s="12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1050</v>
      </c>
      <c r="N2344" t="b">
        <v>0</v>
      </c>
    </row>
    <row r="2345" spans="1:14" x14ac:dyDescent="0.3">
      <c r="A2345" t="s">
        <v>3391</v>
      </c>
      <c r="B2345" t="s">
        <v>228</v>
      </c>
      <c r="C2345" s="1">
        <v>45358</v>
      </c>
      <c r="E2345" t="s">
        <v>15</v>
      </c>
      <c r="F2345">
        <v>50</v>
      </c>
      <c r="G2345" s="12">
        <v>950</v>
      </c>
      <c r="H2345" s="12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1047</v>
      </c>
      <c r="N2345" t="b">
        <v>1</v>
      </c>
    </row>
    <row r="2346" spans="1:14" x14ac:dyDescent="0.3">
      <c r="A2346" t="s">
        <v>3392</v>
      </c>
      <c r="B2346" t="s">
        <v>108</v>
      </c>
      <c r="C2346" s="1">
        <v>45638</v>
      </c>
      <c r="E2346" t="s">
        <v>32</v>
      </c>
      <c r="F2346">
        <v>6</v>
      </c>
      <c r="G2346" s="12">
        <v>1194</v>
      </c>
      <c r="H2346" s="12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1050</v>
      </c>
      <c r="N2346" t="b">
        <v>1</v>
      </c>
    </row>
    <row r="2347" spans="1:14" x14ac:dyDescent="0.3">
      <c r="A2347" t="s">
        <v>3393</v>
      </c>
      <c r="B2347" t="s">
        <v>55</v>
      </c>
      <c r="C2347" s="1">
        <v>45641</v>
      </c>
      <c r="E2347" t="s">
        <v>39</v>
      </c>
      <c r="F2347">
        <v>41</v>
      </c>
      <c r="G2347" s="12">
        <v>2009</v>
      </c>
      <c r="H2347" s="12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1047</v>
      </c>
      <c r="N2347" t="b">
        <v>1</v>
      </c>
    </row>
    <row r="2348" spans="1:14" x14ac:dyDescent="0.3">
      <c r="A2348" t="s">
        <v>3394</v>
      </c>
      <c r="B2348" t="s">
        <v>584</v>
      </c>
      <c r="C2348" s="1">
        <v>45362</v>
      </c>
      <c r="E2348" t="s">
        <v>15</v>
      </c>
      <c r="F2348">
        <v>12</v>
      </c>
      <c r="G2348" s="12">
        <v>228</v>
      </c>
      <c r="H2348" s="12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1047</v>
      </c>
      <c r="N2348" t="b">
        <v>1</v>
      </c>
    </row>
    <row r="2349" spans="1:14" x14ac:dyDescent="0.3">
      <c r="A2349" t="s">
        <v>3395</v>
      </c>
      <c r="B2349" t="s">
        <v>640</v>
      </c>
      <c r="C2349" s="1">
        <v>45378</v>
      </c>
      <c r="E2349" t="s">
        <v>39</v>
      </c>
      <c r="F2349">
        <v>11</v>
      </c>
      <c r="G2349" s="12">
        <v>539</v>
      </c>
      <c r="H2349" s="12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1047</v>
      </c>
      <c r="N2349" t="b">
        <v>1</v>
      </c>
    </row>
    <row r="2350" spans="1:14" x14ac:dyDescent="0.3">
      <c r="A2350" t="s">
        <v>3396</v>
      </c>
      <c r="B2350" t="s">
        <v>594</v>
      </c>
      <c r="C2350" s="1">
        <v>45388</v>
      </c>
      <c r="E2350" t="s">
        <v>32</v>
      </c>
      <c r="F2350">
        <v>2</v>
      </c>
      <c r="G2350" s="12">
        <v>0</v>
      </c>
      <c r="H2350" s="12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1047</v>
      </c>
      <c r="N2350" t="b">
        <v>1</v>
      </c>
    </row>
    <row r="2351" spans="1:14" x14ac:dyDescent="0.3">
      <c r="A2351" t="s">
        <v>3397</v>
      </c>
      <c r="B2351" t="s">
        <v>276</v>
      </c>
      <c r="C2351" s="1">
        <v>45231</v>
      </c>
      <c r="E2351" t="s">
        <v>15</v>
      </c>
      <c r="F2351">
        <v>2</v>
      </c>
      <c r="G2351" s="12">
        <v>38</v>
      </c>
      <c r="H2351" s="12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1047</v>
      </c>
      <c r="N2351" t="b">
        <v>1</v>
      </c>
    </row>
    <row r="2352" spans="1:14" x14ac:dyDescent="0.3">
      <c r="A2352" t="s">
        <v>3398</v>
      </c>
      <c r="B2352" t="s">
        <v>606</v>
      </c>
      <c r="C2352" s="1">
        <v>45593</v>
      </c>
      <c r="E2352" t="s">
        <v>15</v>
      </c>
      <c r="F2352">
        <v>10</v>
      </c>
      <c r="G2352" s="12">
        <v>190</v>
      </c>
      <c r="H2352" s="1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1047</v>
      </c>
      <c r="N2352" t="b">
        <v>1</v>
      </c>
    </row>
    <row r="2353" spans="1:14" x14ac:dyDescent="0.3">
      <c r="A2353" t="s">
        <v>3399</v>
      </c>
      <c r="B2353" t="s">
        <v>352</v>
      </c>
      <c r="C2353" s="1">
        <v>45277</v>
      </c>
      <c r="E2353" t="s">
        <v>39</v>
      </c>
      <c r="F2353">
        <v>30</v>
      </c>
      <c r="G2353" s="12">
        <v>1470</v>
      </c>
      <c r="H2353" s="12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1047</v>
      </c>
      <c r="N2353" t="b">
        <v>1</v>
      </c>
    </row>
    <row r="2354" spans="1:14" x14ac:dyDescent="0.3">
      <c r="A2354" t="s">
        <v>3400</v>
      </c>
      <c r="B2354" t="s">
        <v>394</v>
      </c>
      <c r="C2354" s="1">
        <v>45622</v>
      </c>
      <c r="E2354" t="s">
        <v>39</v>
      </c>
      <c r="F2354">
        <v>6</v>
      </c>
      <c r="G2354" s="12">
        <v>294</v>
      </c>
      <c r="H2354" s="12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1050</v>
      </c>
      <c r="N2354" t="b">
        <v>1</v>
      </c>
    </row>
    <row r="2355" spans="1:14" x14ac:dyDescent="0.3">
      <c r="A2355" t="s">
        <v>3401</v>
      </c>
      <c r="B2355" t="s">
        <v>542</v>
      </c>
      <c r="C2355" s="1">
        <v>45275</v>
      </c>
      <c r="E2355" t="s">
        <v>39</v>
      </c>
      <c r="F2355">
        <v>189</v>
      </c>
      <c r="G2355" s="12">
        <v>9261</v>
      </c>
      <c r="H2355" s="12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1050</v>
      </c>
      <c r="N2355" t="b">
        <v>1</v>
      </c>
    </row>
    <row r="2356" spans="1:14" x14ac:dyDescent="0.3">
      <c r="A2356" t="s">
        <v>3402</v>
      </c>
      <c r="B2356" t="s">
        <v>772</v>
      </c>
      <c r="C2356" s="1">
        <v>45646</v>
      </c>
      <c r="E2356" t="s">
        <v>15</v>
      </c>
      <c r="F2356">
        <v>15</v>
      </c>
      <c r="G2356" s="12">
        <v>285</v>
      </c>
      <c r="H2356" s="12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1047</v>
      </c>
      <c r="N2356" t="b">
        <v>1</v>
      </c>
    </row>
    <row r="2357" spans="1:14" x14ac:dyDescent="0.3">
      <c r="A2357" t="s">
        <v>3403</v>
      </c>
      <c r="B2357" t="s">
        <v>368</v>
      </c>
      <c r="C2357" s="1">
        <v>45465</v>
      </c>
      <c r="E2357" t="s">
        <v>32</v>
      </c>
      <c r="F2357">
        <v>34</v>
      </c>
      <c r="G2357" s="12">
        <v>6766</v>
      </c>
      <c r="H2357" s="12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1047</v>
      </c>
      <c r="N2357" t="b">
        <v>1</v>
      </c>
    </row>
    <row r="2358" spans="1:14" x14ac:dyDescent="0.3">
      <c r="A2358" t="s">
        <v>3404</v>
      </c>
      <c r="B2358" t="s">
        <v>544</v>
      </c>
      <c r="C2358" s="1">
        <v>45532</v>
      </c>
      <c r="E2358" t="s">
        <v>15</v>
      </c>
      <c r="F2358">
        <v>37</v>
      </c>
      <c r="G2358" s="12">
        <v>0</v>
      </c>
      <c r="H2358" s="12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1050</v>
      </c>
      <c r="N2358" t="b">
        <v>1</v>
      </c>
    </row>
    <row r="2359" spans="1:14" x14ac:dyDescent="0.3">
      <c r="A2359" t="s">
        <v>3405</v>
      </c>
      <c r="B2359" t="s">
        <v>518</v>
      </c>
      <c r="C2359" s="1">
        <v>45552</v>
      </c>
      <c r="E2359" t="s">
        <v>15</v>
      </c>
      <c r="F2359">
        <v>45</v>
      </c>
      <c r="G2359" s="12">
        <v>855</v>
      </c>
      <c r="H2359" s="12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1050</v>
      </c>
      <c r="N2359" t="b">
        <v>0</v>
      </c>
    </row>
    <row r="2360" spans="1:14" x14ac:dyDescent="0.3">
      <c r="A2360" t="s">
        <v>3406</v>
      </c>
      <c r="B2360" t="s">
        <v>194</v>
      </c>
      <c r="C2360" s="1">
        <v>45263</v>
      </c>
      <c r="D2360" s="1">
        <v>45500</v>
      </c>
      <c r="E2360" t="s">
        <v>32</v>
      </c>
      <c r="F2360">
        <v>11</v>
      </c>
      <c r="G2360" s="12">
        <v>0</v>
      </c>
      <c r="H2360" s="12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1047</v>
      </c>
      <c r="N2360" t="b">
        <v>1</v>
      </c>
    </row>
    <row r="2361" spans="1:14" x14ac:dyDescent="0.3">
      <c r="A2361" t="s">
        <v>3407</v>
      </c>
      <c r="B2361" t="s">
        <v>936</v>
      </c>
      <c r="C2361" s="1">
        <v>45550</v>
      </c>
      <c r="E2361" t="s">
        <v>32</v>
      </c>
      <c r="F2361">
        <v>26</v>
      </c>
      <c r="G2361" s="12">
        <v>5174</v>
      </c>
      <c r="H2361" s="12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1047</v>
      </c>
      <c r="N2361" t="b">
        <v>1</v>
      </c>
    </row>
    <row r="2362" spans="1:14" x14ac:dyDescent="0.3">
      <c r="A2362" t="s">
        <v>3408</v>
      </c>
      <c r="B2362" t="s">
        <v>934</v>
      </c>
      <c r="C2362" s="1">
        <v>45557</v>
      </c>
      <c r="E2362" t="s">
        <v>32</v>
      </c>
      <c r="F2362">
        <v>46</v>
      </c>
      <c r="G2362" s="12">
        <v>0</v>
      </c>
      <c r="H2362" s="1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1047</v>
      </c>
      <c r="N2362" t="b">
        <v>0</v>
      </c>
    </row>
    <row r="2363" spans="1:14" x14ac:dyDescent="0.3">
      <c r="A2363" t="s">
        <v>3409</v>
      </c>
      <c r="B2363" t="s">
        <v>816</v>
      </c>
      <c r="C2363" s="1">
        <v>45532</v>
      </c>
      <c r="E2363" t="s">
        <v>32</v>
      </c>
      <c r="F2363">
        <v>15</v>
      </c>
      <c r="G2363" s="12">
        <v>0</v>
      </c>
      <c r="H2363" s="12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1050</v>
      </c>
      <c r="N2363" t="b">
        <v>1</v>
      </c>
    </row>
    <row r="2364" spans="1:14" x14ac:dyDescent="0.3">
      <c r="A2364" t="s">
        <v>3410</v>
      </c>
      <c r="B2364" t="s">
        <v>488</v>
      </c>
      <c r="C2364" s="1">
        <v>45622</v>
      </c>
      <c r="E2364" t="s">
        <v>15</v>
      </c>
      <c r="F2364">
        <v>6</v>
      </c>
      <c r="G2364" s="12">
        <v>114</v>
      </c>
      <c r="H2364" s="12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1050</v>
      </c>
      <c r="N2364" t="b">
        <v>1</v>
      </c>
    </row>
    <row r="2365" spans="1:14" x14ac:dyDescent="0.3">
      <c r="A2365" t="s">
        <v>3411</v>
      </c>
      <c r="B2365" t="s">
        <v>326</v>
      </c>
      <c r="C2365" s="1">
        <v>45634</v>
      </c>
      <c r="E2365" t="s">
        <v>32</v>
      </c>
      <c r="F2365">
        <v>49</v>
      </c>
      <c r="G2365" s="12">
        <v>9751</v>
      </c>
      <c r="H2365" s="12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1050</v>
      </c>
      <c r="N2365" t="b">
        <v>1</v>
      </c>
    </row>
    <row r="2366" spans="1:14" x14ac:dyDescent="0.3">
      <c r="A2366" t="s">
        <v>3412</v>
      </c>
      <c r="B2366" t="s">
        <v>68</v>
      </c>
      <c r="C2366" s="1">
        <v>45594</v>
      </c>
      <c r="E2366" t="s">
        <v>15</v>
      </c>
      <c r="F2366">
        <v>28</v>
      </c>
      <c r="G2366" s="12">
        <v>532</v>
      </c>
      <c r="H2366" s="12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1047</v>
      </c>
      <c r="N2366" t="b">
        <v>0</v>
      </c>
    </row>
    <row r="2367" spans="1:14" x14ac:dyDescent="0.3">
      <c r="A2367" t="s">
        <v>3413</v>
      </c>
      <c r="B2367" t="s">
        <v>654</v>
      </c>
      <c r="C2367" s="1">
        <v>45646</v>
      </c>
      <c r="E2367" t="s">
        <v>15</v>
      </c>
      <c r="F2367">
        <v>3</v>
      </c>
      <c r="G2367" s="12">
        <v>57</v>
      </c>
      <c r="H2367" s="12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1047</v>
      </c>
      <c r="N2367" t="b">
        <v>1</v>
      </c>
    </row>
    <row r="2368" spans="1:14" x14ac:dyDescent="0.3">
      <c r="A2368" t="s">
        <v>3414</v>
      </c>
      <c r="B2368" t="s">
        <v>610</v>
      </c>
      <c r="C2368" s="1">
        <v>45617</v>
      </c>
      <c r="E2368" t="s">
        <v>39</v>
      </c>
      <c r="F2368">
        <v>38</v>
      </c>
      <c r="G2368" s="12">
        <v>1862</v>
      </c>
      <c r="H2368" s="12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1047</v>
      </c>
      <c r="N2368" t="b">
        <v>1</v>
      </c>
    </row>
    <row r="2369" spans="1:14" x14ac:dyDescent="0.3">
      <c r="A2369" t="s">
        <v>3415</v>
      </c>
      <c r="B2369" t="s">
        <v>854</v>
      </c>
      <c r="C2369" s="1">
        <v>45260</v>
      </c>
      <c r="E2369" t="s">
        <v>15</v>
      </c>
      <c r="F2369">
        <v>39</v>
      </c>
      <c r="G2369" s="12">
        <v>0</v>
      </c>
      <c r="H2369" s="12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1050</v>
      </c>
      <c r="N2369" t="b">
        <v>1</v>
      </c>
    </row>
    <row r="2370" spans="1:14" x14ac:dyDescent="0.3">
      <c r="A2370" t="s">
        <v>3416</v>
      </c>
      <c r="B2370" t="s">
        <v>590</v>
      </c>
      <c r="C2370" s="1">
        <v>45652</v>
      </c>
      <c r="D2370" s="1">
        <v>45655</v>
      </c>
      <c r="E2370" t="s">
        <v>15</v>
      </c>
      <c r="F2370">
        <v>17</v>
      </c>
      <c r="G2370" s="12">
        <v>323</v>
      </c>
      <c r="H2370" s="12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1047</v>
      </c>
      <c r="N2370" t="b">
        <v>0</v>
      </c>
    </row>
    <row r="2371" spans="1:14" x14ac:dyDescent="0.3">
      <c r="A2371" t="s">
        <v>3417</v>
      </c>
      <c r="B2371" t="s">
        <v>494</v>
      </c>
      <c r="C2371" s="1">
        <v>45298</v>
      </c>
      <c r="D2371" s="1">
        <v>45449</v>
      </c>
      <c r="E2371" t="s">
        <v>15</v>
      </c>
      <c r="F2371">
        <v>6</v>
      </c>
      <c r="G2371" s="12">
        <v>114</v>
      </c>
      <c r="H2371" s="12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1047</v>
      </c>
      <c r="N2371" t="b">
        <v>1</v>
      </c>
    </row>
    <row r="2372" spans="1:14" x14ac:dyDescent="0.3">
      <c r="A2372" t="s">
        <v>3418</v>
      </c>
      <c r="B2372" t="s">
        <v>97</v>
      </c>
      <c r="C2372" s="1">
        <v>45272</v>
      </c>
      <c r="E2372" t="s">
        <v>32</v>
      </c>
      <c r="F2372">
        <v>10</v>
      </c>
      <c r="G2372" s="12">
        <v>0</v>
      </c>
      <c r="H2372" s="1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1050</v>
      </c>
      <c r="N2372" t="b">
        <v>1</v>
      </c>
    </row>
    <row r="2373" spans="1:14" x14ac:dyDescent="0.3">
      <c r="A2373" t="s">
        <v>3419</v>
      </c>
      <c r="B2373" t="s">
        <v>390</v>
      </c>
      <c r="C2373" s="1">
        <v>45079</v>
      </c>
      <c r="E2373" t="s">
        <v>15</v>
      </c>
      <c r="F2373">
        <v>61</v>
      </c>
      <c r="G2373" s="12">
        <v>1159</v>
      </c>
      <c r="H2373" s="12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1047</v>
      </c>
      <c r="N2373" t="b">
        <v>1</v>
      </c>
    </row>
    <row r="2374" spans="1:14" x14ac:dyDescent="0.3">
      <c r="A2374" t="s">
        <v>3420</v>
      </c>
      <c r="B2374" t="s">
        <v>756</v>
      </c>
      <c r="C2374" s="1">
        <v>45443</v>
      </c>
      <c r="E2374" t="s">
        <v>39</v>
      </c>
      <c r="F2374">
        <v>51</v>
      </c>
      <c r="G2374" s="12">
        <v>2499</v>
      </c>
      <c r="H2374" s="12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1050</v>
      </c>
      <c r="N2374" t="b">
        <v>1</v>
      </c>
    </row>
    <row r="2375" spans="1:14" x14ac:dyDescent="0.3">
      <c r="A2375" t="s">
        <v>3421</v>
      </c>
      <c r="B2375" t="s">
        <v>292</v>
      </c>
      <c r="C2375" s="1">
        <v>45648</v>
      </c>
      <c r="E2375" t="s">
        <v>32</v>
      </c>
      <c r="F2375">
        <v>29</v>
      </c>
      <c r="G2375" s="12">
        <v>5771</v>
      </c>
      <c r="H2375" s="12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1047</v>
      </c>
      <c r="N2375" t="b">
        <v>1</v>
      </c>
    </row>
    <row r="2376" spans="1:14" x14ac:dyDescent="0.3">
      <c r="A2376" t="s">
        <v>3422</v>
      </c>
      <c r="B2376" t="s">
        <v>992</v>
      </c>
      <c r="C2376" s="1">
        <v>45260</v>
      </c>
      <c r="E2376" t="s">
        <v>32</v>
      </c>
      <c r="F2376">
        <v>12</v>
      </c>
      <c r="G2376" s="12">
        <v>2388</v>
      </c>
      <c r="H2376" s="12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1050</v>
      </c>
      <c r="N2376" t="b">
        <v>1</v>
      </c>
    </row>
    <row r="2377" spans="1:14" x14ac:dyDescent="0.3">
      <c r="A2377" t="s">
        <v>3423</v>
      </c>
      <c r="B2377" t="s">
        <v>68</v>
      </c>
      <c r="C2377" s="1">
        <v>45582</v>
      </c>
      <c r="E2377" t="s">
        <v>39</v>
      </c>
      <c r="F2377">
        <v>12</v>
      </c>
      <c r="G2377" s="12">
        <v>588</v>
      </c>
      <c r="H2377" s="12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1050</v>
      </c>
      <c r="N2377" t="b">
        <v>0</v>
      </c>
    </row>
    <row r="2378" spans="1:14" x14ac:dyDescent="0.3">
      <c r="A2378" t="s">
        <v>3424</v>
      </c>
      <c r="B2378" t="s">
        <v>448</v>
      </c>
      <c r="C2378" s="1">
        <v>45569</v>
      </c>
      <c r="E2378" t="s">
        <v>32</v>
      </c>
      <c r="F2378">
        <v>27</v>
      </c>
      <c r="G2378" s="12">
        <v>5373</v>
      </c>
      <c r="H2378" s="12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1047</v>
      </c>
      <c r="N2378" t="b">
        <v>1</v>
      </c>
    </row>
    <row r="2379" spans="1:14" x14ac:dyDescent="0.3">
      <c r="A2379" t="s">
        <v>3425</v>
      </c>
      <c r="B2379" t="s">
        <v>480</v>
      </c>
      <c r="C2379" s="1">
        <v>45632</v>
      </c>
      <c r="E2379" t="s">
        <v>32</v>
      </c>
      <c r="F2379">
        <v>80</v>
      </c>
      <c r="G2379" s="12">
        <v>0</v>
      </c>
      <c r="H2379" s="12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1050</v>
      </c>
      <c r="N2379" t="b">
        <v>1</v>
      </c>
    </row>
    <row r="2380" spans="1:14" x14ac:dyDescent="0.3">
      <c r="A2380" t="s">
        <v>3426</v>
      </c>
      <c r="B2380" t="s">
        <v>412</v>
      </c>
      <c r="C2380" s="1">
        <v>45379</v>
      </c>
      <c r="E2380" t="s">
        <v>32</v>
      </c>
      <c r="F2380">
        <v>19</v>
      </c>
      <c r="G2380" s="12">
        <v>3781</v>
      </c>
      <c r="H2380" s="12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1050</v>
      </c>
      <c r="N2380" t="b">
        <v>0</v>
      </c>
    </row>
    <row r="2381" spans="1:14" x14ac:dyDescent="0.3">
      <c r="A2381" t="s">
        <v>3427</v>
      </c>
      <c r="B2381" t="s">
        <v>548</v>
      </c>
      <c r="C2381" s="1">
        <v>45595</v>
      </c>
      <c r="E2381" t="s">
        <v>39</v>
      </c>
      <c r="F2381">
        <v>77</v>
      </c>
      <c r="G2381" s="12">
        <v>3773</v>
      </c>
      <c r="H2381" s="12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1047</v>
      </c>
      <c r="N2381" t="b">
        <v>0</v>
      </c>
    </row>
    <row r="2382" spans="1:14" x14ac:dyDescent="0.3">
      <c r="A2382" t="s">
        <v>3428</v>
      </c>
      <c r="B2382" t="s">
        <v>664</v>
      </c>
      <c r="C2382" s="1">
        <v>45429</v>
      </c>
      <c r="E2382" t="s">
        <v>32</v>
      </c>
      <c r="F2382">
        <v>21</v>
      </c>
      <c r="G2382" s="12">
        <v>4179</v>
      </c>
      <c r="H2382" s="1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1047</v>
      </c>
      <c r="N2382" t="b">
        <v>1</v>
      </c>
    </row>
    <row r="2383" spans="1:14" x14ac:dyDescent="0.3">
      <c r="A2383" t="s">
        <v>3429</v>
      </c>
      <c r="B2383" t="s">
        <v>746</v>
      </c>
      <c r="C2383" s="1">
        <v>45583</v>
      </c>
      <c r="E2383" t="s">
        <v>15</v>
      </c>
      <c r="F2383">
        <v>87</v>
      </c>
      <c r="G2383" s="12">
        <v>1653</v>
      </c>
      <c r="H2383" s="12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1047</v>
      </c>
      <c r="N2383" t="b">
        <v>1</v>
      </c>
    </row>
    <row r="2384" spans="1:14" x14ac:dyDescent="0.3">
      <c r="A2384" t="s">
        <v>3430</v>
      </c>
      <c r="B2384" t="s">
        <v>902</v>
      </c>
      <c r="C2384" s="1">
        <v>45545</v>
      </c>
      <c r="E2384" t="s">
        <v>39</v>
      </c>
      <c r="F2384">
        <v>8</v>
      </c>
      <c r="G2384" s="12">
        <v>392</v>
      </c>
      <c r="H2384" s="12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1050</v>
      </c>
      <c r="N2384" t="b">
        <v>0</v>
      </c>
    </row>
    <row r="2385" spans="1:14" x14ac:dyDescent="0.3">
      <c r="A2385" t="s">
        <v>3431</v>
      </c>
      <c r="B2385" t="s">
        <v>192</v>
      </c>
      <c r="C2385" s="1">
        <v>45634</v>
      </c>
      <c r="E2385" t="s">
        <v>39</v>
      </c>
      <c r="F2385">
        <v>9</v>
      </c>
      <c r="G2385" s="12">
        <v>0</v>
      </c>
      <c r="H2385" s="12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1047</v>
      </c>
      <c r="N2385" t="b">
        <v>1</v>
      </c>
    </row>
    <row r="2386" spans="1:14" x14ac:dyDescent="0.3">
      <c r="A2386" t="s">
        <v>3432</v>
      </c>
      <c r="B2386" t="s">
        <v>258</v>
      </c>
      <c r="C2386" s="1">
        <v>45522</v>
      </c>
      <c r="E2386" t="s">
        <v>39</v>
      </c>
      <c r="F2386">
        <v>11</v>
      </c>
      <c r="G2386" s="12">
        <v>0</v>
      </c>
      <c r="H2386" s="12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1047</v>
      </c>
      <c r="N2386" t="b">
        <v>1</v>
      </c>
    </row>
    <row r="2387" spans="1:14" x14ac:dyDescent="0.3">
      <c r="A2387" t="s">
        <v>3433</v>
      </c>
      <c r="B2387" t="s">
        <v>386</v>
      </c>
      <c r="C2387" s="1">
        <v>45649</v>
      </c>
      <c r="E2387" t="s">
        <v>39</v>
      </c>
      <c r="F2387">
        <v>29</v>
      </c>
      <c r="G2387" s="12">
        <v>0</v>
      </c>
      <c r="H2387" s="12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1050</v>
      </c>
      <c r="N2387" t="b">
        <v>1</v>
      </c>
    </row>
    <row r="2388" spans="1:14" x14ac:dyDescent="0.3">
      <c r="A2388" t="s">
        <v>3434</v>
      </c>
      <c r="B2388" t="s">
        <v>140</v>
      </c>
      <c r="C2388" s="1">
        <v>45403</v>
      </c>
      <c r="D2388" s="1">
        <v>45590</v>
      </c>
      <c r="E2388" t="s">
        <v>15</v>
      </c>
      <c r="F2388">
        <v>36</v>
      </c>
      <c r="G2388" s="12">
        <v>684</v>
      </c>
      <c r="H2388" s="12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1047</v>
      </c>
      <c r="N2388" t="b">
        <v>0</v>
      </c>
    </row>
    <row r="2389" spans="1:14" x14ac:dyDescent="0.3">
      <c r="A2389" t="s">
        <v>3435</v>
      </c>
      <c r="B2389" t="s">
        <v>968</v>
      </c>
      <c r="C2389" s="1">
        <v>45476</v>
      </c>
      <c r="D2389" s="1">
        <v>45527</v>
      </c>
      <c r="E2389" t="s">
        <v>39</v>
      </c>
      <c r="F2389">
        <v>32</v>
      </c>
      <c r="G2389" s="12">
        <v>1568</v>
      </c>
      <c r="H2389" s="12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1050</v>
      </c>
      <c r="N2389" t="b">
        <v>1</v>
      </c>
    </row>
    <row r="2390" spans="1:14" x14ac:dyDescent="0.3">
      <c r="A2390" t="s">
        <v>3436</v>
      </c>
      <c r="B2390" t="s">
        <v>366</v>
      </c>
      <c r="C2390" s="1">
        <v>45145</v>
      </c>
      <c r="E2390" t="s">
        <v>39</v>
      </c>
      <c r="F2390">
        <v>23</v>
      </c>
      <c r="G2390" s="12">
        <v>0</v>
      </c>
      <c r="H2390" s="12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1050</v>
      </c>
      <c r="N2390" t="b">
        <v>1</v>
      </c>
    </row>
    <row r="2391" spans="1:14" x14ac:dyDescent="0.3">
      <c r="A2391" t="s">
        <v>3437</v>
      </c>
      <c r="B2391" t="s">
        <v>648</v>
      </c>
      <c r="C2391" s="1">
        <v>45626</v>
      </c>
      <c r="E2391" t="s">
        <v>15</v>
      </c>
      <c r="F2391">
        <v>32</v>
      </c>
      <c r="G2391" s="12">
        <v>608</v>
      </c>
      <c r="H2391" s="12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1050</v>
      </c>
      <c r="N2391" t="b">
        <v>0</v>
      </c>
    </row>
    <row r="2392" spans="1:14" x14ac:dyDescent="0.3">
      <c r="A2392" t="s">
        <v>3438</v>
      </c>
      <c r="B2392" t="s">
        <v>146</v>
      </c>
      <c r="C2392" s="1">
        <v>45596</v>
      </c>
      <c r="E2392" t="s">
        <v>39</v>
      </c>
      <c r="F2392">
        <v>20</v>
      </c>
      <c r="G2392" s="12">
        <v>980</v>
      </c>
      <c r="H2392" s="1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1047</v>
      </c>
      <c r="N2392" t="b">
        <v>1</v>
      </c>
    </row>
    <row r="2393" spans="1:14" x14ac:dyDescent="0.3">
      <c r="A2393" t="s">
        <v>3439</v>
      </c>
      <c r="B2393" t="s">
        <v>588</v>
      </c>
      <c r="C2393" s="1">
        <v>45617</v>
      </c>
      <c r="E2393" t="s">
        <v>39</v>
      </c>
      <c r="F2393">
        <v>25</v>
      </c>
      <c r="G2393" s="12">
        <v>1225</v>
      </c>
      <c r="H2393" s="12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1047</v>
      </c>
      <c r="N2393" t="b">
        <v>1</v>
      </c>
    </row>
    <row r="2394" spans="1:14" x14ac:dyDescent="0.3">
      <c r="A2394" t="s">
        <v>3440</v>
      </c>
      <c r="B2394" t="s">
        <v>684</v>
      </c>
      <c r="C2394" s="1">
        <v>45353</v>
      </c>
      <c r="E2394" t="s">
        <v>39</v>
      </c>
      <c r="F2394">
        <v>29</v>
      </c>
      <c r="G2394" s="12">
        <v>1421</v>
      </c>
      <c r="H2394" s="12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1047</v>
      </c>
      <c r="N2394" t="b">
        <v>1</v>
      </c>
    </row>
    <row r="2395" spans="1:14" x14ac:dyDescent="0.3">
      <c r="A2395" t="s">
        <v>3441</v>
      </c>
      <c r="B2395" t="s">
        <v>644</v>
      </c>
      <c r="C2395" s="1">
        <v>45647</v>
      </c>
      <c r="D2395" s="1">
        <v>45647</v>
      </c>
      <c r="E2395" t="s">
        <v>39</v>
      </c>
      <c r="F2395">
        <v>13</v>
      </c>
      <c r="G2395" s="12">
        <v>637</v>
      </c>
      <c r="H2395" s="12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1050</v>
      </c>
      <c r="N2395" t="b">
        <v>1</v>
      </c>
    </row>
    <row r="2396" spans="1:14" x14ac:dyDescent="0.3">
      <c r="A2396" t="s">
        <v>3442</v>
      </c>
      <c r="B2396" t="s">
        <v>838</v>
      </c>
      <c r="C2396" s="1">
        <v>45542</v>
      </c>
      <c r="E2396" t="s">
        <v>39</v>
      </c>
      <c r="F2396">
        <v>16</v>
      </c>
      <c r="G2396" s="12">
        <v>0</v>
      </c>
      <c r="H2396" s="12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1047</v>
      </c>
      <c r="N2396" t="b">
        <v>1</v>
      </c>
    </row>
    <row r="2397" spans="1:14" x14ac:dyDescent="0.3">
      <c r="A2397" t="s">
        <v>3443</v>
      </c>
      <c r="B2397" t="s">
        <v>83</v>
      </c>
      <c r="C2397" s="1">
        <v>45260</v>
      </c>
      <c r="E2397" t="s">
        <v>15</v>
      </c>
      <c r="F2397">
        <v>19</v>
      </c>
      <c r="G2397" s="12">
        <v>0</v>
      </c>
      <c r="H2397" s="12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1050</v>
      </c>
      <c r="N2397" t="b">
        <v>0</v>
      </c>
    </row>
    <row r="2398" spans="1:14" x14ac:dyDescent="0.3">
      <c r="A2398" t="s">
        <v>3444</v>
      </c>
      <c r="B2398" t="s">
        <v>306</v>
      </c>
      <c r="C2398" s="1">
        <v>45565</v>
      </c>
      <c r="D2398" s="1">
        <v>45587</v>
      </c>
      <c r="E2398" t="s">
        <v>32</v>
      </c>
      <c r="F2398">
        <v>19</v>
      </c>
      <c r="G2398" s="12">
        <v>0</v>
      </c>
      <c r="H2398" s="12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1047</v>
      </c>
      <c r="N2398" t="b">
        <v>1</v>
      </c>
    </row>
    <row r="2399" spans="1:14" x14ac:dyDescent="0.3">
      <c r="A2399" t="s">
        <v>3445</v>
      </c>
      <c r="B2399" t="s">
        <v>174</v>
      </c>
      <c r="C2399" s="1">
        <v>45240</v>
      </c>
      <c r="E2399" t="s">
        <v>39</v>
      </c>
      <c r="F2399">
        <v>7</v>
      </c>
      <c r="G2399" s="12">
        <v>343</v>
      </c>
      <c r="H2399" s="12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1050</v>
      </c>
      <c r="N2399" t="b">
        <v>1</v>
      </c>
    </row>
    <row r="2400" spans="1:14" x14ac:dyDescent="0.3">
      <c r="A2400" t="s">
        <v>3446</v>
      </c>
      <c r="B2400" t="s">
        <v>112</v>
      </c>
      <c r="C2400" s="1">
        <v>45605</v>
      </c>
      <c r="D2400" s="1">
        <v>45633</v>
      </c>
      <c r="E2400" t="s">
        <v>32</v>
      </c>
      <c r="F2400">
        <v>14</v>
      </c>
      <c r="G2400" s="12">
        <v>2786</v>
      </c>
      <c r="H2400" s="12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1050</v>
      </c>
      <c r="N2400" t="b">
        <v>1</v>
      </c>
    </row>
    <row r="2401" spans="1:14" x14ac:dyDescent="0.3">
      <c r="A2401" t="s">
        <v>3447</v>
      </c>
      <c r="B2401" t="s">
        <v>566</v>
      </c>
      <c r="C2401" s="1">
        <v>45576</v>
      </c>
      <c r="E2401" t="s">
        <v>32</v>
      </c>
      <c r="F2401">
        <v>11</v>
      </c>
      <c r="G2401" s="12">
        <v>2189</v>
      </c>
      <c r="H2401" s="12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1050</v>
      </c>
      <c r="N2401" t="b">
        <v>1</v>
      </c>
    </row>
    <row r="2402" spans="1:14" x14ac:dyDescent="0.3">
      <c r="A2402" t="s">
        <v>3448</v>
      </c>
      <c r="B2402" t="s">
        <v>218</v>
      </c>
      <c r="C2402" s="1">
        <v>45292</v>
      </c>
      <c r="E2402" t="s">
        <v>15</v>
      </c>
      <c r="F2402">
        <v>9</v>
      </c>
      <c r="G2402" s="12">
        <v>171</v>
      </c>
      <c r="H2402" s="1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1050</v>
      </c>
      <c r="N2402" t="b">
        <v>1</v>
      </c>
    </row>
    <row r="2403" spans="1:14" x14ac:dyDescent="0.3">
      <c r="A2403" t="s">
        <v>3449</v>
      </c>
      <c r="B2403" t="s">
        <v>380</v>
      </c>
      <c r="C2403" s="1">
        <v>45497</v>
      </c>
      <c r="E2403" t="s">
        <v>15</v>
      </c>
      <c r="F2403">
        <v>54</v>
      </c>
      <c r="G2403" s="12">
        <v>0</v>
      </c>
      <c r="H2403" s="12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1047</v>
      </c>
      <c r="N2403" t="b">
        <v>1</v>
      </c>
    </row>
    <row r="2404" spans="1:14" x14ac:dyDescent="0.3">
      <c r="A2404" t="s">
        <v>3450</v>
      </c>
      <c r="B2404" t="s">
        <v>386</v>
      </c>
      <c r="C2404" s="1">
        <v>45637</v>
      </c>
      <c r="E2404" t="s">
        <v>39</v>
      </c>
      <c r="F2404">
        <v>31</v>
      </c>
      <c r="G2404" s="12">
        <v>0</v>
      </c>
      <c r="H2404" s="12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1050</v>
      </c>
      <c r="N2404" t="b">
        <v>1</v>
      </c>
    </row>
    <row r="2405" spans="1:14" x14ac:dyDescent="0.3">
      <c r="A2405" t="s">
        <v>3451</v>
      </c>
      <c r="B2405" t="s">
        <v>578</v>
      </c>
      <c r="C2405" s="1">
        <v>45434</v>
      </c>
      <c r="E2405" t="s">
        <v>32</v>
      </c>
      <c r="F2405">
        <v>34</v>
      </c>
      <c r="G2405" s="12">
        <v>6766</v>
      </c>
      <c r="H2405" s="12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1050</v>
      </c>
      <c r="N2405" t="b">
        <v>1</v>
      </c>
    </row>
    <row r="2406" spans="1:14" x14ac:dyDescent="0.3">
      <c r="A2406" t="s">
        <v>3452</v>
      </c>
      <c r="B2406" t="s">
        <v>392</v>
      </c>
      <c r="C2406" s="1">
        <v>45655</v>
      </c>
      <c r="E2406" t="s">
        <v>39</v>
      </c>
      <c r="F2406">
        <v>22</v>
      </c>
      <c r="G2406" s="12">
        <v>1078</v>
      </c>
      <c r="H2406" s="12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1047</v>
      </c>
      <c r="N2406" t="b">
        <v>1</v>
      </c>
    </row>
    <row r="2407" spans="1:14" x14ac:dyDescent="0.3">
      <c r="A2407" t="s">
        <v>3453</v>
      </c>
      <c r="B2407" t="s">
        <v>604</v>
      </c>
      <c r="C2407" s="1">
        <v>45650</v>
      </c>
      <c r="E2407" t="s">
        <v>32</v>
      </c>
      <c r="F2407">
        <v>12</v>
      </c>
      <c r="G2407" s="12">
        <v>2388</v>
      </c>
      <c r="H2407" s="12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1047</v>
      </c>
      <c r="N2407" t="b">
        <v>1</v>
      </c>
    </row>
    <row r="2408" spans="1:14" x14ac:dyDescent="0.3">
      <c r="A2408" t="s">
        <v>3454</v>
      </c>
      <c r="B2408" t="s">
        <v>108</v>
      </c>
      <c r="C2408" s="1">
        <v>45610</v>
      </c>
      <c r="E2408" t="s">
        <v>39</v>
      </c>
      <c r="F2408">
        <v>9</v>
      </c>
      <c r="G2408" s="12">
        <v>441</v>
      </c>
      <c r="H2408" s="12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1050</v>
      </c>
      <c r="N2408" t="b">
        <v>1</v>
      </c>
    </row>
    <row r="2409" spans="1:14" x14ac:dyDescent="0.3">
      <c r="A2409" t="s">
        <v>3455</v>
      </c>
      <c r="B2409" t="s">
        <v>40</v>
      </c>
      <c r="C2409" s="1">
        <v>45185</v>
      </c>
      <c r="E2409" t="s">
        <v>39</v>
      </c>
      <c r="F2409">
        <v>17</v>
      </c>
      <c r="G2409" s="12">
        <v>0</v>
      </c>
      <c r="H2409" s="12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1047</v>
      </c>
      <c r="N2409" t="b">
        <v>1</v>
      </c>
    </row>
    <row r="2410" spans="1:14" x14ac:dyDescent="0.3">
      <c r="A2410" t="s">
        <v>3456</v>
      </c>
      <c r="B2410" t="s">
        <v>540</v>
      </c>
      <c r="C2410" s="1">
        <v>45621</v>
      </c>
      <c r="E2410" t="s">
        <v>15</v>
      </c>
      <c r="F2410">
        <v>16</v>
      </c>
      <c r="G2410" s="12">
        <v>304</v>
      </c>
      <c r="H2410" s="12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1050</v>
      </c>
      <c r="N2410" t="b">
        <v>1</v>
      </c>
    </row>
    <row r="2411" spans="1:14" x14ac:dyDescent="0.3">
      <c r="A2411" t="s">
        <v>3457</v>
      </c>
      <c r="B2411" t="s">
        <v>298</v>
      </c>
      <c r="C2411" s="1">
        <v>45416</v>
      </c>
      <c r="E2411" t="s">
        <v>32</v>
      </c>
      <c r="F2411">
        <v>14</v>
      </c>
      <c r="G2411" s="12">
        <v>2786</v>
      </c>
      <c r="H2411" s="12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1047</v>
      </c>
      <c r="N2411" t="b">
        <v>1</v>
      </c>
    </row>
    <row r="2412" spans="1:14" x14ac:dyDescent="0.3">
      <c r="A2412" t="s">
        <v>3458</v>
      </c>
      <c r="B2412" t="s">
        <v>490</v>
      </c>
      <c r="C2412" s="1">
        <v>45547</v>
      </c>
      <c r="E2412" t="s">
        <v>32</v>
      </c>
      <c r="F2412">
        <v>16</v>
      </c>
      <c r="G2412" s="12">
        <v>3184</v>
      </c>
      <c r="H2412" s="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1050</v>
      </c>
      <c r="N2412" t="b">
        <v>1</v>
      </c>
    </row>
    <row r="2413" spans="1:14" x14ac:dyDescent="0.3">
      <c r="A2413" t="s">
        <v>3459</v>
      </c>
      <c r="B2413" t="s">
        <v>684</v>
      </c>
      <c r="C2413" s="1">
        <v>45540</v>
      </c>
      <c r="E2413" t="s">
        <v>15</v>
      </c>
      <c r="F2413">
        <v>29</v>
      </c>
      <c r="G2413" s="12">
        <v>551</v>
      </c>
      <c r="H2413" s="12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1047</v>
      </c>
      <c r="N2413" t="b">
        <v>1</v>
      </c>
    </row>
    <row r="2414" spans="1:14" x14ac:dyDescent="0.3">
      <c r="A2414" t="s">
        <v>3460</v>
      </c>
      <c r="B2414" t="s">
        <v>252</v>
      </c>
      <c r="C2414" s="1">
        <v>45632</v>
      </c>
      <c r="E2414" t="s">
        <v>15</v>
      </c>
      <c r="F2414">
        <v>54</v>
      </c>
      <c r="G2414" s="12">
        <v>1026</v>
      </c>
      <c r="H2414" s="12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1050</v>
      </c>
      <c r="N2414" t="b">
        <v>0</v>
      </c>
    </row>
    <row r="2415" spans="1:14" x14ac:dyDescent="0.3">
      <c r="A2415" t="s">
        <v>3461</v>
      </c>
      <c r="B2415" t="s">
        <v>742</v>
      </c>
      <c r="C2415" s="1">
        <v>45633</v>
      </c>
      <c r="E2415" t="s">
        <v>15</v>
      </c>
      <c r="F2415">
        <v>8</v>
      </c>
      <c r="G2415" s="12">
        <v>152</v>
      </c>
      <c r="H2415" s="12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1050</v>
      </c>
      <c r="N2415" t="b">
        <v>1</v>
      </c>
    </row>
    <row r="2416" spans="1:14" x14ac:dyDescent="0.3">
      <c r="A2416" t="s">
        <v>3462</v>
      </c>
      <c r="B2416" t="s">
        <v>250</v>
      </c>
      <c r="C2416" s="1">
        <v>45419</v>
      </c>
      <c r="E2416" t="s">
        <v>15</v>
      </c>
      <c r="F2416">
        <v>14</v>
      </c>
      <c r="G2416" s="12">
        <v>266</v>
      </c>
      <c r="H2416" s="12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1047</v>
      </c>
      <c r="N2416" t="b">
        <v>1</v>
      </c>
    </row>
    <row r="2417" spans="1:14" x14ac:dyDescent="0.3">
      <c r="A2417" t="s">
        <v>3463</v>
      </c>
      <c r="B2417" t="s">
        <v>1024</v>
      </c>
      <c r="C2417" s="1">
        <v>45646</v>
      </c>
      <c r="E2417" t="s">
        <v>32</v>
      </c>
      <c r="F2417">
        <v>18</v>
      </c>
      <c r="G2417" s="12">
        <v>3582</v>
      </c>
      <c r="H2417" s="12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1047</v>
      </c>
      <c r="N2417" t="b">
        <v>1</v>
      </c>
    </row>
    <row r="2418" spans="1:14" x14ac:dyDescent="0.3">
      <c r="A2418" t="s">
        <v>3464</v>
      </c>
      <c r="B2418" t="s">
        <v>408</v>
      </c>
      <c r="C2418" s="1">
        <v>45531</v>
      </c>
      <c r="E2418" t="s">
        <v>15</v>
      </c>
      <c r="F2418">
        <v>17</v>
      </c>
      <c r="G2418" s="12">
        <v>323</v>
      </c>
      <c r="H2418" s="12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1050</v>
      </c>
      <c r="N2418" t="b">
        <v>1</v>
      </c>
    </row>
    <row r="2419" spans="1:14" x14ac:dyDescent="0.3">
      <c r="A2419" t="s">
        <v>3465</v>
      </c>
      <c r="B2419" t="s">
        <v>948</v>
      </c>
      <c r="C2419" s="1">
        <v>45592</v>
      </c>
      <c r="E2419" t="s">
        <v>32</v>
      </c>
      <c r="F2419">
        <v>14</v>
      </c>
      <c r="G2419" s="12">
        <v>0</v>
      </c>
      <c r="H2419" s="12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1047</v>
      </c>
      <c r="N2419" t="b">
        <v>1</v>
      </c>
    </row>
    <row r="2420" spans="1:14" x14ac:dyDescent="0.3">
      <c r="A2420" t="s">
        <v>3466</v>
      </c>
      <c r="B2420" t="s">
        <v>746</v>
      </c>
      <c r="C2420" s="1">
        <v>45551</v>
      </c>
      <c r="D2420" s="1">
        <v>45609</v>
      </c>
      <c r="E2420" t="s">
        <v>32</v>
      </c>
      <c r="F2420">
        <v>87</v>
      </c>
      <c r="G2420" s="12">
        <v>17313</v>
      </c>
      <c r="H2420" s="12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1050</v>
      </c>
      <c r="N2420" t="b">
        <v>0</v>
      </c>
    </row>
    <row r="2421" spans="1:14" x14ac:dyDescent="0.3">
      <c r="A2421" t="s">
        <v>3467</v>
      </c>
      <c r="B2421" t="s">
        <v>450</v>
      </c>
      <c r="C2421" s="1">
        <v>45628</v>
      </c>
      <c r="E2421" t="s">
        <v>39</v>
      </c>
      <c r="F2421">
        <v>24</v>
      </c>
      <c r="G2421" s="12">
        <v>1176</v>
      </c>
      <c r="H2421" s="12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1050</v>
      </c>
      <c r="N2421" t="b">
        <v>0</v>
      </c>
    </row>
    <row r="2422" spans="1:14" x14ac:dyDescent="0.3">
      <c r="A2422" t="s">
        <v>3468</v>
      </c>
      <c r="B2422" t="s">
        <v>564</v>
      </c>
      <c r="C2422" s="1">
        <v>45657</v>
      </c>
      <c r="E2422" t="s">
        <v>15</v>
      </c>
      <c r="F2422">
        <v>13</v>
      </c>
      <c r="G2422" s="12">
        <v>247</v>
      </c>
      <c r="H2422" s="1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1047</v>
      </c>
      <c r="N2422" t="b">
        <v>1</v>
      </c>
    </row>
    <row r="2423" spans="1:14" x14ac:dyDescent="0.3">
      <c r="A2423" t="s">
        <v>3469</v>
      </c>
      <c r="B2423" t="s">
        <v>498</v>
      </c>
      <c r="C2423" s="1">
        <v>45402</v>
      </c>
      <c r="E2423" t="s">
        <v>39</v>
      </c>
      <c r="F2423">
        <v>24</v>
      </c>
      <c r="G2423" s="12">
        <v>1176</v>
      </c>
      <c r="H2423" s="12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1047</v>
      </c>
      <c r="N2423" t="b">
        <v>1</v>
      </c>
    </row>
    <row r="2424" spans="1:14" x14ac:dyDescent="0.3">
      <c r="A2424" t="s">
        <v>3470</v>
      </c>
      <c r="B2424" t="s">
        <v>596</v>
      </c>
      <c r="C2424" s="1">
        <v>45462</v>
      </c>
      <c r="E2424" t="s">
        <v>15</v>
      </c>
      <c r="F2424">
        <v>40</v>
      </c>
      <c r="G2424" s="12">
        <v>760</v>
      </c>
      <c r="H2424" s="12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1050</v>
      </c>
      <c r="N2424" t="b">
        <v>0</v>
      </c>
    </row>
    <row r="2425" spans="1:14" x14ac:dyDescent="0.3">
      <c r="A2425" t="s">
        <v>3471</v>
      </c>
      <c r="B2425" t="s">
        <v>420</v>
      </c>
      <c r="C2425" s="1">
        <v>45524</v>
      </c>
      <c r="E2425" t="s">
        <v>32</v>
      </c>
      <c r="F2425">
        <v>17</v>
      </c>
      <c r="G2425" s="12">
        <v>3383</v>
      </c>
      <c r="H2425" s="12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1050</v>
      </c>
      <c r="N2425" t="b">
        <v>0</v>
      </c>
    </row>
    <row r="2426" spans="1:14" x14ac:dyDescent="0.3">
      <c r="A2426" t="s">
        <v>3472</v>
      </c>
      <c r="B2426" t="s">
        <v>678</v>
      </c>
      <c r="C2426" s="1">
        <v>45625</v>
      </c>
      <c r="E2426" t="s">
        <v>32</v>
      </c>
      <c r="F2426">
        <v>26</v>
      </c>
      <c r="G2426" s="12">
        <v>5174</v>
      </c>
      <c r="H2426" s="12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1047</v>
      </c>
      <c r="N2426" t="b">
        <v>1</v>
      </c>
    </row>
    <row r="2427" spans="1:14" x14ac:dyDescent="0.3">
      <c r="A2427" t="s">
        <v>3473</v>
      </c>
      <c r="B2427" t="s">
        <v>118</v>
      </c>
      <c r="C2427" s="1">
        <v>45505</v>
      </c>
      <c r="E2427" t="s">
        <v>15</v>
      </c>
      <c r="F2427">
        <v>28</v>
      </c>
      <c r="G2427" s="12">
        <v>532</v>
      </c>
      <c r="H2427" s="12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1047</v>
      </c>
      <c r="N2427" t="b">
        <v>1</v>
      </c>
    </row>
    <row r="2428" spans="1:14" x14ac:dyDescent="0.3">
      <c r="A2428" t="s">
        <v>3474</v>
      </c>
      <c r="B2428" t="s">
        <v>660</v>
      </c>
      <c r="C2428" s="1">
        <v>45386</v>
      </c>
      <c r="E2428" t="s">
        <v>15</v>
      </c>
      <c r="F2428">
        <v>8</v>
      </c>
      <c r="G2428" s="12">
        <v>152</v>
      </c>
      <c r="H2428" s="12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1050</v>
      </c>
      <c r="N2428" t="b">
        <v>1</v>
      </c>
    </row>
    <row r="2429" spans="1:14" x14ac:dyDescent="0.3">
      <c r="A2429" t="s">
        <v>3475</v>
      </c>
      <c r="B2429" t="s">
        <v>796</v>
      </c>
      <c r="C2429" s="1">
        <v>45653</v>
      </c>
      <c r="D2429" s="1">
        <v>45653</v>
      </c>
      <c r="E2429" t="s">
        <v>32</v>
      </c>
      <c r="F2429">
        <v>40</v>
      </c>
      <c r="G2429" s="12">
        <v>7960</v>
      </c>
      <c r="H2429" s="12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1050</v>
      </c>
      <c r="N2429" t="b">
        <v>1</v>
      </c>
    </row>
    <row r="2430" spans="1:14" x14ac:dyDescent="0.3">
      <c r="A2430" t="s">
        <v>3476</v>
      </c>
      <c r="B2430" t="s">
        <v>544</v>
      </c>
      <c r="C2430" s="1">
        <v>45642</v>
      </c>
      <c r="E2430" t="s">
        <v>15</v>
      </c>
      <c r="F2430">
        <v>37</v>
      </c>
      <c r="G2430" s="12">
        <v>0</v>
      </c>
      <c r="H2430" s="12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1050</v>
      </c>
      <c r="N2430" t="b">
        <v>0</v>
      </c>
    </row>
    <row r="2431" spans="1:14" x14ac:dyDescent="0.3">
      <c r="A2431" t="s">
        <v>3477</v>
      </c>
      <c r="B2431" t="s">
        <v>902</v>
      </c>
      <c r="C2431" s="1">
        <v>45626</v>
      </c>
      <c r="E2431" t="s">
        <v>15</v>
      </c>
      <c r="F2431">
        <v>41</v>
      </c>
      <c r="G2431" s="12">
        <v>779</v>
      </c>
      <c r="H2431" s="12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1047</v>
      </c>
      <c r="N2431" t="b">
        <v>1</v>
      </c>
    </row>
    <row r="2432" spans="1:14" x14ac:dyDescent="0.3">
      <c r="A2432" t="s">
        <v>3478</v>
      </c>
      <c r="B2432" t="s">
        <v>824</v>
      </c>
      <c r="C2432" s="1">
        <v>45523</v>
      </c>
      <c r="E2432" t="s">
        <v>32</v>
      </c>
      <c r="F2432">
        <v>17</v>
      </c>
      <c r="G2432" s="12">
        <v>3383</v>
      </c>
      <c r="H2432" s="1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1050</v>
      </c>
      <c r="N2432" t="b">
        <v>0</v>
      </c>
    </row>
    <row r="2433" spans="1:14" x14ac:dyDescent="0.3">
      <c r="A2433" t="s">
        <v>3479</v>
      </c>
      <c r="B2433" t="s">
        <v>146</v>
      </c>
      <c r="C2433" s="1">
        <v>45575</v>
      </c>
      <c r="E2433" t="s">
        <v>39</v>
      </c>
      <c r="F2433">
        <v>20</v>
      </c>
      <c r="G2433" s="12">
        <v>980</v>
      </c>
      <c r="H2433" s="12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1047</v>
      </c>
      <c r="N2433" t="b">
        <v>1</v>
      </c>
    </row>
    <row r="2434" spans="1:14" x14ac:dyDescent="0.3">
      <c r="A2434" t="s">
        <v>3480</v>
      </c>
      <c r="B2434" t="s">
        <v>388</v>
      </c>
      <c r="C2434" s="1">
        <v>45649</v>
      </c>
      <c r="E2434" t="s">
        <v>39</v>
      </c>
      <c r="F2434">
        <v>23</v>
      </c>
      <c r="G2434" s="12">
        <v>1127</v>
      </c>
      <c r="H2434" s="12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1050</v>
      </c>
      <c r="N2434" t="b">
        <v>1</v>
      </c>
    </row>
    <row r="2435" spans="1:14" x14ac:dyDescent="0.3">
      <c r="A2435" t="s">
        <v>3481</v>
      </c>
      <c r="B2435" t="s">
        <v>25</v>
      </c>
      <c r="C2435" s="1">
        <v>45646</v>
      </c>
      <c r="E2435" t="s">
        <v>39</v>
      </c>
      <c r="F2435">
        <v>24</v>
      </c>
      <c r="G2435" s="12">
        <v>1176</v>
      </c>
      <c r="H2435" s="12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1047</v>
      </c>
      <c r="N2435" t="b">
        <v>1</v>
      </c>
    </row>
    <row r="2436" spans="1:14" x14ac:dyDescent="0.3">
      <c r="A2436" t="s">
        <v>3482</v>
      </c>
      <c r="B2436" t="s">
        <v>548</v>
      </c>
      <c r="C2436" s="1">
        <v>45552</v>
      </c>
      <c r="E2436" t="s">
        <v>39</v>
      </c>
      <c r="F2436">
        <v>30</v>
      </c>
      <c r="G2436" s="12">
        <v>1470</v>
      </c>
      <c r="H2436" s="12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1050</v>
      </c>
      <c r="N2436" t="b">
        <v>1</v>
      </c>
    </row>
    <row r="2437" spans="1:14" x14ac:dyDescent="0.3">
      <c r="A2437" t="s">
        <v>3483</v>
      </c>
      <c r="B2437" t="s">
        <v>344</v>
      </c>
      <c r="C2437" s="1">
        <v>45499</v>
      </c>
      <c r="E2437" t="s">
        <v>32</v>
      </c>
      <c r="F2437">
        <v>70</v>
      </c>
      <c r="G2437" s="12">
        <v>13930</v>
      </c>
      <c r="H2437" s="12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1047</v>
      </c>
      <c r="N2437" t="b">
        <v>0</v>
      </c>
    </row>
    <row r="2438" spans="1:14" x14ac:dyDescent="0.3">
      <c r="A2438" t="s">
        <v>3484</v>
      </c>
      <c r="B2438" t="s">
        <v>21</v>
      </c>
      <c r="C2438" s="1">
        <v>45646</v>
      </c>
      <c r="E2438" t="s">
        <v>39</v>
      </c>
      <c r="F2438">
        <v>55</v>
      </c>
      <c r="G2438" s="12">
        <v>2695</v>
      </c>
      <c r="H2438" s="12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1047</v>
      </c>
      <c r="N2438" t="b">
        <v>1</v>
      </c>
    </row>
    <row r="2439" spans="1:14" x14ac:dyDescent="0.3">
      <c r="A2439" t="s">
        <v>3485</v>
      </c>
      <c r="B2439" t="s">
        <v>40</v>
      </c>
      <c r="C2439" s="1">
        <v>45057</v>
      </c>
      <c r="E2439" t="s">
        <v>15</v>
      </c>
      <c r="F2439">
        <v>5</v>
      </c>
      <c r="G2439" s="12">
        <v>95</v>
      </c>
      <c r="H2439" s="12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1050</v>
      </c>
      <c r="N2439" t="b">
        <v>1</v>
      </c>
    </row>
    <row r="2440" spans="1:14" x14ac:dyDescent="0.3">
      <c r="A2440" t="s">
        <v>3486</v>
      </c>
      <c r="B2440" t="s">
        <v>890</v>
      </c>
      <c r="C2440" s="1">
        <v>45590</v>
      </c>
      <c r="E2440" t="s">
        <v>32</v>
      </c>
      <c r="F2440">
        <v>47</v>
      </c>
      <c r="G2440" s="12">
        <v>9353</v>
      </c>
      <c r="H2440" s="12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1050</v>
      </c>
      <c r="N2440" t="b">
        <v>1</v>
      </c>
    </row>
    <row r="2441" spans="1:14" x14ac:dyDescent="0.3">
      <c r="A2441" t="s">
        <v>3487</v>
      </c>
      <c r="B2441" t="s">
        <v>372</v>
      </c>
      <c r="C2441" s="1">
        <v>45467</v>
      </c>
      <c r="E2441" t="s">
        <v>32</v>
      </c>
      <c r="F2441">
        <v>40</v>
      </c>
      <c r="G2441" s="12">
        <v>7960</v>
      </c>
      <c r="H2441" s="12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1050</v>
      </c>
      <c r="N2441" t="b">
        <v>1</v>
      </c>
    </row>
    <row r="2442" spans="1:14" x14ac:dyDescent="0.3">
      <c r="A2442" t="s">
        <v>3488</v>
      </c>
      <c r="B2442" t="s">
        <v>276</v>
      </c>
      <c r="C2442" s="1">
        <v>45525</v>
      </c>
      <c r="E2442" t="s">
        <v>39</v>
      </c>
      <c r="F2442">
        <v>12</v>
      </c>
      <c r="G2442" s="12">
        <v>588</v>
      </c>
      <c r="H2442" s="1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1047</v>
      </c>
      <c r="N2442" t="b">
        <v>1</v>
      </c>
    </row>
    <row r="2443" spans="1:14" x14ac:dyDescent="0.3">
      <c r="A2443" t="s">
        <v>3489</v>
      </c>
      <c r="B2443" t="s">
        <v>660</v>
      </c>
      <c r="C2443" s="1">
        <v>45624</v>
      </c>
      <c r="E2443" t="s">
        <v>39</v>
      </c>
      <c r="F2443">
        <v>30</v>
      </c>
      <c r="G2443" s="12">
        <v>1470</v>
      </c>
      <c r="H2443" s="12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1047</v>
      </c>
      <c r="N2443" t="b">
        <v>1</v>
      </c>
    </row>
    <row r="2444" spans="1:14" x14ac:dyDescent="0.3">
      <c r="A2444" t="s">
        <v>3490</v>
      </c>
      <c r="B2444" t="s">
        <v>850</v>
      </c>
      <c r="C2444" s="1">
        <v>45579</v>
      </c>
      <c r="E2444" t="s">
        <v>39</v>
      </c>
      <c r="F2444">
        <v>44</v>
      </c>
      <c r="G2444" s="12">
        <v>2156</v>
      </c>
      <c r="H2444" s="12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1047</v>
      </c>
      <c r="N2444" t="b">
        <v>1</v>
      </c>
    </row>
    <row r="2445" spans="1:14" x14ac:dyDescent="0.3">
      <c r="A2445" t="s">
        <v>3491</v>
      </c>
      <c r="B2445" t="s">
        <v>990</v>
      </c>
      <c r="C2445" s="1">
        <v>45603</v>
      </c>
      <c r="E2445" t="s">
        <v>32</v>
      </c>
      <c r="F2445">
        <v>70</v>
      </c>
      <c r="G2445" s="12">
        <v>13930</v>
      </c>
      <c r="H2445" s="12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1047</v>
      </c>
      <c r="N2445" t="b">
        <v>1</v>
      </c>
    </row>
    <row r="2446" spans="1:14" x14ac:dyDescent="0.3">
      <c r="A2446" t="s">
        <v>3492</v>
      </c>
      <c r="B2446" t="s">
        <v>442</v>
      </c>
      <c r="C2446" s="1">
        <v>45653</v>
      </c>
      <c r="E2446" t="s">
        <v>39</v>
      </c>
      <c r="F2446">
        <v>32</v>
      </c>
      <c r="G2446" s="12">
        <v>1568</v>
      </c>
      <c r="H2446" s="12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1047</v>
      </c>
      <c r="N2446" t="b">
        <v>1</v>
      </c>
    </row>
    <row r="2447" spans="1:14" x14ac:dyDescent="0.3">
      <c r="A2447" t="s">
        <v>3493</v>
      </c>
      <c r="B2447" t="s">
        <v>476</v>
      </c>
      <c r="C2447" s="1">
        <v>45640</v>
      </c>
      <c r="E2447" t="s">
        <v>15</v>
      </c>
      <c r="F2447">
        <v>6</v>
      </c>
      <c r="G2447" s="12">
        <v>114</v>
      </c>
      <c r="H2447" s="12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1047</v>
      </c>
      <c r="N2447" t="b">
        <v>1</v>
      </c>
    </row>
    <row r="2448" spans="1:14" x14ac:dyDescent="0.3">
      <c r="A2448" t="s">
        <v>3494</v>
      </c>
      <c r="B2448" t="s">
        <v>546</v>
      </c>
      <c r="C2448" s="1">
        <v>45199</v>
      </c>
      <c r="E2448" t="s">
        <v>32</v>
      </c>
      <c r="F2448">
        <v>31</v>
      </c>
      <c r="G2448" s="12">
        <v>6169</v>
      </c>
      <c r="H2448" s="12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1050</v>
      </c>
      <c r="N2448" t="b">
        <v>0</v>
      </c>
    </row>
    <row r="2449" spans="1:14" x14ac:dyDescent="0.3">
      <c r="A2449" t="s">
        <v>3495</v>
      </c>
      <c r="B2449" t="s">
        <v>892</v>
      </c>
      <c r="C2449" s="1">
        <v>45652</v>
      </c>
      <c r="E2449" t="s">
        <v>32</v>
      </c>
      <c r="F2449">
        <v>23</v>
      </c>
      <c r="G2449" s="12">
        <v>4577</v>
      </c>
      <c r="H2449" s="12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1050</v>
      </c>
      <c r="N2449" t="b">
        <v>0</v>
      </c>
    </row>
    <row r="2450" spans="1:14" x14ac:dyDescent="0.3">
      <c r="A2450" t="s">
        <v>3496</v>
      </c>
      <c r="B2450" t="s">
        <v>886</v>
      </c>
      <c r="C2450" s="1">
        <v>45292</v>
      </c>
      <c r="E2450" t="s">
        <v>39</v>
      </c>
      <c r="F2450">
        <v>22</v>
      </c>
      <c r="G2450" s="12">
        <v>1078</v>
      </c>
      <c r="H2450" s="12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1047</v>
      </c>
      <c r="N2450" t="b">
        <v>1</v>
      </c>
    </row>
    <row r="2451" spans="1:14" x14ac:dyDescent="0.3">
      <c r="A2451" t="s">
        <v>3497</v>
      </c>
      <c r="B2451" t="s">
        <v>124</v>
      </c>
      <c r="C2451" s="1">
        <v>45394</v>
      </c>
      <c r="E2451" t="s">
        <v>15</v>
      </c>
      <c r="F2451">
        <v>102</v>
      </c>
      <c r="G2451" s="12">
        <v>1938</v>
      </c>
      <c r="H2451" s="12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1050</v>
      </c>
      <c r="N2451" t="b">
        <v>1</v>
      </c>
    </row>
    <row r="2452" spans="1:14" x14ac:dyDescent="0.3">
      <c r="A2452" t="s">
        <v>3498</v>
      </c>
      <c r="B2452" t="s">
        <v>33</v>
      </c>
      <c r="C2452" s="1">
        <v>45532</v>
      </c>
      <c r="E2452" t="s">
        <v>32</v>
      </c>
      <c r="F2452">
        <v>30</v>
      </c>
      <c r="G2452" s="12">
        <v>5970</v>
      </c>
      <c r="H2452" s="1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1047</v>
      </c>
      <c r="N2452" t="b">
        <v>1</v>
      </c>
    </row>
    <row r="2453" spans="1:14" x14ac:dyDescent="0.3">
      <c r="A2453" t="s">
        <v>3499</v>
      </c>
      <c r="B2453" t="s">
        <v>55</v>
      </c>
      <c r="C2453" s="1">
        <v>45631</v>
      </c>
      <c r="E2453" t="s">
        <v>32</v>
      </c>
      <c r="F2453">
        <v>55</v>
      </c>
      <c r="G2453" s="12">
        <v>10945</v>
      </c>
      <c r="H2453" s="12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1050</v>
      </c>
      <c r="N2453" t="b">
        <v>1</v>
      </c>
    </row>
    <row r="2454" spans="1:14" x14ac:dyDescent="0.3">
      <c r="A2454" t="s">
        <v>3500</v>
      </c>
      <c r="B2454" t="s">
        <v>51</v>
      </c>
      <c r="C2454" s="1">
        <v>45163</v>
      </c>
      <c r="E2454" t="s">
        <v>39</v>
      </c>
      <c r="F2454">
        <v>13</v>
      </c>
      <c r="G2454" s="12">
        <v>637</v>
      </c>
      <c r="H2454" s="12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1050</v>
      </c>
      <c r="N2454" t="b">
        <v>1</v>
      </c>
    </row>
    <row r="2455" spans="1:14" x14ac:dyDescent="0.3">
      <c r="A2455" t="s">
        <v>3501</v>
      </c>
      <c r="B2455" t="s">
        <v>220</v>
      </c>
      <c r="C2455" s="1">
        <v>45356</v>
      </c>
      <c r="E2455" t="s">
        <v>32</v>
      </c>
      <c r="F2455">
        <v>78</v>
      </c>
      <c r="G2455" s="12">
        <v>15522</v>
      </c>
      <c r="H2455" s="12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1047</v>
      </c>
      <c r="N2455" t="b">
        <v>1</v>
      </c>
    </row>
    <row r="2456" spans="1:14" x14ac:dyDescent="0.3">
      <c r="A2456" t="s">
        <v>3502</v>
      </c>
      <c r="B2456" t="s">
        <v>334</v>
      </c>
      <c r="C2456" s="1">
        <v>45442</v>
      </c>
      <c r="E2456" t="s">
        <v>32</v>
      </c>
      <c r="F2456">
        <v>1</v>
      </c>
      <c r="G2456" s="12">
        <v>199</v>
      </c>
      <c r="H2456" s="12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1047</v>
      </c>
      <c r="N2456" t="b">
        <v>0</v>
      </c>
    </row>
    <row r="2457" spans="1:14" x14ac:dyDescent="0.3">
      <c r="A2457" t="s">
        <v>3503</v>
      </c>
      <c r="B2457" t="s">
        <v>772</v>
      </c>
      <c r="C2457" s="1">
        <v>45647</v>
      </c>
      <c r="E2457" t="s">
        <v>39</v>
      </c>
      <c r="F2457">
        <v>15</v>
      </c>
      <c r="G2457" s="12">
        <v>0</v>
      </c>
      <c r="H2457" s="12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1047</v>
      </c>
      <c r="N2457" t="b">
        <v>1</v>
      </c>
    </row>
    <row r="2458" spans="1:14" x14ac:dyDescent="0.3">
      <c r="A2458" t="s">
        <v>3504</v>
      </c>
      <c r="B2458" t="s">
        <v>310</v>
      </c>
      <c r="C2458" s="1">
        <v>45324</v>
      </c>
      <c r="E2458" t="s">
        <v>15</v>
      </c>
      <c r="F2458">
        <v>31</v>
      </c>
      <c r="G2458" s="12">
        <v>589</v>
      </c>
      <c r="H2458" s="12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1047</v>
      </c>
      <c r="N2458" t="b">
        <v>1</v>
      </c>
    </row>
    <row r="2459" spans="1:14" x14ac:dyDescent="0.3">
      <c r="A2459" t="s">
        <v>3505</v>
      </c>
      <c r="B2459" t="s">
        <v>682</v>
      </c>
      <c r="C2459" s="1">
        <v>45564</v>
      </c>
      <c r="E2459" t="s">
        <v>15</v>
      </c>
      <c r="F2459">
        <v>13</v>
      </c>
      <c r="G2459" s="12">
        <v>247</v>
      </c>
      <c r="H2459" s="12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1047</v>
      </c>
      <c r="N2459" t="b">
        <v>1</v>
      </c>
    </row>
    <row r="2460" spans="1:14" x14ac:dyDescent="0.3">
      <c r="A2460" t="s">
        <v>3506</v>
      </c>
      <c r="B2460" t="s">
        <v>500</v>
      </c>
      <c r="C2460" s="1">
        <v>45440</v>
      </c>
      <c r="E2460" t="s">
        <v>15</v>
      </c>
      <c r="F2460">
        <v>92</v>
      </c>
      <c r="G2460" s="12">
        <v>0</v>
      </c>
      <c r="H2460" s="12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1047</v>
      </c>
      <c r="N2460" t="b">
        <v>1</v>
      </c>
    </row>
    <row r="2461" spans="1:14" x14ac:dyDescent="0.3">
      <c r="A2461" t="s">
        <v>3507</v>
      </c>
      <c r="B2461" t="s">
        <v>318</v>
      </c>
      <c r="C2461" s="1">
        <v>45337</v>
      </c>
      <c r="E2461" t="s">
        <v>15</v>
      </c>
      <c r="F2461">
        <v>19</v>
      </c>
      <c r="G2461" s="12">
        <v>361</v>
      </c>
      <c r="H2461" s="12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1047</v>
      </c>
      <c r="N2461" t="b">
        <v>1</v>
      </c>
    </row>
    <row r="2462" spans="1:14" x14ac:dyDescent="0.3">
      <c r="A2462" t="s">
        <v>3508</v>
      </c>
      <c r="B2462" t="s">
        <v>108</v>
      </c>
      <c r="C2462" s="1">
        <v>45655</v>
      </c>
      <c r="E2462" t="s">
        <v>39</v>
      </c>
      <c r="F2462">
        <v>11</v>
      </c>
      <c r="G2462" s="12">
        <v>539</v>
      </c>
      <c r="H2462" s="1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1047</v>
      </c>
      <c r="N2462" t="b">
        <v>1</v>
      </c>
    </row>
    <row r="2463" spans="1:14" x14ac:dyDescent="0.3">
      <c r="A2463" t="s">
        <v>3509</v>
      </c>
      <c r="B2463" t="s">
        <v>430</v>
      </c>
      <c r="C2463" s="1">
        <v>45276</v>
      </c>
      <c r="E2463" t="s">
        <v>39</v>
      </c>
      <c r="F2463">
        <v>62</v>
      </c>
      <c r="G2463" s="12">
        <v>3038</v>
      </c>
      <c r="H2463" s="12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1047</v>
      </c>
      <c r="N2463" t="b">
        <v>1</v>
      </c>
    </row>
    <row r="2464" spans="1:14" x14ac:dyDescent="0.3">
      <c r="A2464" t="s">
        <v>3510</v>
      </c>
      <c r="B2464" t="s">
        <v>452</v>
      </c>
      <c r="C2464" s="1">
        <v>45459</v>
      </c>
      <c r="E2464" t="s">
        <v>39</v>
      </c>
      <c r="F2464">
        <v>52</v>
      </c>
      <c r="G2464" s="12">
        <v>2548</v>
      </c>
      <c r="H2464" s="12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1047</v>
      </c>
      <c r="N2464" t="b">
        <v>1</v>
      </c>
    </row>
    <row r="2465" spans="1:14" x14ac:dyDescent="0.3">
      <c r="A2465" t="s">
        <v>3511</v>
      </c>
      <c r="B2465" t="s">
        <v>244</v>
      </c>
      <c r="C2465" s="1">
        <v>45641</v>
      </c>
      <c r="E2465" t="s">
        <v>39</v>
      </c>
      <c r="F2465">
        <v>25</v>
      </c>
      <c r="G2465" s="12">
        <v>1225</v>
      </c>
      <c r="H2465" s="12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1050</v>
      </c>
      <c r="N2465" t="b">
        <v>1</v>
      </c>
    </row>
    <row r="2466" spans="1:14" x14ac:dyDescent="0.3">
      <c r="A2466" t="s">
        <v>3512</v>
      </c>
      <c r="B2466" t="s">
        <v>940</v>
      </c>
      <c r="C2466" s="1">
        <v>45490</v>
      </c>
      <c r="E2466" t="s">
        <v>32</v>
      </c>
      <c r="F2466">
        <v>3</v>
      </c>
      <c r="G2466" s="12">
        <v>597</v>
      </c>
      <c r="H2466" s="12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1050</v>
      </c>
      <c r="N2466" t="b">
        <v>1</v>
      </c>
    </row>
    <row r="2467" spans="1:14" x14ac:dyDescent="0.3">
      <c r="A2467" t="s">
        <v>3513</v>
      </c>
      <c r="B2467" t="s">
        <v>856</v>
      </c>
      <c r="C2467" s="1">
        <v>45495</v>
      </c>
      <c r="E2467" t="s">
        <v>15</v>
      </c>
      <c r="F2467">
        <v>7</v>
      </c>
      <c r="G2467" s="12">
        <v>133</v>
      </c>
      <c r="H2467" s="12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1050</v>
      </c>
      <c r="N2467" t="b">
        <v>1</v>
      </c>
    </row>
    <row r="2468" spans="1:14" x14ac:dyDescent="0.3">
      <c r="A2468" t="s">
        <v>3514</v>
      </c>
      <c r="B2468" t="s">
        <v>33</v>
      </c>
      <c r="C2468" s="1">
        <v>45302</v>
      </c>
      <c r="E2468" t="s">
        <v>32</v>
      </c>
      <c r="F2468">
        <v>5</v>
      </c>
      <c r="G2468" s="12">
        <v>995</v>
      </c>
      <c r="H2468" s="12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1047</v>
      </c>
      <c r="N2468" t="b">
        <v>1</v>
      </c>
    </row>
    <row r="2469" spans="1:14" x14ac:dyDescent="0.3">
      <c r="A2469" t="s">
        <v>3515</v>
      </c>
      <c r="B2469" t="s">
        <v>150</v>
      </c>
      <c r="C2469" s="1">
        <v>45579</v>
      </c>
      <c r="E2469" t="s">
        <v>39</v>
      </c>
      <c r="F2469">
        <v>9</v>
      </c>
      <c r="G2469" s="12">
        <v>441</v>
      </c>
      <c r="H2469" s="12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1050</v>
      </c>
      <c r="N2469" t="b">
        <v>1</v>
      </c>
    </row>
    <row r="2470" spans="1:14" x14ac:dyDescent="0.3">
      <c r="A2470" t="s">
        <v>3516</v>
      </c>
      <c r="B2470" t="s">
        <v>658</v>
      </c>
      <c r="C2470" s="1">
        <v>45594</v>
      </c>
      <c r="E2470" t="s">
        <v>32</v>
      </c>
      <c r="F2470">
        <v>21</v>
      </c>
      <c r="G2470" s="12">
        <v>4179</v>
      </c>
      <c r="H2470" s="12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1047</v>
      </c>
      <c r="N2470" t="b">
        <v>1</v>
      </c>
    </row>
    <row r="2471" spans="1:14" x14ac:dyDescent="0.3">
      <c r="A2471" t="s">
        <v>3517</v>
      </c>
      <c r="B2471" t="s">
        <v>192</v>
      </c>
      <c r="C2471" s="1">
        <v>45610</v>
      </c>
      <c r="E2471" t="s">
        <v>32</v>
      </c>
      <c r="F2471">
        <v>9</v>
      </c>
      <c r="G2471" s="12">
        <v>1791</v>
      </c>
      <c r="H2471" s="12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1050</v>
      </c>
      <c r="N2471" t="b">
        <v>1</v>
      </c>
    </row>
    <row r="2472" spans="1:14" x14ac:dyDescent="0.3">
      <c r="A2472" t="s">
        <v>3518</v>
      </c>
      <c r="B2472" t="s">
        <v>978</v>
      </c>
      <c r="C2472" s="1">
        <v>45472</v>
      </c>
      <c r="E2472" t="s">
        <v>15</v>
      </c>
      <c r="F2472">
        <v>43</v>
      </c>
      <c r="G2472" s="12">
        <v>817</v>
      </c>
      <c r="H2472" s="1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1047</v>
      </c>
      <c r="N2472" t="b">
        <v>1</v>
      </c>
    </row>
    <row r="2473" spans="1:14" x14ac:dyDescent="0.3">
      <c r="A2473" t="s">
        <v>3519</v>
      </c>
      <c r="B2473" t="s">
        <v>578</v>
      </c>
      <c r="C2473" s="1">
        <v>45363</v>
      </c>
      <c r="E2473" t="s">
        <v>32</v>
      </c>
      <c r="F2473">
        <v>8</v>
      </c>
      <c r="G2473" s="12">
        <v>0</v>
      </c>
      <c r="H2473" s="12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1047</v>
      </c>
      <c r="N2473" t="b">
        <v>1</v>
      </c>
    </row>
    <row r="2474" spans="1:14" x14ac:dyDescent="0.3">
      <c r="A2474" t="s">
        <v>3520</v>
      </c>
      <c r="B2474" t="s">
        <v>250</v>
      </c>
      <c r="C2474" s="1">
        <v>45436</v>
      </c>
      <c r="E2474" t="s">
        <v>15</v>
      </c>
      <c r="F2474">
        <v>27</v>
      </c>
      <c r="G2474" s="12">
        <v>513</v>
      </c>
      <c r="H2474" s="12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1047</v>
      </c>
      <c r="N2474" t="b">
        <v>1</v>
      </c>
    </row>
    <row r="2475" spans="1:14" x14ac:dyDescent="0.3">
      <c r="A2475" t="s">
        <v>3521</v>
      </c>
      <c r="B2475" t="s">
        <v>57</v>
      </c>
      <c r="C2475" s="1">
        <v>45344</v>
      </c>
      <c r="D2475" s="1">
        <v>45456</v>
      </c>
      <c r="E2475" t="s">
        <v>15</v>
      </c>
      <c r="F2475">
        <v>21</v>
      </c>
      <c r="G2475" s="12">
        <v>399</v>
      </c>
      <c r="H2475" s="12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1047</v>
      </c>
      <c r="N2475" t="b">
        <v>1</v>
      </c>
    </row>
    <row r="2476" spans="1:14" x14ac:dyDescent="0.3">
      <c r="A2476" t="s">
        <v>3522</v>
      </c>
      <c r="B2476" t="s">
        <v>774</v>
      </c>
      <c r="C2476" s="1">
        <v>45140</v>
      </c>
      <c r="E2476" t="s">
        <v>39</v>
      </c>
      <c r="F2476">
        <v>8</v>
      </c>
      <c r="G2476" s="12">
        <v>392</v>
      </c>
      <c r="H2476" s="12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1050</v>
      </c>
      <c r="N2476" t="b">
        <v>1</v>
      </c>
    </row>
    <row r="2477" spans="1:14" x14ac:dyDescent="0.3">
      <c r="A2477" t="s">
        <v>3523</v>
      </c>
      <c r="B2477" t="s">
        <v>522</v>
      </c>
      <c r="C2477" s="1">
        <v>45338</v>
      </c>
      <c r="D2477" s="1">
        <v>45516</v>
      </c>
      <c r="E2477" t="s">
        <v>15</v>
      </c>
      <c r="F2477">
        <v>11</v>
      </c>
      <c r="G2477" s="12">
        <v>209</v>
      </c>
      <c r="H2477" s="12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1050</v>
      </c>
      <c r="N2477" t="b">
        <v>0</v>
      </c>
    </row>
    <row r="2478" spans="1:14" x14ac:dyDescent="0.3">
      <c r="A2478" t="s">
        <v>3524</v>
      </c>
      <c r="B2478" t="s">
        <v>508</v>
      </c>
      <c r="C2478" s="1">
        <v>45610</v>
      </c>
      <c r="E2478" t="s">
        <v>39</v>
      </c>
      <c r="F2478">
        <v>67</v>
      </c>
      <c r="G2478" s="12">
        <v>3283</v>
      </c>
      <c r="H2478" s="12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1050</v>
      </c>
      <c r="N2478" t="b">
        <v>1</v>
      </c>
    </row>
    <row r="2479" spans="1:14" x14ac:dyDescent="0.3">
      <c r="A2479" t="s">
        <v>3525</v>
      </c>
      <c r="B2479" t="s">
        <v>554</v>
      </c>
      <c r="C2479" s="1">
        <v>45562</v>
      </c>
      <c r="D2479" s="1">
        <v>45594</v>
      </c>
      <c r="E2479" t="s">
        <v>15</v>
      </c>
      <c r="F2479">
        <v>38</v>
      </c>
      <c r="G2479" s="12">
        <v>722</v>
      </c>
      <c r="H2479" s="12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1047</v>
      </c>
      <c r="N2479" t="b">
        <v>1</v>
      </c>
    </row>
    <row r="2480" spans="1:14" x14ac:dyDescent="0.3">
      <c r="A2480" t="s">
        <v>3526</v>
      </c>
      <c r="B2480" t="s">
        <v>232</v>
      </c>
      <c r="C2480" s="1">
        <v>45432</v>
      </c>
      <c r="E2480" t="s">
        <v>39</v>
      </c>
      <c r="F2480">
        <v>20</v>
      </c>
      <c r="G2480" s="12">
        <v>0</v>
      </c>
      <c r="H2480" s="12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1047</v>
      </c>
      <c r="N2480" t="b">
        <v>1</v>
      </c>
    </row>
    <row r="2481" spans="1:14" x14ac:dyDescent="0.3">
      <c r="A2481" t="s">
        <v>3527</v>
      </c>
      <c r="B2481" t="s">
        <v>626</v>
      </c>
      <c r="C2481" s="1">
        <v>45526</v>
      </c>
      <c r="E2481" t="s">
        <v>15</v>
      </c>
      <c r="F2481">
        <v>22</v>
      </c>
      <c r="G2481" s="12">
        <v>418</v>
      </c>
      <c r="H2481" s="12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1047</v>
      </c>
      <c r="N2481" t="b">
        <v>0</v>
      </c>
    </row>
    <row r="2482" spans="1:14" x14ac:dyDescent="0.3">
      <c r="A2482" t="s">
        <v>3528</v>
      </c>
      <c r="B2482" t="s">
        <v>1006</v>
      </c>
      <c r="C2482" s="1">
        <v>45655</v>
      </c>
      <c r="E2482" t="s">
        <v>39</v>
      </c>
      <c r="F2482">
        <v>148</v>
      </c>
      <c r="G2482" s="12">
        <v>7252</v>
      </c>
      <c r="H2482" s="1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1050</v>
      </c>
      <c r="N2482" t="b">
        <v>1</v>
      </c>
    </row>
    <row r="2483" spans="1:14" x14ac:dyDescent="0.3">
      <c r="A2483" t="s">
        <v>3529</v>
      </c>
      <c r="B2483" t="s">
        <v>934</v>
      </c>
      <c r="C2483" s="1">
        <v>45616</v>
      </c>
      <c r="E2483" t="s">
        <v>39</v>
      </c>
      <c r="F2483">
        <v>46</v>
      </c>
      <c r="G2483" s="12">
        <v>2254</v>
      </c>
      <c r="H2483" s="12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1050</v>
      </c>
      <c r="N2483" t="b">
        <v>1</v>
      </c>
    </row>
    <row r="2484" spans="1:14" x14ac:dyDescent="0.3">
      <c r="A2484" t="s">
        <v>3530</v>
      </c>
      <c r="B2484" t="s">
        <v>864</v>
      </c>
      <c r="C2484" s="1">
        <v>45410</v>
      </c>
      <c r="E2484" t="s">
        <v>32</v>
      </c>
      <c r="F2484">
        <v>19</v>
      </c>
      <c r="G2484" s="12">
        <v>3781</v>
      </c>
      <c r="H2484" s="12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1047</v>
      </c>
      <c r="N2484" t="b">
        <v>0</v>
      </c>
    </row>
    <row r="2485" spans="1:14" x14ac:dyDescent="0.3">
      <c r="A2485" t="s">
        <v>3531</v>
      </c>
      <c r="B2485" t="s">
        <v>650</v>
      </c>
      <c r="C2485" s="1">
        <v>45619</v>
      </c>
      <c r="E2485" t="s">
        <v>39</v>
      </c>
      <c r="F2485">
        <v>3</v>
      </c>
      <c r="G2485" s="12">
        <v>147</v>
      </c>
      <c r="H2485" s="12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1047</v>
      </c>
      <c r="N2485" t="b">
        <v>1</v>
      </c>
    </row>
    <row r="2486" spans="1:14" x14ac:dyDescent="0.3">
      <c r="A2486" t="s">
        <v>3532</v>
      </c>
      <c r="B2486" t="s">
        <v>610</v>
      </c>
      <c r="C2486" s="1">
        <v>45582</v>
      </c>
      <c r="E2486" t="s">
        <v>39</v>
      </c>
      <c r="F2486">
        <v>42</v>
      </c>
      <c r="G2486" s="12">
        <v>2058</v>
      </c>
      <c r="H2486" s="12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1047</v>
      </c>
      <c r="N2486" t="b">
        <v>0</v>
      </c>
    </row>
    <row r="2487" spans="1:14" x14ac:dyDescent="0.3">
      <c r="A2487" t="s">
        <v>3533</v>
      </c>
      <c r="B2487" t="s">
        <v>490</v>
      </c>
      <c r="C2487" s="1">
        <v>45557</v>
      </c>
      <c r="E2487" t="s">
        <v>15</v>
      </c>
      <c r="F2487">
        <v>7</v>
      </c>
      <c r="G2487" s="12">
        <v>133</v>
      </c>
      <c r="H2487" s="12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1050</v>
      </c>
      <c r="N2487" t="b">
        <v>1</v>
      </c>
    </row>
    <row r="2488" spans="1:14" x14ac:dyDescent="0.3">
      <c r="A2488" t="s">
        <v>3534</v>
      </c>
      <c r="B2488" t="s">
        <v>630</v>
      </c>
      <c r="C2488" s="1">
        <v>45542</v>
      </c>
      <c r="E2488" t="s">
        <v>39</v>
      </c>
      <c r="F2488">
        <v>68</v>
      </c>
      <c r="G2488" s="12">
        <v>3332</v>
      </c>
      <c r="H2488" s="12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1050</v>
      </c>
      <c r="N2488" t="b">
        <v>1</v>
      </c>
    </row>
    <row r="2489" spans="1:14" x14ac:dyDescent="0.3">
      <c r="A2489" t="s">
        <v>3535</v>
      </c>
      <c r="B2489" t="s">
        <v>436</v>
      </c>
      <c r="C2489" s="1">
        <v>45224</v>
      </c>
      <c r="E2489" t="s">
        <v>15</v>
      </c>
      <c r="F2489">
        <v>23</v>
      </c>
      <c r="G2489" s="12">
        <v>437</v>
      </c>
      <c r="H2489" s="12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1047</v>
      </c>
      <c r="N2489" t="b">
        <v>1</v>
      </c>
    </row>
    <row r="2490" spans="1:14" x14ac:dyDescent="0.3">
      <c r="A2490" t="s">
        <v>3536</v>
      </c>
      <c r="B2490" t="s">
        <v>858</v>
      </c>
      <c r="C2490" s="1">
        <v>45382</v>
      </c>
      <c r="E2490" t="s">
        <v>39</v>
      </c>
      <c r="F2490">
        <v>29</v>
      </c>
      <c r="G2490" s="12">
        <v>1421</v>
      </c>
      <c r="H2490" s="12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1047</v>
      </c>
      <c r="N2490" t="b">
        <v>1</v>
      </c>
    </row>
    <row r="2491" spans="1:14" x14ac:dyDescent="0.3">
      <c r="A2491" t="s">
        <v>3537</v>
      </c>
      <c r="B2491" t="s">
        <v>396</v>
      </c>
      <c r="C2491" s="1">
        <v>45494</v>
      </c>
      <c r="E2491" t="s">
        <v>15</v>
      </c>
      <c r="F2491">
        <v>29</v>
      </c>
      <c r="G2491" s="12">
        <v>551</v>
      </c>
      <c r="H2491" s="12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1047</v>
      </c>
      <c r="N2491" t="b">
        <v>1</v>
      </c>
    </row>
    <row r="2492" spans="1:14" x14ac:dyDescent="0.3">
      <c r="A2492" t="s">
        <v>3538</v>
      </c>
      <c r="B2492" t="s">
        <v>702</v>
      </c>
      <c r="C2492" s="1">
        <v>45565</v>
      </c>
      <c r="E2492" t="s">
        <v>39</v>
      </c>
      <c r="F2492">
        <v>10</v>
      </c>
      <c r="G2492" s="12">
        <v>490</v>
      </c>
      <c r="H2492" s="1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1047</v>
      </c>
      <c r="N2492" t="b">
        <v>0</v>
      </c>
    </row>
    <row r="2493" spans="1:14" x14ac:dyDescent="0.3">
      <c r="A2493" t="s">
        <v>3539</v>
      </c>
      <c r="B2493" t="s">
        <v>828</v>
      </c>
      <c r="C2493" s="1">
        <v>45537</v>
      </c>
      <c r="E2493" t="s">
        <v>15</v>
      </c>
      <c r="F2493">
        <v>69</v>
      </c>
      <c r="G2493" s="12">
        <v>1311</v>
      </c>
      <c r="H2493" s="12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1047</v>
      </c>
      <c r="N2493" t="b">
        <v>1</v>
      </c>
    </row>
    <row r="2494" spans="1:14" x14ac:dyDescent="0.3">
      <c r="A2494" t="s">
        <v>3540</v>
      </c>
      <c r="B2494" t="s">
        <v>356</v>
      </c>
      <c r="C2494" s="1">
        <v>45495</v>
      </c>
      <c r="D2494" s="1">
        <v>45579</v>
      </c>
      <c r="E2494" t="s">
        <v>32</v>
      </c>
      <c r="F2494">
        <v>44</v>
      </c>
      <c r="G2494" s="12">
        <v>8756</v>
      </c>
      <c r="H2494" s="12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1047</v>
      </c>
      <c r="N2494" t="b">
        <v>1</v>
      </c>
    </row>
    <row r="2495" spans="1:14" x14ac:dyDescent="0.3">
      <c r="A2495" t="s">
        <v>3541</v>
      </c>
      <c r="B2495" t="s">
        <v>506</v>
      </c>
      <c r="C2495" s="1">
        <v>45585</v>
      </c>
      <c r="D2495" s="1">
        <v>45614</v>
      </c>
      <c r="E2495" t="s">
        <v>39</v>
      </c>
      <c r="F2495">
        <v>8</v>
      </c>
      <c r="G2495" s="12">
        <v>392</v>
      </c>
      <c r="H2495" s="12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1047</v>
      </c>
      <c r="N2495" t="b">
        <v>1</v>
      </c>
    </row>
    <row r="2496" spans="1:14" x14ac:dyDescent="0.3">
      <c r="A2496" t="s">
        <v>3542</v>
      </c>
      <c r="B2496" t="s">
        <v>424</v>
      </c>
      <c r="C2496" s="1">
        <v>45246</v>
      </c>
      <c r="E2496" t="s">
        <v>32</v>
      </c>
      <c r="F2496">
        <v>20</v>
      </c>
      <c r="G2496" s="12">
        <v>0</v>
      </c>
      <c r="H2496" s="12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1047</v>
      </c>
      <c r="N2496" t="b">
        <v>1</v>
      </c>
    </row>
    <row r="2497" spans="1:14" x14ac:dyDescent="0.3">
      <c r="A2497" t="s">
        <v>3543</v>
      </c>
      <c r="B2497" t="s">
        <v>568</v>
      </c>
      <c r="C2497" s="1">
        <v>45602</v>
      </c>
      <c r="E2497" t="s">
        <v>15</v>
      </c>
      <c r="F2497">
        <v>51</v>
      </c>
      <c r="G2497" s="12">
        <v>969</v>
      </c>
      <c r="H2497" s="12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1050</v>
      </c>
      <c r="N2497" t="b">
        <v>1</v>
      </c>
    </row>
    <row r="2498" spans="1:14" x14ac:dyDescent="0.3">
      <c r="A2498" t="s">
        <v>3544</v>
      </c>
      <c r="B2498" t="s">
        <v>762</v>
      </c>
      <c r="C2498" s="1">
        <v>45591</v>
      </c>
      <c r="E2498" t="s">
        <v>32</v>
      </c>
      <c r="F2498">
        <v>30</v>
      </c>
      <c r="G2498" s="12">
        <v>5970</v>
      </c>
      <c r="H2498" s="12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1047</v>
      </c>
      <c r="N2498" t="b">
        <v>1</v>
      </c>
    </row>
    <row r="2499" spans="1:14" x14ac:dyDescent="0.3">
      <c r="A2499" t="s">
        <v>3545</v>
      </c>
      <c r="B2499" t="s">
        <v>616</v>
      </c>
      <c r="C2499" s="1">
        <v>45536</v>
      </c>
      <c r="E2499" t="s">
        <v>39</v>
      </c>
      <c r="F2499">
        <v>5</v>
      </c>
      <c r="G2499" s="12">
        <v>245</v>
      </c>
      <c r="H2499" s="12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1050</v>
      </c>
      <c r="N2499" t="b">
        <v>1</v>
      </c>
    </row>
    <row r="2500" spans="1:14" x14ac:dyDescent="0.3">
      <c r="A2500" t="s">
        <v>3546</v>
      </c>
      <c r="B2500" t="s">
        <v>354</v>
      </c>
      <c r="C2500" s="1">
        <v>45654</v>
      </c>
      <c r="D2500" s="1">
        <v>45655</v>
      </c>
      <c r="E2500" t="s">
        <v>15</v>
      </c>
      <c r="F2500">
        <v>86</v>
      </c>
      <c r="G2500" s="12">
        <v>1634</v>
      </c>
      <c r="H2500" s="12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1047</v>
      </c>
      <c r="N2500" t="b">
        <v>1</v>
      </c>
    </row>
    <row r="2501" spans="1:14" x14ac:dyDescent="0.3">
      <c r="A2501" t="s">
        <v>3547</v>
      </c>
      <c r="B2501" t="s">
        <v>850</v>
      </c>
      <c r="C2501" s="1">
        <v>45493</v>
      </c>
      <c r="E2501" t="s">
        <v>39</v>
      </c>
      <c r="F2501">
        <v>44</v>
      </c>
      <c r="G2501" s="12">
        <v>2156</v>
      </c>
      <c r="H2501" s="12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1047</v>
      </c>
      <c r="N2501" t="b">
        <v>0</v>
      </c>
    </row>
    <row r="2502" spans="1:14" x14ac:dyDescent="0.3">
      <c r="A2502" t="s">
        <v>3548</v>
      </c>
      <c r="B2502" t="s">
        <v>310</v>
      </c>
      <c r="C2502" s="1">
        <v>45497</v>
      </c>
      <c r="E2502" t="s">
        <v>15</v>
      </c>
      <c r="F2502">
        <v>31</v>
      </c>
      <c r="G2502" s="12">
        <v>589</v>
      </c>
      <c r="H2502" s="1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1047</v>
      </c>
      <c r="N2502" t="b">
        <v>1</v>
      </c>
    </row>
    <row r="2503" spans="1:14" x14ac:dyDescent="0.3">
      <c r="A2503" t="s">
        <v>3549</v>
      </c>
      <c r="B2503" t="s">
        <v>492</v>
      </c>
      <c r="C2503" s="1">
        <v>45611</v>
      </c>
      <c r="E2503" t="s">
        <v>32</v>
      </c>
      <c r="F2503">
        <v>17</v>
      </c>
      <c r="G2503" s="12">
        <v>3383</v>
      </c>
      <c r="H2503" s="12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1050</v>
      </c>
      <c r="N2503" t="b">
        <v>1</v>
      </c>
    </row>
    <row r="2504" spans="1:14" x14ac:dyDescent="0.3">
      <c r="A2504" t="s">
        <v>3550</v>
      </c>
      <c r="B2504" t="s">
        <v>634</v>
      </c>
      <c r="C2504" s="1">
        <v>45631</v>
      </c>
      <c r="E2504" t="s">
        <v>15</v>
      </c>
      <c r="F2504">
        <v>34</v>
      </c>
      <c r="G2504" s="12">
        <v>646</v>
      </c>
      <c r="H2504" s="12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1047</v>
      </c>
      <c r="N2504" t="b">
        <v>0</v>
      </c>
    </row>
    <row r="2505" spans="1:14" x14ac:dyDescent="0.3">
      <c r="A2505" t="s">
        <v>3551</v>
      </c>
      <c r="B2505" t="s">
        <v>320</v>
      </c>
      <c r="C2505" s="1">
        <v>45407</v>
      </c>
      <c r="E2505" t="s">
        <v>32</v>
      </c>
      <c r="F2505">
        <v>25</v>
      </c>
      <c r="G2505" s="12">
        <v>0</v>
      </c>
      <c r="H2505" s="12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1047</v>
      </c>
      <c r="N2505" t="b">
        <v>1</v>
      </c>
    </row>
    <row r="2506" spans="1:14" x14ac:dyDescent="0.3">
      <c r="A2506" t="s">
        <v>3552</v>
      </c>
      <c r="B2506" t="s">
        <v>962</v>
      </c>
      <c r="C2506" s="1">
        <v>45426</v>
      </c>
      <c r="E2506" t="s">
        <v>39</v>
      </c>
      <c r="F2506">
        <v>19</v>
      </c>
      <c r="G2506" s="12">
        <v>931</v>
      </c>
      <c r="H2506" s="12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1047</v>
      </c>
      <c r="N2506" t="b">
        <v>0</v>
      </c>
    </row>
    <row r="2507" spans="1:14" x14ac:dyDescent="0.3">
      <c r="A2507" t="s">
        <v>3553</v>
      </c>
      <c r="B2507" t="s">
        <v>890</v>
      </c>
      <c r="C2507" s="1">
        <v>45561</v>
      </c>
      <c r="E2507" t="s">
        <v>15</v>
      </c>
      <c r="F2507">
        <v>27</v>
      </c>
      <c r="G2507" s="12">
        <v>513</v>
      </c>
      <c r="H2507" s="12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1047</v>
      </c>
      <c r="N2507" t="b">
        <v>1</v>
      </c>
    </row>
    <row r="2508" spans="1:14" x14ac:dyDescent="0.3">
      <c r="A2508" t="s">
        <v>3554</v>
      </c>
      <c r="B2508" t="s">
        <v>374</v>
      </c>
      <c r="C2508" s="1">
        <v>45513</v>
      </c>
      <c r="E2508" t="s">
        <v>15</v>
      </c>
      <c r="F2508">
        <v>20</v>
      </c>
      <c r="G2508" s="12">
        <v>380</v>
      </c>
      <c r="H2508" s="12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1050</v>
      </c>
      <c r="N2508" t="b">
        <v>1</v>
      </c>
    </row>
    <row r="2509" spans="1:14" x14ac:dyDescent="0.3">
      <c r="A2509" t="s">
        <v>3555</v>
      </c>
      <c r="B2509" t="s">
        <v>126</v>
      </c>
      <c r="C2509" s="1">
        <v>45649</v>
      </c>
      <c r="E2509" t="s">
        <v>39</v>
      </c>
      <c r="F2509">
        <v>28</v>
      </c>
      <c r="G2509" s="12">
        <v>1372</v>
      </c>
      <c r="H2509" s="12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1050</v>
      </c>
      <c r="N2509" t="b">
        <v>1</v>
      </c>
    </row>
    <row r="2510" spans="1:14" x14ac:dyDescent="0.3">
      <c r="A2510" t="s">
        <v>3556</v>
      </c>
      <c r="B2510" t="s">
        <v>310</v>
      </c>
      <c r="C2510" s="1">
        <v>45444</v>
      </c>
      <c r="E2510" t="s">
        <v>39</v>
      </c>
      <c r="F2510">
        <v>31</v>
      </c>
      <c r="G2510" s="12">
        <v>0</v>
      </c>
      <c r="H2510" s="12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1050</v>
      </c>
      <c r="N2510" t="b">
        <v>0</v>
      </c>
    </row>
    <row r="2511" spans="1:14" x14ac:dyDescent="0.3">
      <c r="A2511" t="s">
        <v>3557</v>
      </c>
      <c r="B2511" t="s">
        <v>110</v>
      </c>
      <c r="C2511" s="1">
        <v>45619</v>
      </c>
      <c r="E2511" t="s">
        <v>39</v>
      </c>
      <c r="F2511">
        <v>58</v>
      </c>
      <c r="G2511" s="12">
        <v>2842</v>
      </c>
      <c r="H2511" s="12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1050</v>
      </c>
      <c r="N2511" t="b">
        <v>1</v>
      </c>
    </row>
    <row r="2512" spans="1:14" x14ac:dyDescent="0.3">
      <c r="A2512" t="s">
        <v>3558</v>
      </c>
      <c r="B2512" t="s">
        <v>656</v>
      </c>
      <c r="C2512" s="1">
        <v>45403</v>
      </c>
      <c r="E2512" t="s">
        <v>39</v>
      </c>
      <c r="F2512">
        <v>17</v>
      </c>
      <c r="G2512" s="12">
        <v>833</v>
      </c>
      <c r="H2512" s="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1050</v>
      </c>
      <c r="N2512" t="b">
        <v>0</v>
      </c>
    </row>
    <row r="2513" spans="1:14" x14ac:dyDescent="0.3">
      <c r="A2513" t="s">
        <v>3559</v>
      </c>
      <c r="B2513" t="s">
        <v>742</v>
      </c>
      <c r="C2513" s="1">
        <v>45539</v>
      </c>
      <c r="E2513" t="s">
        <v>39</v>
      </c>
      <c r="F2513">
        <v>14</v>
      </c>
      <c r="G2513" s="12">
        <v>686</v>
      </c>
      <c r="H2513" s="12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1047</v>
      </c>
      <c r="N2513" t="b">
        <v>1</v>
      </c>
    </row>
    <row r="2514" spans="1:14" x14ac:dyDescent="0.3">
      <c r="A2514" t="s">
        <v>3560</v>
      </c>
      <c r="B2514" t="s">
        <v>892</v>
      </c>
      <c r="C2514" s="1">
        <v>45453</v>
      </c>
      <c r="E2514" t="s">
        <v>32</v>
      </c>
      <c r="F2514">
        <v>45</v>
      </c>
      <c r="G2514" s="12">
        <v>8955</v>
      </c>
      <c r="H2514" s="12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1047</v>
      </c>
      <c r="N2514" t="b">
        <v>0</v>
      </c>
    </row>
    <row r="2515" spans="1:14" x14ac:dyDescent="0.3">
      <c r="A2515" t="s">
        <v>3561</v>
      </c>
      <c r="B2515" t="s">
        <v>55</v>
      </c>
      <c r="C2515" s="1">
        <v>45640</v>
      </c>
      <c r="E2515" t="s">
        <v>15</v>
      </c>
      <c r="F2515">
        <v>1</v>
      </c>
      <c r="G2515" s="12">
        <v>19</v>
      </c>
      <c r="H2515" s="12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1047</v>
      </c>
      <c r="N2515" t="b">
        <v>0</v>
      </c>
    </row>
    <row r="2516" spans="1:14" x14ac:dyDescent="0.3">
      <c r="A2516" t="s">
        <v>3562</v>
      </c>
      <c r="B2516" t="s">
        <v>172</v>
      </c>
      <c r="C2516" s="1">
        <v>45250</v>
      </c>
      <c r="E2516" t="s">
        <v>39</v>
      </c>
      <c r="F2516">
        <v>9</v>
      </c>
      <c r="G2516" s="12">
        <v>441</v>
      </c>
      <c r="H2516" s="12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1050</v>
      </c>
      <c r="N2516" t="b">
        <v>1</v>
      </c>
    </row>
    <row r="2517" spans="1:14" x14ac:dyDescent="0.3">
      <c r="A2517" t="s">
        <v>3563</v>
      </c>
      <c r="B2517" t="s">
        <v>260</v>
      </c>
      <c r="C2517" s="1">
        <v>45306</v>
      </c>
      <c r="E2517" t="s">
        <v>15</v>
      </c>
      <c r="F2517">
        <v>19</v>
      </c>
      <c r="G2517" s="12">
        <v>361</v>
      </c>
      <c r="H2517" s="12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1047</v>
      </c>
      <c r="N2517" t="b">
        <v>1</v>
      </c>
    </row>
    <row r="2518" spans="1:14" x14ac:dyDescent="0.3">
      <c r="A2518" t="s">
        <v>3564</v>
      </c>
      <c r="B2518" t="s">
        <v>770</v>
      </c>
      <c r="C2518" s="1">
        <v>45565</v>
      </c>
      <c r="E2518" t="s">
        <v>32</v>
      </c>
      <c r="F2518">
        <v>33</v>
      </c>
      <c r="G2518" s="12">
        <v>6567</v>
      </c>
      <c r="H2518" s="12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1047</v>
      </c>
      <c r="N2518" t="b">
        <v>1</v>
      </c>
    </row>
    <row r="2519" spans="1:14" x14ac:dyDescent="0.3">
      <c r="A2519" t="s">
        <v>3565</v>
      </c>
      <c r="B2519" t="s">
        <v>986</v>
      </c>
      <c r="C2519" s="1">
        <v>45502</v>
      </c>
      <c r="E2519" t="s">
        <v>15</v>
      </c>
      <c r="F2519">
        <v>23</v>
      </c>
      <c r="G2519" s="12">
        <v>437</v>
      </c>
      <c r="H2519" s="12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1050</v>
      </c>
      <c r="N2519" t="b">
        <v>0</v>
      </c>
    </row>
    <row r="2520" spans="1:14" x14ac:dyDescent="0.3">
      <c r="A2520" t="s">
        <v>3566</v>
      </c>
      <c r="B2520" t="s">
        <v>934</v>
      </c>
      <c r="C2520" s="1">
        <v>45513</v>
      </c>
      <c r="E2520" t="s">
        <v>15</v>
      </c>
      <c r="F2520">
        <v>46</v>
      </c>
      <c r="G2520" s="12">
        <v>874</v>
      </c>
      <c r="H2520" s="12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1047</v>
      </c>
      <c r="N2520" t="b">
        <v>1</v>
      </c>
    </row>
    <row r="2521" spans="1:14" x14ac:dyDescent="0.3">
      <c r="A2521" t="s">
        <v>3567</v>
      </c>
      <c r="B2521" t="s">
        <v>998</v>
      </c>
      <c r="C2521" s="1">
        <v>45294</v>
      </c>
      <c r="E2521" t="s">
        <v>15</v>
      </c>
      <c r="F2521">
        <v>40</v>
      </c>
      <c r="G2521" s="12">
        <v>760</v>
      </c>
      <c r="H2521" s="12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1050</v>
      </c>
      <c r="N2521" t="b">
        <v>0</v>
      </c>
    </row>
    <row r="2522" spans="1:14" x14ac:dyDescent="0.3">
      <c r="A2522" t="s">
        <v>3568</v>
      </c>
      <c r="B2522" t="s">
        <v>366</v>
      </c>
      <c r="C2522" s="1">
        <v>45467</v>
      </c>
      <c r="E2522" t="s">
        <v>39</v>
      </c>
      <c r="F2522">
        <v>23</v>
      </c>
      <c r="G2522" s="12">
        <v>1127</v>
      </c>
      <c r="H2522" s="1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1047</v>
      </c>
      <c r="N2522" t="b">
        <v>1</v>
      </c>
    </row>
    <row r="2523" spans="1:14" x14ac:dyDescent="0.3">
      <c r="A2523" t="s">
        <v>3569</v>
      </c>
      <c r="B2523" t="s">
        <v>976</v>
      </c>
      <c r="C2523" s="1">
        <v>45189</v>
      </c>
      <c r="E2523" t="s">
        <v>32</v>
      </c>
      <c r="F2523">
        <v>54</v>
      </c>
      <c r="G2523" s="12">
        <v>10746</v>
      </c>
      <c r="H2523" s="12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1050</v>
      </c>
      <c r="N2523" t="b">
        <v>1</v>
      </c>
    </row>
    <row r="2524" spans="1:14" x14ac:dyDescent="0.3">
      <c r="A2524" t="s">
        <v>3570</v>
      </c>
      <c r="B2524" t="s">
        <v>152</v>
      </c>
      <c r="C2524" s="1">
        <v>45178</v>
      </c>
      <c r="E2524" t="s">
        <v>39</v>
      </c>
      <c r="F2524">
        <v>41</v>
      </c>
      <c r="G2524" s="12">
        <v>0</v>
      </c>
      <c r="H2524" s="12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1047</v>
      </c>
      <c r="N2524" t="b">
        <v>1</v>
      </c>
    </row>
    <row r="2525" spans="1:14" x14ac:dyDescent="0.3">
      <c r="A2525" t="s">
        <v>3571</v>
      </c>
      <c r="B2525" t="s">
        <v>800</v>
      </c>
      <c r="C2525" s="1">
        <v>45645</v>
      </c>
      <c r="E2525" t="s">
        <v>39</v>
      </c>
      <c r="F2525">
        <v>27</v>
      </c>
      <c r="G2525" s="12">
        <v>1323</v>
      </c>
      <c r="H2525" s="12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1050</v>
      </c>
      <c r="N2525" t="b">
        <v>1</v>
      </c>
    </row>
    <row r="2526" spans="1:14" x14ac:dyDescent="0.3">
      <c r="A2526" t="s">
        <v>3572</v>
      </c>
      <c r="B2526" t="s">
        <v>714</v>
      </c>
      <c r="C2526" s="1">
        <v>45450</v>
      </c>
      <c r="E2526" t="s">
        <v>32</v>
      </c>
      <c r="F2526">
        <v>39</v>
      </c>
      <c r="G2526" s="12">
        <v>7761</v>
      </c>
      <c r="H2526" s="12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1047</v>
      </c>
      <c r="N2526" t="b">
        <v>1</v>
      </c>
    </row>
    <row r="2527" spans="1:14" x14ac:dyDescent="0.3">
      <c r="A2527" t="s">
        <v>3573</v>
      </c>
      <c r="B2527" t="s">
        <v>620</v>
      </c>
      <c r="C2527" s="1">
        <v>45588</v>
      </c>
      <c r="E2527" t="s">
        <v>32</v>
      </c>
      <c r="F2527">
        <v>3</v>
      </c>
      <c r="G2527" s="12">
        <v>0</v>
      </c>
      <c r="H2527" s="12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1050</v>
      </c>
      <c r="N2527" t="b">
        <v>1</v>
      </c>
    </row>
    <row r="2528" spans="1:14" x14ac:dyDescent="0.3">
      <c r="A2528" t="s">
        <v>3574</v>
      </c>
      <c r="B2528" t="s">
        <v>1028</v>
      </c>
      <c r="C2528" s="1">
        <v>45574</v>
      </c>
      <c r="E2528" t="s">
        <v>39</v>
      </c>
      <c r="F2528">
        <v>16</v>
      </c>
      <c r="G2528" s="12">
        <v>0</v>
      </c>
      <c r="H2528" s="12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1050</v>
      </c>
      <c r="N2528" t="b">
        <v>1</v>
      </c>
    </row>
    <row r="2529" spans="1:14" x14ac:dyDescent="0.3">
      <c r="A2529" t="s">
        <v>3575</v>
      </c>
      <c r="B2529" t="s">
        <v>260</v>
      </c>
      <c r="C2529" s="1">
        <v>45266</v>
      </c>
      <c r="E2529" t="s">
        <v>39</v>
      </c>
      <c r="F2529">
        <v>40</v>
      </c>
      <c r="G2529" s="12">
        <v>1960</v>
      </c>
      <c r="H2529" s="12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1050</v>
      </c>
      <c r="N2529" t="b">
        <v>0</v>
      </c>
    </row>
    <row r="2530" spans="1:14" x14ac:dyDescent="0.3">
      <c r="A2530" t="s">
        <v>3576</v>
      </c>
      <c r="B2530" t="s">
        <v>758</v>
      </c>
      <c r="C2530" s="1">
        <v>45444</v>
      </c>
      <c r="E2530" t="s">
        <v>39</v>
      </c>
      <c r="F2530">
        <v>25</v>
      </c>
      <c r="G2530" s="12">
        <v>1225</v>
      </c>
      <c r="H2530" s="12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1047</v>
      </c>
      <c r="N2530" t="b">
        <v>1</v>
      </c>
    </row>
    <row r="2531" spans="1:14" x14ac:dyDescent="0.3">
      <c r="A2531" t="s">
        <v>3577</v>
      </c>
      <c r="B2531" t="s">
        <v>704</v>
      </c>
      <c r="C2531" s="1">
        <v>45634</v>
      </c>
      <c r="E2531" t="s">
        <v>32</v>
      </c>
      <c r="F2531">
        <v>87</v>
      </c>
      <c r="G2531" s="12">
        <v>17313</v>
      </c>
      <c r="H2531" s="12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1047</v>
      </c>
      <c r="N2531" t="b">
        <v>1</v>
      </c>
    </row>
    <row r="2532" spans="1:14" x14ac:dyDescent="0.3">
      <c r="A2532" t="s">
        <v>3578</v>
      </c>
      <c r="B2532" t="s">
        <v>740</v>
      </c>
      <c r="C2532" s="1">
        <v>45494</v>
      </c>
      <c r="D2532" s="1">
        <v>45620</v>
      </c>
      <c r="E2532" t="s">
        <v>15</v>
      </c>
      <c r="F2532">
        <v>53</v>
      </c>
      <c r="G2532" s="12">
        <v>1007</v>
      </c>
      <c r="H2532" s="1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1047</v>
      </c>
      <c r="N2532" t="b">
        <v>1</v>
      </c>
    </row>
    <row r="2533" spans="1:14" x14ac:dyDescent="0.3">
      <c r="A2533" t="s">
        <v>3579</v>
      </c>
      <c r="B2533" t="s">
        <v>246</v>
      </c>
      <c r="C2533" s="1">
        <v>45157</v>
      </c>
      <c r="E2533" t="s">
        <v>32</v>
      </c>
      <c r="F2533">
        <v>61</v>
      </c>
      <c r="G2533" s="12">
        <v>12139</v>
      </c>
      <c r="H2533" s="12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1047</v>
      </c>
      <c r="N2533" t="b">
        <v>1</v>
      </c>
    </row>
    <row r="2534" spans="1:14" x14ac:dyDescent="0.3">
      <c r="A2534" t="s">
        <v>3580</v>
      </c>
      <c r="B2534" t="s">
        <v>508</v>
      </c>
      <c r="C2534" s="1">
        <v>45648</v>
      </c>
      <c r="E2534" t="s">
        <v>39</v>
      </c>
      <c r="F2534">
        <v>67</v>
      </c>
      <c r="G2534" s="12">
        <v>3283</v>
      </c>
      <c r="H2534" s="12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1047</v>
      </c>
      <c r="N2534" t="b">
        <v>1</v>
      </c>
    </row>
    <row r="2535" spans="1:14" x14ac:dyDescent="0.3">
      <c r="A2535" t="s">
        <v>3581</v>
      </c>
      <c r="B2535" t="s">
        <v>528</v>
      </c>
      <c r="C2535" s="1">
        <v>45554</v>
      </c>
      <c r="E2535" t="s">
        <v>39</v>
      </c>
      <c r="F2535">
        <v>21</v>
      </c>
      <c r="G2535" s="12">
        <v>0</v>
      </c>
      <c r="H2535" s="12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1047</v>
      </c>
      <c r="N2535" t="b">
        <v>1</v>
      </c>
    </row>
    <row r="2536" spans="1:14" x14ac:dyDescent="0.3">
      <c r="A2536" t="s">
        <v>3582</v>
      </c>
      <c r="B2536" t="s">
        <v>862</v>
      </c>
      <c r="C2536" s="1">
        <v>45483</v>
      </c>
      <c r="E2536" t="s">
        <v>32</v>
      </c>
      <c r="F2536">
        <v>50</v>
      </c>
      <c r="G2536" s="12">
        <v>0</v>
      </c>
      <c r="H2536" s="12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1050</v>
      </c>
      <c r="N2536" t="b">
        <v>1</v>
      </c>
    </row>
    <row r="2537" spans="1:14" x14ac:dyDescent="0.3">
      <c r="A2537" t="s">
        <v>3583</v>
      </c>
      <c r="B2537" t="s">
        <v>808</v>
      </c>
      <c r="C2537" s="1">
        <v>45441</v>
      </c>
      <c r="E2537" t="s">
        <v>32</v>
      </c>
      <c r="F2537">
        <v>27</v>
      </c>
      <c r="G2537" s="12">
        <v>5373</v>
      </c>
      <c r="H2537" s="12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1050</v>
      </c>
      <c r="N2537" t="b">
        <v>0</v>
      </c>
    </row>
    <row r="2538" spans="1:14" x14ac:dyDescent="0.3">
      <c r="A2538" t="s">
        <v>3584</v>
      </c>
      <c r="B2538" t="s">
        <v>700</v>
      </c>
      <c r="C2538" s="1">
        <v>45640</v>
      </c>
      <c r="E2538" t="s">
        <v>32</v>
      </c>
      <c r="F2538">
        <v>21</v>
      </c>
      <c r="G2538" s="12">
        <v>4179</v>
      </c>
      <c r="H2538" s="12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1047</v>
      </c>
      <c r="N2538" t="b">
        <v>1</v>
      </c>
    </row>
    <row r="2539" spans="1:14" x14ac:dyDescent="0.3">
      <c r="A2539" t="s">
        <v>3585</v>
      </c>
      <c r="B2539" t="s">
        <v>966</v>
      </c>
      <c r="C2539" s="1">
        <v>45487</v>
      </c>
      <c r="E2539" t="s">
        <v>15</v>
      </c>
      <c r="F2539">
        <v>21</v>
      </c>
      <c r="G2539" s="12">
        <v>399</v>
      </c>
      <c r="H2539" s="12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1050</v>
      </c>
      <c r="N2539" t="b">
        <v>1</v>
      </c>
    </row>
    <row r="2540" spans="1:14" x14ac:dyDescent="0.3">
      <c r="A2540" t="s">
        <v>3586</v>
      </c>
      <c r="B2540" t="s">
        <v>424</v>
      </c>
      <c r="C2540" s="1">
        <v>45419</v>
      </c>
      <c r="E2540" t="s">
        <v>32</v>
      </c>
      <c r="F2540">
        <v>31</v>
      </c>
      <c r="G2540" s="12">
        <v>6169</v>
      </c>
      <c r="H2540" s="12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1047</v>
      </c>
      <c r="N2540" t="b">
        <v>1</v>
      </c>
    </row>
    <row r="2541" spans="1:14" x14ac:dyDescent="0.3">
      <c r="A2541" t="s">
        <v>3587</v>
      </c>
      <c r="B2541" t="s">
        <v>828</v>
      </c>
      <c r="C2541" s="1">
        <v>45559</v>
      </c>
      <c r="E2541" t="s">
        <v>15</v>
      </c>
      <c r="F2541">
        <v>69</v>
      </c>
      <c r="G2541" s="12">
        <v>1311</v>
      </c>
      <c r="H2541" s="12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1047</v>
      </c>
      <c r="N2541" t="b">
        <v>1</v>
      </c>
    </row>
    <row r="2542" spans="1:14" x14ac:dyDescent="0.3">
      <c r="A2542" t="s">
        <v>3588</v>
      </c>
      <c r="B2542" t="s">
        <v>314</v>
      </c>
      <c r="C2542" s="1">
        <v>45468</v>
      </c>
      <c r="E2542" t="s">
        <v>15</v>
      </c>
      <c r="F2542">
        <v>14</v>
      </c>
      <c r="G2542" s="12">
        <v>266</v>
      </c>
      <c r="H2542" s="1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1050</v>
      </c>
      <c r="N2542" t="b">
        <v>1</v>
      </c>
    </row>
    <row r="2543" spans="1:14" x14ac:dyDescent="0.3">
      <c r="A2543" t="s">
        <v>3589</v>
      </c>
      <c r="B2543" t="s">
        <v>1004</v>
      </c>
      <c r="C2543" s="1">
        <v>45595</v>
      </c>
      <c r="E2543" t="s">
        <v>32</v>
      </c>
      <c r="F2543">
        <v>36</v>
      </c>
      <c r="G2543" s="12">
        <v>0</v>
      </c>
      <c r="H2543" s="12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1047</v>
      </c>
      <c r="N2543" t="b">
        <v>1</v>
      </c>
    </row>
    <row r="2544" spans="1:14" x14ac:dyDescent="0.3">
      <c r="A2544" t="s">
        <v>3590</v>
      </c>
      <c r="B2544" t="s">
        <v>180</v>
      </c>
      <c r="C2544" s="1">
        <v>45504</v>
      </c>
      <c r="E2544" t="s">
        <v>15</v>
      </c>
      <c r="F2544">
        <v>5</v>
      </c>
      <c r="G2544" s="12">
        <v>95</v>
      </c>
      <c r="H2544" s="12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1047</v>
      </c>
      <c r="N2544" t="b">
        <v>0</v>
      </c>
    </row>
    <row r="2545" spans="1:14" x14ac:dyDescent="0.3">
      <c r="A2545" t="s">
        <v>3591</v>
      </c>
      <c r="B2545" t="s">
        <v>276</v>
      </c>
      <c r="C2545" s="1">
        <v>44972</v>
      </c>
      <c r="D2545" s="1">
        <v>45163</v>
      </c>
      <c r="E2545" t="s">
        <v>39</v>
      </c>
      <c r="F2545">
        <v>14</v>
      </c>
      <c r="G2545" s="12">
        <v>686</v>
      </c>
      <c r="H2545" s="12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1050</v>
      </c>
      <c r="N2545" t="b">
        <v>1</v>
      </c>
    </row>
    <row r="2546" spans="1:14" x14ac:dyDescent="0.3">
      <c r="A2546" t="s">
        <v>3592</v>
      </c>
      <c r="B2546" t="s">
        <v>55</v>
      </c>
      <c r="C2546" s="1">
        <v>45656</v>
      </c>
      <c r="E2546" t="s">
        <v>32</v>
      </c>
      <c r="F2546">
        <v>32</v>
      </c>
      <c r="G2546" s="12">
        <v>6368</v>
      </c>
      <c r="H2546" s="12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1050</v>
      </c>
      <c r="N2546" t="b">
        <v>1</v>
      </c>
    </row>
    <row r="2547" spans="1:14" x14ac:dyDescent="0.3">
      <c r="A2547" t="s">
        <v>3593</v>
      </c>
      <c r="B2547" t="s">
        <v>390</v>
      </c>
      <c r="C2547" s="1">
        <v>45259</v>
      </c>
      <c r="E2547" t="s">
        <v>15</v>
      </c>
      <c r="F2547">
        <v>61</v>
      </c>
      <c r="G2547" s="12">
        <v>1159</v>
      </c>
      <c r="H2547" s="12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1047</v>
      </c>
      <c r="N2547" t="b">
        <v>1</v>
      </c>
    </row>
    <row r="2548" spans="1:14" x14ac:dyDescent="0.3">
      <c r="A2548" t="s">
        <v>3594</v>
      </c>
      <c r="B2548" t="s">
        <v>392</v>
      </c>
      <c r="C2548" s="1">
        <v>45619</v>
      </c>
      <c r="E2548" t="s">
        <v>15</v>
      </c>
      <c r="F2548">
        <v>22</v>
      </c>
      <c r="G2548" s="12">
        <v>418</v>
      </c>
      <c r="H2548" s="12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1047</v>
      </c>
      <c r="N2548" t="b">
        <v>1</v>
      </c>
    </row>
    <row r="2549" spans="1:14" x14ac:dyDescent="0.3">
      <c r="A2549" t="s">
        <v>3595</v>
      </c>
      <c r="B2549" t="s">
        <v>436</v>
      </c>
      <c r="C2549" s="1">
        <v>45466</v>
      </c>
      <c r="E2549" t="s">
        <v>39</v>
      </c>
      <c r="F2549">
        <v>23</v>
      </c>
      <c r="G2549" s="12">
        <v>1127</v>
      </c>
      <c r="H2549" s="12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1050</v>
      </c>
      <c r="N2549" t="b">
        <v>1</v>
      </c>
    </row>
    <row r="2550" spans="1:14" x14ac:dyDescent="0.3">
      <c r="A2550" t="s">
        <v>3596</v>
      </c>
      <c r="B2550" t="s">
        <v>83</v>
      </c>
      <c r="C2550" s="1">
        <v>45495</v>
      </c>
      <c r="E2550" t="s">
        <v>39</v>
      </c>
      <c r="F2550">
        <v>42</v>
      </c>
      <c r="G2550" s="12">
        <v>2058</v>
      </c>
      <c r="H2550" s="12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1050</v>
      </c>
      <c r="N2550" t="b">
        <v>1</v>
      </c>
    </row>
    <row r="2551" spans="1:14" x14ac:dyDescent="0.3">
      <c r="A2551" t="s">
        <v>3597</v>
      </c>
      <c r="B2551" t="s">
        <v>130</v>
      </c>
      <c r="C2551" s="1">
        <v>45384</v>
      </c>
      <c r="E2551" t="s">
        <v>32</v>
      </c>
      <c r="F2551">
        <v>47</v>
      </c>
      <c r="G2551" s="12">
        <v>0</v>
      </c>
      <c r="H2551" s="12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1050</v>
      </c>
      <c r="N2551" t="b">
        <v>0</v>
      </c>
    </row>
    <row r="2552" spans="1:14" x14ac:dyDescent="0.3">
      <c r="A2552" t="s">
        <v>3598</v>
      </c>
      <c r="B2552" t="s">
        <v>778</v>
      </c>
      <c r="C2552" s="1">
        <v>45630</v>
      </c>
      <c r="E2552" t="s">
        <v>15</v>
      </c>
      <c r="F2552">
        <v>39</v>
      </c>
      <c r="G2552" s="12">
        <v>741</v>
      </c>
      <c r="H2552" s="1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1050</v>
      </c>
      <c r="N2552" t="b">
        <v>0</v>
      </c>
    </row>
    <row r="2553" spans="1:14" x14ac:dyDescent="0.3">
      <c r="A2553" t="s">
        <v>3599</v>
      </c>
      <c r="B2553" t="s">
        <v>222</v>
      </c>
      <c r="C2553" s="1">
        <v>45545</v>
      </c>
      <c r="E2553" t="s">
        <v>15</v>
      </c>
      <c r="F2553">
        <v>11</v>
      </c>
      <c r="G2553" s="12">
        <v>209</v>
      </c>
      <c r="H2553" s="12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1050</v>
      </c>
      <c r="N2553" t="b">
        <v>1</v>
      </c>
    </row>
    <row r="2554" spans="1:14" x14ac:dyDescent="0.3">
      <c r="A2554" t="s">
        <v>3600</v>
      </c>
      <c r="B2554" t="s">
        <v>572</v>
      </c>
      <c r="C2554" s="1">
        <v>45619</v>
      </c>
      <c r="E2554" t="s">
        <v>32</v>
      </c>
      <c r="F2554">
        <v>50</v>
      </c>
      <c r="G2554" s="12">
        <v>9950</v>
      </c>
      <c r="H2554" s="12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1050</v>
      </c>
      <c r="N2554" t="b">
        <v>1</v>
      </c>
    </row>
    <row r="2555" spans="1:14" x14ac:dyDescent="0.3">
      <c r="A2555" t="s">
        <v>3601</v>
      </c>
      <c r="B2555" t="s">
        <v>140</v>
      </c>
      <c r="C2555" s="1">
        <v>45385</v>
      </c>
      <c r="E2555" t="s">
        <v>32</v>
      </c>
      <c r="F2555">
        <v>36</v>
      </c>
      <c r="G2555" s="12">
        <v>7164</v>
      </c>
      <c r="H2555" s="12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1047</v>
      </c>
      <c r="N2555" t="b">
        <v>1</v>
      </c>
    </row>
    <row r="2556" spans="1:14" x14ac:dyDescent="0.3">
      <c r="A2556" t="s">
        <v>3602</v>
      </c>
      <c r="B2556" t="s">
        <v>1010</v>
      </c>
      <c r="C2556" s="1">
        <v>45597</v>
      </c>
      <c r="E2556" t="s">
        <v>15</v>
      </c>
      <c r="F2556">
        <v>16</v>
      </c>
      <c r="G2556" s="12">
        <v>0</v>
      </c>
      <c r="H2556" s="12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1047</v>
      </c>
      <c r="N2556" t="b">
        <v>1</v>
      </c>
    </row>
    <row r="2557" spans="1:14" x14ac:dyDescent="0.3">
      <c r="A2557" t="s">
        <v>3603</v>
      </c>
      <c r="B2557" t="s">
        <v>83</v>
      </c>
      <c r="C2557" s="1">
        <v>45080</v>
      </c>
      <c r="E2557" t="s">
        <v>32</v>
      </c>
      <c r="F2557">
        <v>19</v>
      </c>
      <c r="G2557" s="12">
        <v>0</v>
      </c>
      <c r="H2557" s="12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1050</v>
      </c>
      <c r="N2557" t="b">
        <v>1</v>
      </c>
    </row>
    <row r="2558" spans="1:14" x14ac:dyDescent="0.3">
      <c r="A2558" t="s">
        <v>3604</v>
      </c>
      <c r="B2558" t="s">
        <v>274</v>
      </c>
      <c r="C2558" s="1">
        <v>45185</v>
      </c>
      <c r="D2558" s="1">
        <v>45236</v>
      </c>
      <c r="E2558" t="s">
        <v>32</v>
      </c>
      <c r="F2558">
        <v>64</v>
      </c>
      <c r="G2558" s="12">
        <v>12736</v>
      </c>
      <c r="H2558" s="12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1050</v>
      </c>
      <c r="N2558" t="b">
        <v>0</v>
      </c>
    </row>
    <row r="2559" spans="1:14" x14ac:dyDescent="0.3">
      <c r="A2559" t="s">
        <v>3605</v>
      </c>
      <c r="B2559" t="s">
        <v>260</v>
      </c>
      <c r="C2559" s="1">
        <v>45536</v>
      </c>
      <c r="E2559" t="s">
        <v>32</v>
      </c>
      <c r="F2559">
        <v>34</v>
      </c>
      <c r="G2559" s="12">
        <v>6766</v>
      </c>
      <c r="H2559" s="12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1050</v>
      </c>
      <c r="N2559" t="b">
        <v>1</v>
      </c>
    </row>
    <row r="2560" spans="1:14" x14ac:dyDescent="0.3">
      <c r="A2560" t="s">
        <v>3606</v>
      </c>
      <c r="B2560" t="s">
        <v>430</v>
      </c>
      <c r="C2560" s="1">
        <v>45426</v>
      </c>
      <c r="E2560" t="s">
        <v>15</v>
      </c>
      <c r="F2560">
        <v>7</v>
      </c>
      <c r="G2560" s="12">
        <v>133</v>
      </c>
      <c r="H2560" s="12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1047</v>
      </c>
      <c r="N2560" t="b">
        <v>0</v>
      </c>
    </row>
    <row r="2561" spans="1:14" x14ac:dyDescent="0.3">
      <c r="A2561" t="s">
        <v>3607</v>
      </c>
      <c r="B2561" t="s">
        <v>780</v>
      </c>
      <c r="C2561" s="1">
        <v>45500</v>
      </c>
      <c r="E2561" t="s">
        <v>39</v>
      </c>
      <c r="F2561">
        <v>24</v>
      </c>
      <c r="G2561" s="12">
        <v>1176</v>
      </c>
      <c r="H2561" s="12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1047</v>
      </c>
      <c r="N2561" t="b">
        <v>1</v>
      </c>
    </row>
    <row r="2562" spans="1:14" x14ac:dyDescent="0.3">
      <c r="A2562" t="s">
        <v>3608</v>
      </c>
      <c r="B2562" t="s">
        <v>204</v>
      </c>
      <c r="C2562" s="1">
        <v>45609</v>
      </c>
      <c r="E2562" t="s">
        <v>39</v>
      </c>
      <c r="F2562">
        <v>92</v>
      </c>
      <c r="G2562" s="12">
        <v>4508</v>
      </c>
      <c r="H2562" s="1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1050</v>
      </c>
      <c r="N2562" t="b">
        <v>1</v>
      </c>
    </row>
    <row r="2563" spans="1:14" x14ac:dyDescent="0.3">
      <c r="A2563" t="s">
        <v>3609</v>
      </c>
      <c r="B2563" t="s">
        <v>752</v>
      </c>
      <c r="C2563" s="1">
        <v>45553</v>
      </c>
      <c r="E2563" t="s">
        <v>39</v>
      </c>
      <c r="F2563">
        <v>42</v>
      </c>
      <c r="G2563" s="12">
        <v>2058</v>
      </c>
      <c r="H2563" s="12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1047</v>
      </c>
      <c r="N2563" t="b">
        <v>0</v>
      </c>
    </row>
    <row r="2564" spans="1:14" x14ac:dyDescent="0.3">
      <c r="A2564" t="s">
        <v>3610</v>
      </c>
      <c r="B2564" t="s">
        <v>126</v>
      </c>
      <c r="C2564" s="1">
        <v>45607</v>
      </c>
      <c r="E2564" t="s">
        <v>32</v>
      </c>
      <c r="F2564">
        <v>6</v>
      </c>
      <c r="G2564" s="12">
        <v>1194</v>
      </c>
      <c r="H2564" s="12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1050</v>
      </c>
      <c r="N2564" t="b">
        <v>1</v>
      </c>
    </row>
    <row r="2565" spans="1:14" x14ac:dyDescent="0.3">
      <c r="A2565" t="s">
        <v>3611</v>
      </c>
      <c r="B2565" t="s">
        <v>786</v>
      </c>
      <c r="C2565" s="1">
        <v>45530</v>
      </c>
      <c r="E2565" t="s">
        <v>32</v>
      </c>
      <c r="F2565">
        <v>22</v>
      </c>
      <c r="G2565" s="12">
        <v>4378</v>
      </c>
      <c r="H2565" s="12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1047</v>
      </c>
      <c r="N2565" t="b">
        <v>1</v>
      </c>
    </row>
    <row r="2566" spans="1:14" x14ac:dyDescent="0.3">
      <c r="A2566" t="s">
        <v>3612</v>
      </c>
      <c r="B2566" t="s">
        <v>204</v>
      </c>
      <c r="C2566" s="1">
        <v>45623</v>
      </c>
      <c r="E2566" t="s">
        <v>32</v>
      </c>
      <c r="F2566">
        <v>92</v>
      </c>
      <c r="G2566" s="12">
        <v>18308</v>
      </c>
      <c r="H2566" s="12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1047</v>
      </c>
      <c r="N2566" t="b">
        <v>1</v>
      </c>
    </row>
    <row r="2567" spans="1:14" x14ac:dyDescent="0.3">
      <c r="A2567" t="s">
        <v>3613</v>
      </c>
      <c r="B2567" t="s">
        <v>200</v>
      </c>
      <c r="C2567" s="1">
        <v>45334</v>
      </c>
      <c r="D2567" s="1">
        <v>45567</v>
      </c>
      <c r="E2567" t="s">
        <v>39</v>
      </c>
      <c r="F2567">
        <v>18</v>
      </c>
      <c r="G2567" s="12">
        <v>882</v>
      </c>
      <c r="H2567" s="12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1047</v>
      </c>
      <c r="N2567" t="b">
        <v>1</v>
      </c>
    </row>
    <row r="2568" spans="1:14" x14ac:dyDescent="0.3">
      <c r="A2568" t="s">
        <v>3614</v>
      </c>
      <c r="B2568" t="s">
        <v>1014</v>
      </c>
      <c r="C2568" s="1">
        <v>45596</v>
      </c>
      <c r="E2568" t="s">
        <v>32</v>
      </c>
      <c r="F2568">
        <v>32</v>
      </c>
      <c r="G2568" s="12">
        <v>6368</v>
      </c>
      <c r="H2568" s="12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1050</v>
      </c>
      <c r="N2568" t="b">
        <v>1</v>
      </c>
    </row>
    <row r="2569" spans="1:14" x14ac:dyDescent="0.3">
      <c r="A2569" t="s">
        <v>3615</v>
      </c>
      <c r="B2569" t="s">
        <v>468</v>
      </c>
      <c r="C2569" s="1">
        <v>45439</v>
      </c>
      <c r="E2569" t="s">
        <v>15</v>
      </c>
      <c r="F2569">
        <v>11</v>
      </c>
      <c r="G2569" s="12">
        <v>209</v>
      </c>
      <c r="H2569" s="12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1047</v>
      </c>
      <c r="N2569" t="b">
        <v>1</v>
      </c>
    </row>
    <row r="2570" spans="1:14" x14ac:dyDescent="0.3">
      <c r="A2570" t="s">
        <v>3616</v>
      </c>
      <c r="B2570" t="s">
        <v>1026</v>
      </c>
      <c r="C2570" s="1">
        <v>45408</v>
      </c>
      <c r="E2570" t="s">
        <v>15</v>
      </c>
      <c r="F2570">
        <v>45</v>
      </c>
      <c r="G2570" s="12">
        <v>0</v>
      </c>
      <c r="H2570" s="12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1047</v>
      </c>
      <c r="N2570" t="b">
        <v>1</v>
      </c>
    </row>
    <row r="2571" spans="1:14" x14ac:dyDescent="0.3">
      <c r="A2571" t="s">
        <v>3617</v>
      </c>
      <c r="B2571" t="s">
        <v>724</v>
      </c>
      <c r="C2571" s="1">
        <v>45019</v>
      </c>
      <c r="E2571" t="s">
        <v>32</v>
      </c>
      <c r="F2571">
        <v>31</v>
      </c>
      <c r="G2571" s="12">
        <v>6169</v>
      </c>
      <c r="H2571" s="12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1050</v>
      </c>
      <c r="N2571" t="b">
        <v>0</v>
      </c>
    </row>
    <row r="2572" spans="1:14" x14ac:dyDescent="0.3">
      <c r="A2572" t="s">
        <v>3618</v>
      </c>
      <c r="B2572" t="s">
        <v>1022</v>
      </c>
      <c r="C2572" s="1">
        <v>45523</v>
      </c>
      <c r="E2572" t="s">
        <v>32</v>
      </c>
      <c r="F2572">
        <v>21</v>
      </c>
      <c r="G2572" s="12">
        <v>4179</v>
      </c>
      <c r="H2572" s="1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1047</v>
      </c>
      <c r="N2572" t="b">
        <v>0</v>
      </c>
    </row>
    <row r="2573" spans="1:14" x14ac:dyDescent="0.3">
      <c r="A2573" t="s">
        <v>3619</v>
      </c>
      <c r="B2573" t="s">
        <v>530</v>
      </c>
      <c r="C2573" s="1">
        <v>45588</v>
      </c>
      <c r="D2573" s="1">
        <v>45602</v>
      </c>
      <c r="E2573" t="s">
        <v>39</v>
      </c>
      <c r="F2573">
        <v>3</v>
      </c>
      <c r="G2573" s="12">
        <v>147</v>
      </c>
      <c r="H2573" s="12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1047</v>
      </c>
      <c r="N2573" t="b">
        <v>1</v>
      </c>
    </row>
    <row r="2574" spans="1:14" x14ac:dyDescent="0.3">
      <c r="A2574" t="s">
        <v>3620</v>
      </c>
      <c r="B2574" t="s">
        <v>868</v>
      </c>
      <c r="C2574" s="1">
        <v>45036</v>
      </c>
      <c r="E2574" t="s">
        <v>32</v>
      </c>
      <c r="F2574">
        <v>13</v>
      </c>
      <c r="G2574" s="12">
        <v>0</v>
      </c>
      <c r="H2574" s="12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1050</v>
      </c>
      <c r="N2574" t="b">
        <v>1</v>
      </c>
    </row>
    <row r="2575" spans="1:14" x14ac:dyDescent="0.3">
      <c r="A2575" t="s">
        <v>3621</v>
      </c>
      <c r="B2575" t="s">
        <v>884</v>
      </c>
      <c r="C2575" s="1">
        <v>45425</v>
      </c>
      <c r="E2575" t="s">
        <v>32</v>
      </c>
      <c r="F2575">
        <v>41</v>
      </c>
      <c r="G2575" s="12">
        <v>8159</v>
      </c>
      <c r="H2575" s="12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1047</v>
      </c>
      <c r="N2575" t="b">
        <v>1</v>
      </c>
    </row>
    <row r="2576" spans="1:14" x14ac:dyDescent="0.3">
      <c r="A2576" t="s">
        <v>3622</v>
      </c>
      <c r="B2576" t="s">
        <v>802</v>
      </c>
      <c r="C2576" s="1">
        <v>45571</v>
      </c>
      <c r="E2576" t="s">
        <v>15</v>
      </c>
      <c r="F2576">
        <v>41</v>
      </c>
      <c r="G2576" s="12">
        <v>0</v>
      </c>
      <c r="H2576" s="12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1047</v>
      </c>
      <c r="N2576" t="b">
        <v>1</v>
      </c>
    </row>
    <row r="2577" spans="1:14" x14ac:dyDescent="0.3">
      <c r="A2577" t="s">
        <v>3623</v>
      </c>
      <c r="B2577" t="s">
        <v>340</v>
      </c>
      <c r="C2577" s="1">
        <v>45657</v>
      </c>
      <c r="E2577" t="s">
        <v>32</v>
      </c>
      <c r="F2577">
        <v>63</v>
      </c>
      <c r="G2577" s="12">
        <v>0</v>
      </c>
      <c r="H2577" s="12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1050</v>
      </c>
      <c r="N2577" t="b">
        <v>1</v>
      </c>
    </row>
    <row r="2578" spans="1:14" x14ac:dyDescent="0.3">
      <c r="A2578" t="s">
        <v>3624</v>
      </c>
      <c r="B2578" t="s">
        <v>492</v>
      </c>
      <c r="C2578" s="1">
        <v>45632</v>
      </c>
      <c r="E2578" t="s">
        <v>32</v>
      </c>
      <c r="F2578">
        <v>5</v>
      </c>
      <c r="G2578" s="12">
        <v>995</v>
      </c>
      <c r="H2578" s="12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1050</v>
      </c>
      <c r="N2578" t="b">
        <v>1</v>
      </c>
    </row>
    <row r="2579" spans="1:14" x14ac:dyDescent="0.3">
      <c r="A2579" t="s">
        <v>3625</v>
      </c>
      <c r="B2579" t="s">
        <v>588</v>
      </c>
      <c r="C2579" s="1">
        <v>45624</v>
      </c>
      <c r="E2579" t="s">
        <v>32</v>
      </c>
      <c r="F2579">
        <v>26</v>
      </c>
      <c r="G2579" s="12">
        <v>5174</v>
      </c>
      <c r="H2579" s="12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1050</v>
      </c>
      <c r="N2579" t="b">
        <v>1</v>
      </c>
    </row>
    <row r="2580" spans="1:14" x14ac:dyDescent="0.3">
      <c r="A2580" t="s">
        <v>3626</v>
      </c>
      <c r="B2580" t="s">
        <v>288</v>
      </c>
      <c r="C2580" s="1">
        <v>45544</v>
      </c>
      <c r="E2580" t="s">
        <v>39</v>
      </c>
      <c r="F2580">
        <v>27</v>
      </c>
      <c r="G2580" s="12">
        <v>1323</v>
      </c>
      <c r="H2580" s="12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1047</v>
      </c>
      <c r="N2580" t="b">
        <v>0</v>
      </c>
    </row>
    <row r="2581" spans="1:14" x14ac:dyDescent="0.3">
      <c r="A2581" t="s">
        <v>3627</v>
      </c>
      <c r="B2581" t="s">
        <v>876</v>
      </c>
      <c r="C2581" s="1">
        <v>45481</v>
      </c>
      <c r="E2581" t="s">
        <v>39</v>
      </c>
      <c r="F2581">
        <v>6</v>
      </c>
      <c r="G2581" s="12">
        <v>294</v>
      </c>
      <c r="H2581" s="12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1050</v>
      </c>
      <c r="N2581" t="b">
        <v>1</v>
      </c>
    </row>
    <row r="2582" spans="1:14" x14ac:dyDescent="0.3">
      <c r="A2582" t="s">
        <v>3628</v>
      </c>
      <c r="B2582" t="s">
        <v>942</v>
      </c>
      <c r="C2582" s="1">
        <v>45622</v>
      </c>
      <c r="E2582" t="s">
        <v>32</v>
      </c>
      <c r="F2582">
        <v>31</v>
      </c>
      <c r="G2582" s="12">
        <v>6169</v>
      </c>
      <c r="H2582" s="1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1050</v>
      </c>
      <c r="N2582" t="b">
        <v>1</v>
      </c>
    </row>
    <row r="2583" spans="1:14" x14ac:dyDescent="0.3">
      <c r="A2583" t="s">
        <v>3629</v>
      </c>
      <c r="B2583" t="s">
        <v>144</v>
      </c>
      <c r="C2583" s="1">
        <v>45551</v>
      </c>
      <c r="E2583" t="s">
        <v>32</v>
      </c>
      <c r="F2583">
        <v>7</v>
      </c>
      <c r="G2583" s="12">
        <v>1393</v>
      </c>
      <c r="H2583" s="12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1047</v>
      </c>
      <c r="N2583" t="b">
        <v>1</v>
      </c>
    </row>
    <row r="2584" spans="1:14" x14ac:dyDescent="0.3">
      <c r="A2584" t="s">
        <v>3630</v>
      </c>
      <c r="B2584" t="s">
        <v>180</v>
      </c>
      <c r="C2584" s="1">
        <v>45478</v>
      </c>
      <c r="E2584" t="s">
        <v>15</v>
      </c>
      <c r="F2584">
        <v>15</v>
      </c>
      <c r="G2584" s="12">
        <v>0</v>
      </c>
      <c r="H2584" s="12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1047</v>
      </c>
      <c r="N2584" t="b">
        <v>1</v>
      </c>
    </row>
    <row r="2585" spans="1:14" x14ac:dyDescent="0.3">
      <c r="A2585" t="s">
        <v>3631</v>
      </c>
      <c r="B2585" t="s">
        <v>394</v>
      </c>
      <c r="C2585" s="1">
        <v>45492</v>
      </c>
      <c r="E2585" t="s">
        <v>15</v>
      </c>
      <c r="F2585">
        <v>24</v>
      </c>
      <c r="G2585" s="12">
        <v>0</v>
      </c>
      <c r="H2585" s="12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1047</v>
      </c>
      <c r="N2585" t="b">
        <v>1</v>
      </c>
    </row>
    <row r="2586" spans="1:14" x14ac:dyDescent="0.3">
      <c r="A2586" t="s">
        <v>3632</v>
      </c>
      <c r="B2586" t="s">
        <v>620</v>
      </c>
      <c r="C2586" s="1">
        <v>45655</v>
      </c>
      <c r="E2586" t="s">
        <v>32</v>
      </c>
      <c r="F2586">
        <v>44</v>
      </c>
      <c r="G2586" s="12">
        <v>8756</v>
      </c>
      <c r="H2586" s="12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1050</v>
      </c>
      <c r="N2586" t="b">
        <v>1</v>
      </c>
    </row>
    <row r="2587" spans="1:14" x14ac:dyDescent="0.3">
      <c r="A2587" t="s">
        <v>3633</v>
      </c>
      <c r="B2587" t="s">
        <v>398</v>
      </c>
      <c r="C2587" s="1">
        <v>45362</v>
      </c>
      <c r="E2587" t="s">
        <v>32</v>
      </c>
      <c r="F2587">
        <v>52</v>
      </c>
      <c r="G2587" s="12">
        <v>10348</v>
      </c>
      <c r="H2587" s="12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1047</v>
      </c>
      <c r="N2587" t="b">
        <v>0</v>
      </c>
    </row>
    <row r="2588" spans="1:14" x14ac:dyDescent="0.3">
      <c r="A2588" t="s">
        <v>3634</v>
      </c>
      <c r="B2588" t="s">
        <v>228</v>
      </c>
      <c r="C2588" s="1">
        <v>45413</v>
      </c>
      <c r="E2588" t="s">
        <v>32</v>
      </c>
      <c r="F2588">
        <v>7</v>
      </c>
      <c r="G2588" s="12">
        <v>0</v>
      </c>
      <c r="H2588" s="12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1047</v>
      </c>
      <c r="N2588" t="b">
        <v>1</v>
      </c>
    </row>
    <row r="2589" spans="1:14" x14ac:dyDescent="0.3">
      <c r="A2589" t="s">
        <v>3635</v>
      </c>
      <c r="B2589" t="s">
        <v>1018</v>
      </c>
      <c r="C2589" s="1">
        <v>45230</v>
      </c>
      <c r="E2589" t="s">
        <v>32</v>
      </c>
      <c r="F2589">
        <v>15</v>
      </c>
      <c r="G2589" s="12">
        <v>0</v>
      </c>
      <c r="H2589" s="12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1050</v>
      </c>
      <c r="N2589" t="b">
        <v>0</v>
      </c>
    </row>
    <row r="2590" spans="1:14" x14ac:dyDescent="0.3">
      <c r="A2590" t="s">
        <v>3636</v>
      </c>
      <c r="B2590" t="s">
        <v>1010</v>
      </c>
      <c r="C2590" s="1">
        <v>45650</v>
      </c>
      <c r="E2590" t="s">
        <v>15</v>
      </c>
      <c r="F2590">
        <v>21</v>
      </c>
      <c r="G2590" s="12">
        <v>399</v>
      </c>
      <c r="H2590" s="12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1050</v>
      </c>
      <c r="N2590" t="b">
        <v>0</v>
      </c>
    </row>
    <row r="2591" spans="1:14" x14ac:dyDescent="0.3">
      <c r="A2591" t="s">
        <v>3637</v>
      </c>
      <c r="B2591" t="s">
        <v>962</v>
      </c>
      <c r="C2591" s="1">
        <v>45537</v>
      </c>
      <c r="E2591" t="s">
        <v>39</v>
      </c>
      <c r="F2591">
        <v>19</v>
      </c>
      <c r="G2591" s="12">
        <v>931</v>
      </c>
      <c r="H2591" s="12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1050</v>
      </c>
      <c r="N2591" t="b">
        <v>1</v>
      </c>
    </row>
    <row r="2592" spans="1:14" x14ac:dyDescent="0.3">
      <c r="A2592" t="s">
        <v>3638</v>
      </c>
      <c r="B2592" t="s">
        <v>430</v>
      </c>
      <c r="C2592" s="1">
        <v>45526</v>
      </c>
      <c r="E2592" t="s">
        <v>39</v>
      </c>
      <c r="F2592">
        <v>14</v>
      </c>
      <c r="G2592" s="12">
        <v>686</v>
      </c>
      <c r="H2592" s="1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1050</v>
      </c>
      <c r="N2592" t="b">
        <v>1</v>
      </c>
    </row>
    <row r="2593" spans="1:14" x14ac:dyDescent="0.3">
      <c r="A2593" t="s">
        <v>3639</v>
      </c>
      <c r="B2593" t="s">
        <v>346</v>
      </c>
      <c r="C2593" s="1">
        <v>45245</v>
      </c>
      <c r="E2593" t="s">
        <v>15</v>
      </c>
      <c r="F2593">
        <v>16</v>
      </c>
      <c r="G2593" s="12">
        <v>304</v>
      </c>
      <c r="H2593" s="12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1050</v>
      </c>
      <c r="N2593" t="b">
        <v>1</v>
      </c>
    </row>
    <row r="2594" spans="1:14" x14ac:dyDescent="0.3">
      <c r="A2594" t="s">
        <v>3640</v>
      </c>
      <c r="B2594" t="s">
        <v>884</v>
      </c>
      <c r="C2594" s="1">
        <v>45622</v>
      </c>
      <c r="E2594" t="s">
        <v>15</v>
      </c>
      <c r="F2594">
        <v>24</v>
      </c>
      <c r="G2594" s="12">
        <v>0</v>
      </c>
      <c r="H2594" s="12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1050</v>
      </c>
      <c r="N2594" t="b">
        <v>0</v>
      </c>
    </row>
    <row r="2595" spans="1:14" x14ac:dyDescent="0.3">
      <c r="A2595" t="s">
        <v>3641</v>
      </c>
      <c r="B2595" t="s">
        <v>844</v>
      </c>
      <c r="C2595" s="1">
        <v>45585</v>
      </c>
      <c r="E2595" t="s">
        <v>32</v>
      </c>
      <c r="F2595">
        <v>25</v>
      </c>
      <c r="G2595" s="12">
        <v>0</v>
      </c>
      <c r="H2595" s="12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1050</v>
      </c>
      <c r="N2595" t="b">
        <v>1</v>
      </c>
    </row>
    <row r="2596" spans="1:14" x14ac:dyDescent="0.3">
      <c r="A2596" t="s">
        <v>3642</v>
      </c>
      <c r="B2596" t="s">
        <v>324</v>
      </c>
      <c r="C2596" s="1">
        <v>45444</v>
      </c>
      <c r="E2596" t="s">
        <v>15</v>
      </c>
      <c r="F2596">
        <v>86</v>
      </c>
      <c r="G2596" s="12">
        <v>1634</v>
      </c>
      <c r="H2596" s="12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1050</v>
      </c>
      <c r="N2596" t="b">
        <v>0</v>
      </c>
    </row>
    <row r="2597" spans="1:14" x14ac:dyDescent="0.3">
      <c r="A2597" t="s">
        <v>3643</v>
      </c>
      <c r="B2597" t="s">
        <v>978</v>
      </c>
      <c r="C2597" s="1">
        <v>45616</v>
      </c>
      <c r="E2597" t="s">
        <v>15</v>
      </c>
      <c r="F2597">
        <v>8</v>
      </c>
      <c r="G2597" s="12">
        <v>152</v>
      </c>
      <c r="H2597" s="12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1050</v>
      </c>
      <c r="N2597" t="b">
        <v>1</v>
      </c>
    </row>
    <row r="2598" spans="1:14" x14ac:dyDescent="0.3">
      <c r="A2598" t="s">
        <v>3644</v>
      </c>
      <c r="B2598" t="s">
        <v>726</v>
      </c>
      <c r="C2598" s="1">
        <v>45611</v>
      </c>
      <c r="E2598" t="s">
        <v>32</v>
      </c>
      <c r="F2598">
        <v>43</v>
      </c>
      <c r="G2598" s="12">
        <v>8557</v>
      </c>
      <c r="H2598" s="12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1050</v>
      </c>
      <c r="N2598" t="b">
        <v>1</v>
      </c>
    </row>
    <row r="2599" spans="1:14" x14ac:dyDescent="0.3">
      <c r="A2599" t="s">
        <v>3645</v>
      </c>
      <c r="B2599" t="s">
        <v>668</v>
      </c>
      <c r="C2599" s="1">
        <v>45652</v>
      </c>
      <c r="E2599" t="s">
        <v>32</v>
      </c>
      <c r="F2599">
        <v>2</v>
      </c>
      <c r="G2599" s="12">
        <v>398</v>
      </c>
      <c r="H2599" s="12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1047</v>
      </c>
      <c r="N2599" t="b">
        <v>1</v>
      </c>
    </row>
    <row r="2600" spans="1:14" x14ac:dyDescent="0.3">
      <c r="A2600" t="s">
        <v>3646</v>
      </c>
      <c r="B2600" t="s">
        <v>340</v>
      </c>
      <c r="C2600" s="1">
        <v>45637</v>
      </c>
      <c r="D2600" s="1">
        <v>45639</v>
      </c>
      <c r="E2600" t="s">
        <v>39</v>
      </c>
      <c r="F2600">
        <v>15</v>
      </c>
      <c r="G2600" s="12">
        <v>735</v>
      </c>
      <c r="H2600" s="12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1050</v>
      </c>
      <c r="N2600" t="b">
        <v>1</v>
      </c>
    </row>
    <row r="2601" spans="1:14" x14ac:dyDescent="0.3">
      <c r="A2601" t="s">
        <v>3647</v>
      </c>
      <c r="B2601" t="s">
        <v>40</v>
      </c>
      <c r="C2601" s="1">
        <v>45495</v>
      </c>
      <c r="E2601" t="s">
        <v>15</v>
      </c>
      <c r="F2601">
        <v>39</v>
      </c>
      <c r="G2601" s="12">
        <v>741</v>
      </c>
      <c r="H2601" s="12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1047</v>
      </c>
      <c r="N2601" t="b">
        <v>1</v>
      </c>
    </row>
    <row r="2602" spans="1:14" x14ac:dyDescent="0.3">
      <c r="A2602" t="s">
        <v>3648</v>
      </c>
      <c r="B2602" t="s">
        <v>318</v>
      </c>
      <c r="C2602" s="1">
        <v>45625</v>
      </c>
      <c r="E2602" t="s">
        <v>32</v>
      </c>
      <c r="F2602">
        <v>35</v>
      </c>
      <c r="G2602" s="12">
        <v>6965</v>
      </c>
      <c r="H2602" s="1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1047</v>
      </c>
      <c r="N2602" t="b">
        <v>1</v>
      </c>
    </row>
    <row r="2603" spans="1:14" x14ac:dyDescent="0.3">
      <c r="A2603" t="s">
        <v>3649</v>
      </c>
      <c r="B2603" t="s">
        <v>83</v>
      </c>
      <c r="C2603" s="1">
        <v>45544</v>
      </c>
      <c r="E2603" t="s">
        <v>39</v>
      </c>
      <c r="F2603">
        <v>25</v>
      </c>
      <c r="G2603" s="12">
        <v>1225</v>
      </c>
      <c r="H2603" s="12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1047</v>
      </c>
      <c r="N2603" t="b">
        <v>1</v>
      </c>
    </row>
    <row r="2604" spans="1:14" x14ac:dyDescent="0.3">
      <c r="A2604" t="s">
        <v>3650</v>
      </c>
      <c r="B2604" t="s">
        <v>470</v>
      </c>
      <c r="C2604" s="1">
        <v>45344</v>
      </c>
      <c r="E2604" t="s">
        <v>32</v>
      </c>
      <c r="F2604">
        <v>11</v>
      </c>
      <c r="G2604" s="12">
        <v>2189</v>
      </c>
      <c r="H2604" s="12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1047</v>
      </c>
      <c r="N2604" t="b">
        <v>1</v>
      </c>
    </row>
    <row r="2605" spans="1:14" x14ac:dyDescent="0.3">
      <c r="A2605" t="s">
        <v>3651</v>
      </c>
      <c r="B2605" t="s">
        <v>78</v>
      </c>
      <c r="C2605" s="1">
        <v>45249</v>
      </c>
      <c r="E2605" t="s">
        <v>15</v>
      </c>
      <c r="F2605">
        <v>26</v>
      </c>
      <c r="G2605" s="12">
        <v>494</v>
      </c>
      <c r="H2605" s="12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1050</v>
      </c>
      <c r="N2605" t="b">
        <v>0</v>
      </c>
    </row>
    <row r="2606" spans="1:14" x14ac:dyDescent="0.3">
      <c r="A2606" t="s">
        <v>3652</v>
      </c>
      <c r="B2606" t="s">
        <v>928</v>
      </c>
      <c r="C2606" s="1">
        <v>45425</v>
      </c>
      <c r="E2606" t="s">
        <v>32</v>
      </c>
      <c r="F2606">
        <v>13</v>
      </c>
      <c r="G2606" s="12">
        <v>2587</v>
      </c>
      <c r="H2606" s="12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1047</v>
      </c>
      <c r="N2606" t="b">
        <v>0</v>
      </c>
    </row>
    <row r="2607" spans="1:14" x14ac:dyDescent="0.3">
      <c r="A2607" t="s">
        <v>3653</v>
      </c>
      <c r="B2607" t="s">
        <v>1006</v>
      </c>
      <c r="C2607" s="1">
        <v>45645</v>
      </c>
      <c r="E2607" t="s">
        <v>32</v>
      </c>
      <c r="F2607">
        <v>148</v>
      </c>
      <c r="G2607" s="12">
        <v>29452</v>
      </c>
      <c r="H2607" s="12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1050</v>
      </c>
      <c r="N2607" t="b">
        <v>0</v>
      </c>
    </row>
    <row r="2608" spans="1:14" x14ac:dyDescent="0.3">
      <c r="A2608" t="s">
        <v>3654</v>
      </c>
      <c r="B2608" t="s">
        <v>176</v>
      </c>
      <c r="C2608" s="1">
        <v>45653</v>
      </c>
      <c r="E2608" t="s">
        <v>15</v>
      </c>
      <c r="F2608">
        <v>37</v>
      </c>
      <c r="G2608" s="12">
        <v>703</v>
      </c>
      <c r="H2608" s="12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1050</v>
      </c>
      <c r="N2608" t="b">
        <v>0</v>
      </c>
    </row>
    <row r="2609" spans="1:14" x14ac:dyDescent="0.3">
      <c r="A2609" t="s">
        <v>3655</v>
      </c>
      <c r="B2609" t="s">
        <v>628</v>
      </c>
      <c r="C2609" s="1">
        <v>45632</v>
      </c>
      <c r="E2609" t="s">
        <v>15</v>
      </c>
      <c r="F2609">
        <v>45</v>
      </c>
      <c r="G2609" s="12">
        <v>855</v>
      </c>
      <c r="H2609" s="12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1050</v>
      </c>
      <c r="N2609" t="b">
        <v>1</v>
      </c>
    </row>
    <row r="2610" spans="1:14" x14ac:dyDescent="0.3">
      <c r="A2610" t="s">
        <v>3656</v>
      </c>
      <c r="B2610" t="s">
        <v>254</v>
      </c>
      <c r="C2610" s="1">
        <v>45496</v>
      </c>
      <c r="E2610" t="s">
        <v>39</v>
      </c>
      <c r="F2610">
        <v>38</v>
      </c>
      <c r="G2610" s="12">
        <v>0</v>
      </c>
      <c r="H2610" s="12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1050</v>
      </c>
      <c r="N2610" t="b">
        <v>1</v>
      </c>
    </row>
    <row r="2611" spans="1:14" x14ac:dyDescent="0.3">
      <c r="A2611" t="s">
        <v>3657</v>
      </c>
      <c r="B2611" t="s">
        <v>284</v>
      </c>
      <c r="C2611" s="1">
        <v>45630</v>
      </c>
      <c r="E2611" t="s">
        <v>39</v>
      </c>
      <c r="F2611">
        <v>30</v>
      </c>
      <c r="G2611" s="12">
        <v>1470</v>
      </c>
      <c r="H2611" s="12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1050</v>
      </c>
      <c r="N2611" t="b">
        <v>1</v>
      </c>
    </row>
    <row r="2612" spans="1:14" x14ac:dyDescent="0.3">
      <c r="A2612" t="s">
        <v>3658</v>
      </c>
      <c r="B2612" t="s">
        <v>438</v>
      </c>
      <c r="C2612" s="1">
        <v>45029</v>
      </c>
      <c r="E2612" t="s">
        <v>39</v>
      </c>
      <c r="F2612">
        <v>19</v>
      </c>
      <c r="G2612" s="12">
        <v>931</v>
      </c>
      <c r="H2612" s="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1050</v>
      </c>
      <c r="N2612" t="b">
        <v>0</v>
      </c>
    </row>
    <row r="2613" spans="1:14" x14ac:dyDescent="0.3">
      <c r="A2613" t="s">
        <v>3659</v>
      </c>
      <c r="B2613" t="s">
        <v>640</v>
      </c>
      <c r="C2613" s="1">
        <v>45532</v>
      </c>
      <c r="E2613" t="s">
        <v>15</v>
      </c>
      <c r="F2613">
        <v>22</v>
      </c>
      <c r="G2613" s="12">
        <v>418</v>
      </c>
      <c r="H2613" s="12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1050</v>
      </c>
      <c r="N2613" t="b">
        <v>1</v>
      </c>
    </row>
    <row r="2614" spans="1:14" x14ac:dyDescent="0.3">
      <c r="A2614" t="s">
        <v>3660</v>
      </c>
      <c r="B2614" t="s">
        <v>724</v>
      </c>
      <c r="C2614" s="1">
        <v>45340</v>
      </c>
      <c r="D2614" s="1">
        <v>45411</v>
      </c>
      <c r="E2614" t="s">
        <v>32</v>
      </c>
      <c r="F2614">
        <v>31</v>
      </c>
      <c r="G2614" s="12">
        <v>6169</v>
      </c>
      <c r="H2614" s="12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1047</v>
      </c>
      <c r="N2614" t="b">
        <v>1</v>
      </c>
    </row>
    <row r="2615" spans="1:14" x14ac:dyDescent="0.3">
      <c r="A2615" t="s">
        <v>3661</v>
      </c>
      <c r="B2615" t="s">
        <v>286</v>
      </c>
      <c r="C2615" s="1">
        <v>45330</v>
      </c>
      <c r="E2615" t="s">
        <v>39</v>
      </c>
      <c r="F2615">
        <v>28</v>
      </c>
      <c r="G2615" s="12">
        <v>1372</v>
      </c>
      <c r="H2615" s="12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1047</v>
      </c>
      <c r="N2615" t="b">
        <v>1</v>
      </c>
    </row>
    <row r="2616" spans="1:14" x14ac:dyDescent="0.3">
      <c r="A2616" t="s">
        <v>3662</v>
      </c>
      <c r="B2616" t="s">
        <v>338</v>
      </c>
      <c r="C2616" s="1">
        <v>45384</v>
      </c>
      <c r="E2616" t="s">
        <v>15</v>
      </c>
      <c r="F2616">
        <v>27</v>
      </c>
      <c r="G2616" s="12">
        <v>513</v>
      </c>
      <c r="H2616" s="12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1050</v>
      </c>
      <c r="N2616" t="b">
        <v>1</v>
      </c>
    </row>
    <row r="2617" spans="1:14" x14ac:dyDescent="0.3">
      <c r="A2617" t="s">
        <v>3663</v>
      </c>
      <c r="B2617" t="s">
        <v>610</v>
      </c>
      <c r="C2617" s="1">
        <v>45655</v>
      </c>
      <c r="E2617" t="s">
        <v>32</v>
      </c>
      <c r="F2617">
        <v>9</v>
      </c>
      <c r="G2617" s="12">
        <v>1791</v>
      </c>
      <c r="H2617" s="12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1050</v>
      </c>
      <c r="N2617" t="b">
        <v>1</v>
      </c>
    </row>
    <row r="2618" spans="1:14" x14ac:dyDescent="0.3">
      <c r="A2618" t="s">
        <v>3664</v>
      </c>
      <c r="B2618" t="s">
        <v>588</v>
      </c>
      <c r="C2618" s="1">
        <v>45619</v>
      </c>
      <c r="D2618" s="1">
        <v>45646</v>
      </c>
      <c r="E2618" t="s">
        <v>39</v>
      </c>
      <c r="F2618">
        <v>9</v>
      </c>
      <c r="G2618" s="12">
        <v>441</v>
      </c>
      <c r="H2618" s="12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1047</v>
      </c>
      <c r="N2618" t="b">
        <v>1</v>
      </c>
    </row>
    <row r="2619" spans="1:14" x14ac:dyDescent="0.3">
      <c r="A2619" t="s">
        <v>3665</v>
      </c>
      <c r="B2619" t="s">
        <v>170</v>
      </c>
      <c r="C2619" s="1">
        <v>45643</v>
      </c>
      <c r="D2619" s="1">
        <v>45654</v>
      </c>
      <c r="E2619" t="s">
        <v>39</v>
      </c>
      <c r="F2619">
        <v>15</v>
      </c>
      <c r="G2619" s="12">
        <v>735</v>
      </c>
      <c r="H2619" s="12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1050</v>
      </c>
      <c r="N2619" t="b">
        <v>1</v>
      </c>
    </row>
    <row r="2620" spans="1:14" x14ac:dyDescent="0.3">
      <c r="A2620" t="s">
        <v>3666</v>
      </c>
      <c r="B2620" t="s">
        <v>544</v>
      </c>
      <c r="C2620" s="1">
        <v>45585</v>
      </c>
      <c r="E2620" t="s">
        <v>39</v>
      </c>
      <c r="F2620">
        <v>37</v>
      </c>
      <c r="G2620" s="12">
        <v>1813</v>
      </c>
      <c r="H2620" s="12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1050</v>
      </c>
      <c r="N2620" t="b">
        <v>1</v>
      </c>
    </row>
    <row r="2621" spans="1:14" x14ac:dyDescent="0.3">
      <c r="A2621" t="s">
        <v>3667</v>
      </c>
      <c r="B2621" t="s">
        <v>466</v>
      </c>
      <c r="C2621" s="1">
        <v>45496</v>
      </c>
      <c r="E2621" t="s">
        <v>39</v>
      </c>
      <c r="F2621">
        <v>23</v>
      </c>
      <c r="G2621" s="12">
        <v>1127</v>
      </c>
      <c r="H2621" s="12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1050</v>
      </c>
      <c r="N2621" t="b">
        <v>1</v>
      </c>
    </row>
    <row r="2622" spans="1:14" x14ac:dyDescent="0.3">
      <c r="A2622" t="s">
        <v>3668</v>
      </c>
      <c r="B2622" t="s">
        <v>502</v>
      </c>
      <c r="C2622" s="1">
        <v>45243</v>
      </c>
      <c r="E2622" t="s">
        <v>32</v>
      </c>
      <c r="F2622">
        <v>5</v>
      </c>
      <c r="G2622" s="12">
        <v>995</v>
      </c>
      <c r="H2622" s="1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1047</v>
      </c>
      <c r="N2622" t="b">
        <v>1</v>
      </c>
    </row>
    <row r="2623" spans="1:14" x14ac:dyDescent="0.3">
      <c r="A2623" t="s">
        <v>3669</v>
      </c>
      <c r="B2623" t="s">
        <v>1010</v>
      </c>
      <c r="C2623" s="1">
        <v>45636</v>
      </c>
      <c r="E2623" t="s">
        <v>15</v>
      </c>
      <c r="F2623">
        <v>16</v>
      </c>
      <c r="G2623" s="12">
        <v>304</v>
      </c>
      <c r="H2623" s="12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1047</v>
      </c>
      <c r="N2623" t="b">
        <v>1</v>
      </c>
    </row>
    <row r="2624" spans="1:14" x14ac:dyDescent="0.3">
      <c r="A2624" t="s">
        <v>3670</v>
      </c>
      <c r="B2624" t="s">
        <v>658</v>
      </c>
      <c r="C2624" s="1">
        <v>45441</v>
      </c>
      <c r="E2624" t="s">
        <v>15</v>
      </c>
      <c r="F2624">
        <v>26</v>
      </c>
      <c r="G2624" s="12">
        <v>494</v>
      </c>
      <c r="H2624" s="12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1050</v>
      </c>
      <c r="N2624" t="b">
        <v>1</v>
      </c>
    </row>
    <row r="2625" spans="1:14" x14ac:dyDescent="0.3">
      <c r="A2625" t="s">
        <v>3671</v>
      </c>
      <c r="B2625" t="s">
        <v>160</v>
      </c>
      <c r="C2625" s="1">
        <v>45656</v>
      </c>
      <c r="D2625" s="1">
        <v>45657</v>
      </c>
      <c r="E2625" t="s">
        <v>32</v>
      </c>
      <c r="F2625">
        <v>29</v>
      </c>
      <c r="G2625" s="12">
        <v>5771</v>
      </c>
      <c r="H2625" s="12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1047</v>
      </c>
      <c r="N2625" t="b">
        <v>1</v>
      </c>
    </row>
    <row r="2626" spans="1:14" x14ac:dyDescent="0.3">
      <c r="A2626" t="s">
        <v>3672</v>
      </c>
      <c r="B2626" t="s">
        <v>802</v>
      </c>
      <c r="C2626" s="1">
        <v>45603</v>
      </c>
      <c r="D2626" s="1">
        <v>45628</v>
      </c>
      <c r="E2626" t="s">
        <v>15</v>
      </c>
      <c r="F2626">
        <v>41</v>
      </c>
      <c r="G2626" s="12">
        <v>779</v>
      </c>
      <c r="H2626" s="12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1047</v>
      </c>
      <c r="N2626" t="b">
        <v>0</v>
      </c>
    </row>
    <row r="2627" spans="1:14" x14ac:dyDescent="0.3">
      <c r="A2627" t="s">
        <v>3673</v>
      </c>
      <c r="B2627" t="s">
        <v>502</v>
      </c>
      <c r="C2627" s="1">
        <v>45642</v>
      </c>
      <c r="E2627" t="s">
        <v>32</v>
      </c>
      <c r="F2627">
        <v>5</v>
      </c>
      <c r="G2627" s="12">
        <v>995</v>
      </c>
      <c r="H2627" s="12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1050</v>
      </c>
      <c r="N2627" t="b">
        <v>1</v>
      </c>
    </row>
    <row r="2628" spans="1:14" x14ac:dyDescent="0.3">
      <c r="A2628" t="s">
        <v>3674</v>
      </c>
      <c r="B2628" t="s">
        <v>888</v>
      </c>
      <c r="C2628" s="1">
        <v>45028</v>
      </c>
      <c r="E2628" t="s">
        <v>15</v>
      </c>
      <c r="F2628">
        <v>8</v>
      </c>
      <c r="G2628" s="12">
        <v>152</v>
      </c>
      <c r="H2628" s="12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1047</v>
      </c>
      <c r="N2628" t="b">
        <v>1</v>
      </c>
    </row>
    <row r="2629" spans="1:14" x14ac:dyDescent="0.3">
      <c r="A2629" t="s">
        <v>3675</v>
      </c>
      <c r="B2629" t="s">
        <v>306</v>
      </c>
      <c r="C2629" s="1">
        <v>45639</v>
      </c>
      <c r="E2629" t="s">
        <v>32</v>
      </c>
      <c r="F2629">
        <v>27</v>
      </c>
      <c r="G2629" s="12">
        <v>5373</v>
      </c>
      <c r="H2629" s="12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1047</v>
      </c>
      <c r="N2629" t="b">
        <v>1</v>
      </c>
    </row>
    <row r="2630" spans="1:14" x14ac:dyDescent="0.3">
      <c r="A2630" t="s">
        <v>3676</v>
      </c>
      <c r="B2630" t="s">
        <v>370</v>
      </c>
      <c r="C2630" s="1">
        <v>45636</v>
      </c>
      <c r="E2630" t="s">
        <v>15</v>
      </c>
      <c r="F2630">
        <v>19</v>
      </c>
      <c r="G2630" s="12">
        <v>361</v>
      </c>
      <c r="H2630" s="12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1050</v>
      </c>
      <c r="N2630" t="b">
        <v>1</v>
      </c>
    </row>
    <row r="2631" spans="1:14" x14ac:dyDescent="0.3">
      <c r="A2631" t="s">
        <v>3677</v>
      </c>
      <c r="B2631" t="s">
        <v>608</v>
      </c>
      <c r="C2631" s="1">
        <v>45581</v>
      </c>
      <c r="E2631" t="s">
        <v>32</v>
      </c>
      <c r="F2631">
        <v>5</v>
      </c>
      <c r="G2631" s="12">
        <v>995</v>
      </c>
      <c r="H2631" s="12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1050</v>
      </c>
      <c r="N2631" t="b">
        <v>1</v>
      </c>
    </row>
    <row r="2632" spans="1:14" x14ac:dyDescent="0.3">
      <c r="A2632" t="s">
        <v>3678</v>
      </c>
      <c r="B2632" t="s">
        <v>914</v>
      </c>
      <c r="C2632" s="1">
        <v>45608</v>
      </c>
      <c r="E2632" t="s">
        <v>15</v>
      </c>
      <c r="F2632">
        <v>9</v>
      </c>
      <c r="G2632" s="12">
        <v>171</v>
      </c>
      <c r="H2632" s="1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1047</v>
      </c>
      <c r="N2632" t="b">
        <v>1</v>
      </c>
    </row>
    <row r="2633" spans="1:14" x14ac:dyDescent="0.3">
      <c r="A2633" t="s">
        <v>3679</v>
      </c>
      <c r="B2633" t="s">
        <v>748</v>
      </c>
      <c r="C2633" s="1">
        <v>45498</v>
      </c>
      <c r="E2633" t="s">
        <v>32</v>
      </c>
      <c r="F2633">
        <v>22</v>
      </c>
      <c r="G2633" s="12">
        <v>4378</v>
      </c>
      <c r="H2633" s="12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1047</v>
      </c>
      <c r="N2633" t="b">
        <v>0</v>
      </c>
    </row>
    <row r="2634" spans="1:14" x14ac:dyDescent="0.3">
      <c r="A2634" t="s">
        <v>3680</v>
      </c>
      <c r="B2634" t="s">
        <v>604</v>
      </c>
      <c r="C2634" s="1">
        <v>45647</v>
      </c>
      <c r="E2634" t="s">
        <v>39</v>
      </c>
      <c r="F2634">
        <v>12</v>
      </c>
      <c r="G2634" s="12">
        <v>588</v>
      </c>
      <c r="H2634" s="12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1047</v>
      </c>
      <c r="N2634" t="b">
        <v>0</v>
      </c>
    </row>
    <row r="2635" spans="1:14" x14ac:dyDescent="0.3">
      <c r="A2635" t="s">
        <v>3681</v>
      </c>
      <c r="B2635" t="s">
        <v>258</v>
      </c>
      <c r="C2635" s="1">
        <v>45652</v>
      </c>
      <c r="E2635" t="s">
        <v>32</v>
      </c>
      <c r="F2635">
        <v>18</v>
      </c>
      <c r="G2635" s="12">
        <v>3582</v>
      </c>
      <c r="H2635" s="12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1047</v>
      </c>
      <c r="N2635" t="b">
        <v>1</v>
      </c>
    </row>
    <row r="2636" spans="1:14" x14ac:dyDescent="0.3">
      <c r="A2636" t="s">
        <v>3682</v>
      </c>
      <c r="B2636" t="s">
        <v>338</v>
      </c>
      <c r="C2636" s="1">
        <v>45549</v>
      </c>
      <c r="E2636" t="s">
        <v>39</v>
      </c>
      <c r="F2636">
        <v>35</v>
      </c>
      <c r="G2636" s="12">
        <v>0</v>
      </c>
      <c r="H2636" s="12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1047</v>
      </c>
      <c r="N2636" t="b">
        <v>1</v>
      </c>
    </row>
    <row r="2637" spans="1:14" x14ac:dyDescent="0.3">
      <c r="A2637" t="s">
        <v>3683</v>
      </c>
      <c r="B2637" t="s">
        <v>854</v>
      </c>
      <c r="C2637" s="1">
        <v>45501</v>
      </c>
      <c r="E2637" t="s">
        <v>32</v>
      </c>
      <c r="F2637">
        <v>39</v>
      </c>
      <c r="G2637" s="12">
        <v>7761</v>
      </c>
      <c r="H2637" s="12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1047</v>
      </c>
      <c r="N2637" t="b">
        <v>1</v>
      </c>
    </row>
    <row r="2638" spans="1:14" x14ac:dyDescent="0.3">
      <c r="A2638" t="s">
        <v>3684</v>
      </c>
      <c r="B2638" t="s">
        <v>146</v>
      </c>
      <c r="C2638" s="1">
        <v>45542</v>
      </c>
      <c r="E2638" t="s">
        <v>15</v>
      </c>
      <c r="F2638">
        <v>20</v>
      </c>
      <c r="G2638" s="12">
        <v>380</v>
      </c>
      <c r="H2638" s="12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1047</v>
      </c>
      <c r="N2638" t="b">
        <v>1</v>
      </c>
    </row>
    <row r="2639" spans="1:14" x14ac:dyDescent="0.3">
      <c r="A2639" t="s">
        <v>3685</v>
      </c>
      <c r="B2639" t="s">
        <v>648</v>
      </c>
      <c r="C2639" s="1">
        <v>45252</v>
      </c>
      <c r="E2639" t="s">
        <v>32</v>
      </c>
      <c r="F2639">
        <v>19</v>
      </c>
      <c r="G2639" s="12">
        <v>0</v>
      </c>
      <c r="H2639" s="12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1047</v>
      </c>
      <c r="N2639" t="b">
        <v>1</v>
      </c>
    </row>
    <row r="2640" spans="1:14" x14ac:dyDescent="0.3">
      <c r="A2640" t="s">
        <v>3686</v>
      </c>
      <c r="B2640" t="s">
        <v>282</v>
      </c>
      <c r="C2640" s="1">
        <v>45611</v>
      </c>
      <c r="E2640" t="s">
        <v>15</v>
      </c>
      <c r="F2640">
        <v>33</v>
      </c>
      <c r="G2640" s="12">
        <v>627</v>
      </c>
      <c r="H2640" s="12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1050</v>
      </c>
      <c r="N2640" t="b">
        <v>0</v>
      </c>
    </row>
    <row r="2641" spans="1:14" x14ac:dyDescent="0.3">
      <c r="A2641" t="s">
        <v>3687</v>
      </c>
      <c r="B2641" t="s">
        <v>51</v>
      </c>
      <c r="C2641" s="1">
        <v>45547</v>
      </c>
      <c r="D2641" s="1">
        <v>45597</v>
      </c>
      <c r="E2641" t="s">
        <v>39</v>
      </c>
      <c r="F2641">
        <v>7</v>
      </c>
      <c r="G2641" s="12">
        <v>343</v>
      </c>
      <c r="H2641" s="12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1047</v>
      </c>
      <c r="N2641" t="b">
        <v>1</v>
      </c>
    </row>
    <row r="2642" spans="1:14" x14ac:dyDescent="0.3">
      <c r="A2642" t="s">
        <v>3688</v>
      </c>
      <c r="B2642" t="s">
        <v>978</v>
      </c>
      <c r="C2642" s="1">
        <v>45472</v>
      </c>
      <c r="E2642" t="s">
        <v>39</v>
      </c>
      <c r="F2642">
        <v>26</v>
      </c>
      <c r="G2642" s="12">
        <v>1274</v>
      </c>
      <c r="H2642" s="1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1050</v>
      </c>
      <c r="N2642" t="b">
        <v>1</v>
      </c>
    </row>
    <row r="2643" spans="1:14" x14ac:dyDescent="0.3">
      <c r="A2643" t="s">
        <v>3689</v>
      </c>
      <c r="B2643" t="s">
        <v>524</v>
      </c>
      <c r="C2643" s="1">
        <v>45332</v>
      </c>
      <c r="E2643" t="s">
        <v>15</v>
      </c>
      <c r="F2643">
        <v>11</v>
      </c>
      <c r="G2643" s="12">
        <v>209</v>
      </c>
      <c r="H2643" s="12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1050</v>
      </c>
      <c r="N2643" t="b">
        <v>1</v>
      </c>
    </row>
    <row r="2644" spans="1:14" x14ac:dyDescent="0.3">
      <c r="A2644" t="s">
        <v>3690</v>
      </c>
      <c r="B2644" t="s">
        <v>870</v>
      </c>
      <c r="C2644" s="1">
        <v>45636</v>
      </c>
      <c r="E2644" t="s">
        <v>32</v>
      </c>
      <c r="F2644">
        <v>21</v>
      </c>
      <c r="G2644" s="12">
        <v>4179</v>
      </c>
      <c r="H2644" s="12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1047</v>
      </c>
      <c r="N2644" t="b">
        <v>1</v>
      </c>
    </row>
    <row r="2645" spans="1:14" x14ac:dyDescent="0.3">
      <c r="A2645" t="s">
        <v>3691</v>
      </c>
      <c r="B2645" t="s">
        <v>472</v>
      </c>
      <c r="C2645" s="1">
        <v>45251</v>
      </c>
      <c r="E2645" t="s">
        <v>32</v>
      </c>
      <c r="F2645">
        <v>32</v>
      </c>
      <c r="G2645" s="12">
        <v>6368</v>
      </c>
      <c r="H2645" s="12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1047</v>
      </c>
      <c r="N2645" t="b">
        <v>1</v>
      </c>
    </row>
    <row r="2646" spans="1:14" x14ac:dyDescent="0.3">
      <c r="A2646" t="s">
        <v>3692</v>
      </c>
      <c r="B2646" t="s">
        <v>218</v>
      </c>
      <c r="C2646" s="1">
        <v>45337</v>
      </c>
      <c r="E2646" t="s">
        <v>32</v>
      </c>
      <c r="F2646">
        <v>31</v>
      </c>
      <c r="G2646" s="12">
        <v>6169</v>
      </c>
      <c r="H2646" s="12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1047</v>
      </c>
      <c r="N2646" t="b">
        <v>1</v>
      </c>
    </row>
    <row r="2647" spans="1:14" x14ac:dyDescent="0.3">
      <c r="A2647" t="s">
        <v>3693</v>
      </c>
      <c r="B2647" t="s">
        <v>204</v>
      </c>
      <c r="C2647" s="1">
        <v>45648</v>
      </c>
      <c r="D2647" s="1">
        <v>45656</v>
      </c>
      <c r="E2647" t="s">
        <v>32</v>
      </c>
      <c r="F2647">
        <v>92</v>
      </c>
      <c r="G2647" s="12">
        <v>18308</v>
      </c>
      <c r="H2647" s="12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1047</v>
      </c>
      <c r="N2647" t="b">
        <v>0</v>
      </c>
    </row>
    <row r="2648" spans="1:14" x14ac:dyDescent="0.3">
      <c r="A2648" t="s">
        <v>3694</v>
      </c>
      <c r="B2648" t="s">
        <v>516</v>
      </c>
      <c r="C2648" s="1">
        <v>45562</v>
      </c>
      <c r="E2648" t="s">
        <v>39</v>
      </c>
      <c r="F2648">
        <v>8</v>
      </c>
      <c r="G2648" s="12">
        <v>392</v>
      </c>
      <c r="H2648" s="12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1050</v>
      </c>
      <c r="N2648" t="b">
        <v>1</v>
      </c>
    </row>
    <row r="2649" spans="1:14" x14ac:dyDescent="0.3">
      <c r="A2649" t="s">
        <v>3695</v>
      </c>
      <c r="B2649" t="s">
        <v>712</v>
      </c>
      <c r="C2649" s="1">
        <v>45558</v>
      </c>
      <c r="E2649" t="s">
        <v>32</v>
      </c>
      <c r="F2649">
        <v>70</v>
      </c>
      <c r="G2649" s="12">
        <v>13930</v>
      </c>
      <c r="H2649" s="12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1050</v>
      </c>
      <c r="N2649" t="b">
        <v>1</v>
      </c>
    </row>
    <row r="2650" spans="1:14" x14ac:dyDescent="0.3">
      <c r="A2650" t="s">
        <v>3696</v>
      </c>
      <c r="B2650" t="s">
        <v>406</v>
      </c>
      <c r="C2650" s="1">
        <v>45513</v>
      </c>
      <c r="E2650" t="s">
        <v>39</v>
      </c>
      <c r="F2650">
        <v>30</v>
      </c>
      <c r="G2650" s="12">
        <v>1470</v>
      </c>
      <c r="H2650" s="12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1050</v>
      </c>
      <c r="N2650" t="b">
        <v>1</v>
      </c>
    </row>
    <row r="2651" spans="1:14" x14ac:dyDescent="0.3">
      <c r="A2651" t="s">
        <v>3697</v>
      </c>
      <c r="B2651" t="s">
        <v>744</v>
      </c>
      <c r="C2651" s="1">
        <v>45582</v>
      </c>
      <c r="E2651" t="s">
        <v>15</v>
      </c>
      <c r="F2651">
        <v>10</v>
      </c>
      <c r="G2651" s="12">
        <v>190</v>
      </c>
      <c r="H2651" s="12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1050</v>
      </c>
      <c r="N2651" t="b">
        <v>0</v>
      </c>
    </row>
    <row r="2652" spans="1:14" x14ac:dyDescent="0.3">
      <c r="A2652" t="s">
        <v>3698</v>
      </c>
      <c r="B2652" t="s">
        <v>456</v>
      </c>
      <c r="C2652" s="1">
        <v>45509</v>
      </c>
      <c r="D2652" s="1">
        <v>45516</v>
      </c>
      <c r="E2652" t="s">
        <v>15</v>
      </c>
      <c r="F2652">
        <v>24</v>
      </c>
      <c r="G2652" s="12">
        <v>456</v>
      </c>
      <c r="H2652" s="1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1050</v>
      </c>
      <c r="N2652" t="b">
        <v>1</v>
      </c>
    </row>
    <row r="2653" spans="1:14" x14ac:dyDescent="0.3">
      <c r="A2653" t="s">
        <v>3699</v>
      </c>
      <c r="B2653" t="s">
        <v>498</v>
      </c>
      <c r="C2653" s="1">
        <v>45244</v>
      </c>
      <c r="E2653" t="s">
        <v>32</v>
      </c>
      <c r="F2653">
        <v>8</v>
      </c>
      <c r="G2653" s="12">
        <v>1592</v>
      </c>
      <c r="H2653" s="12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1050</v>
      </c>
      <c r="N2653" t="b">
        <v>1</v>
      </c>
    </row>
    <row r="2654" spans="1:14" x14ac:dyDescent="0.3">
      <c r="A2654" t="s">
        <v>3700</v>
      </c>
      <c r="B2654" t="s">
        <v>33</v>
      </c>
      <c r="C2654" s="1">
        <v>45508</v>
      </c>
      <c r="D2654" s="1">
        <v>45516</v>
      </c>
      <c r="E2654" t="s">
        <v>39</v>
      </c>
      <c r="F2654">
        <v>4</v>
      </c>
      <c r="G2654" s="12">
        <v>196</v>
      </c>
      <c r="H2654" s="12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1050</v>
      </c>
      <c r="N2654" t="b">
        <v>1</v>
      </c>
    </row>
    <row r="2655" spans="1:14" x14ac:dyDescent="0.3">
      <c r="A2655" t="s">
        <v>3701</v>
      </c>
      <c r="B2655" t="s">
        <v>70</v>
      </c>
      <c r="C2655" s="1">
        <v>45591</v>
      </c>
      <c r="E2655" t="s">
        <v>15</v>
      </c>
      <c r="F2655">
        <v>15</v>
      </c>
      <c r="G2655" s="12">
        <v>285</v>
      </c>
      <c r="H2655" s="12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1050</v>
      </c>
      <c r="N2655" t="b">
        <v>0</v>
      </c>
    </row>
    <row r="2656" spans="1:14" x14ac:dyDescent="0.3">
      <c r="A2656" t="s">
        <v>3702</v>
      </c>
      <c r="B2656" t="s">
        <v>932</v>
      </c>
      <c r="C2656" s="1">
        <v>45602</v>
      </c>
      <c r="E2656" t="s">
        <v>39</v>
      </c>
      <c r="F2656">
        <v>25</v>
      </c>
      <c r="G2656" s="12">
        <v>0</v>
      </c>
      <c r="H2656" s="12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1050</v>
      </c>
      <c r="N2656" t="b">
        <v>1</v>
      </c>
    </row>
    <row r="2657" spans="1:14" x14ac:dyDescent="0.3">
      <c r="A2657" t="s">
        <v>3703</v>
      </c>
      <c r="B2657" t="s">
        <v>29</v>
      </c>
      <c r="C2657" s="1">
        <v>45612</v>
      </c>
      <c r="E2657" t="s">
        <v>39</v>
      </c>
      <c r="F2657">
        <v>51</v>
      </c>
      <c r="G2657" s="12">
        <v>2499</v>
      </c>
      <c r="H2657" s="12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1047</v>
      </c>
      <c r="N2657" t="b">
        <v>1</v>
      </c>
    </row>
    <row r="2658" spans="1:14" x14ac:dyDescent="0.3">
      <c r="A2658" t="s">
        <v>3704</v>
      </c>
      <c r="B2658" t="s">
        <v>386</v>
      </c>
      <c r="C2658" s="1">
        <v>45629</v>
      </c>
      <c r="E2658" t="s">
        <v>32</v>
      </c>
      <c r="F2658">
        <v>29</v>
      </c>
      <c r="G2658" s="12">
        <v>5771</v>
      </c>
      <c r="H2658" s="12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1047</v>
      </c>
      <c r="N2658" t="b">
        <v>1</v>
      </c>
    </row>
    <row r="2659" spans="1:14" x14ac:dyDescent="0.3">
      <c r="A2659" t="s">
        <v>3705</v>
      </c>
      <c r="B2659" t="s">
        <v>208</v>
      </c>
      <c r="C2659" s="1">
        <v>45559</v>
      </c>
      <c r="E2659" t="s">
        <v>39</v>
      </c>
      <c r="F2659">
        <v>45</v>
      </c>
      <c r="G2659" s="12">
        <v>0</v>
      </c>
      <c r="H2659" s="12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1050</v>
      </c>
      <c r="N2659" t="b">
        <v>1</v>
      </c>
    </row>
    <row r="2660" spans="1:14" x14ac:dyDescent="0.3">
      <c r="A2660" t="s">
        <v>3706</v>
      </c>
      <c r="B2660" t="s">
        <v>500</v>
      </c>
      <c r="C2660" s="1">
        <v>45449</v>
      </c>
      <c r="E2660" t="s">
        <v>39</v>
      </c>
      <c r="F2660">
        <v>92</v>
      </c>
      <c r="G2660" s="12">
        <v>4508</v>
      </c>
      <c r="H2660" s="12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1050</v>
      </c>
      <c r="N2660" t="b">
        <v>1</v>
      </c>
    </row>
    <row r="2661" spans="1:14" x14ac:dyDescent="0.3">
      <c r="A2661" t="s">
        <v>3707</v>
      </c>
      <c r="B2661" t="s">
        <v>974</v>
      </c>
      <c r="C2661" s="1">
        <v>45621</v>
      </c>
      <c r="E2661" t="s">
        <v>15</v>
      </c>
      <c r="F2661">
        <v>7</v>
      </c>
      <c r="G2661" s="12">
        <v>133</v>
      </c>
      <c r="H2661" s="12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1050</v>
      </c>
      <c r="N2661" t="b">
        <v>1</v>
      </c>
    </row>
    <row r="2662" spans="1:14" x14ac:dyDescent="0.3">
      <c r="A2662" t="s">
        <v>3708</v>
      </c>
      <c r="B2662" t="s">
        <v>414</v>
      </c>
      <c r="C2662" s="1">
        <v>45426</v>
      </c>
      <c r="E2662" t="s">
        <v>32</v>
      </c>
      <c r="F2662">
        <v>3</v>
      </c>
      <c r="G2662" s="12">
        <v>597</v>
      </c>
      <c r="H2662" s="1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1047</v>
      </c>
      <c r="N2662" t="b">
        <v>1</v>
      </c>
    </row>
    <row r="2663" spans="1:14" x14ac:dyDescent="0.3">
      <c r="A2663" t="s">
        <v>3709</v>
      </c>
      <c r="B2663" t="s">
        <v>618</v>
      </c>
      <c r="C2663" s="1">
        <v>45626</v>
      </c>
      <c r="E2663" t="s">
        <v>32</v>
      </c>
      <c r="F2663">
        <v>10</v>
      </c>
      <c r="G2663" s="12">
        <v>0</v>
      </c>
      <c r="H2663" s="12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1050</v>
      </c>
      <c r="N2663" t="b">
        <v>1</v>
      </c>
    </row>
    <row r="2664" spans="1:14" x14ac:dyDescent="0.3">
      <c r="A2664" t="s">
        <v>3710</v>
      </c>
      <c r="B2664" t="s">
        <v>162</v>
      </c>
      <c r="C2664" s="1">
        <v>45561</v>
      </c>
      <c r="E2664" t="s">
        <v>32</v>
      </c>
      <c r="F2664">
        <v>43</v>
      </c>
      <c r="G2664" s="12">
        <v>8557</v>
      </c>
      <c r="H2664" s="12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1050</v>
      </c>
      <c r="N2664" t="b">
        <v>0</v>
      </c>
    </row>
    <row r="2665" spans="1:14" x14ac:dyDescent="0.3">
      <c r="A2665" t="s">
        <v>3711</v>
      </c>
      <c r="B2665" t="s">
        <v>628</v>
      </c>
      <c r="C2665" s="1">
        <v>45478</v>
      </c>
      <c r="E2665" t="s">
        <v>39</v>
      </c>
      <c r="F2665">
        <v>45</v>
      </c>
      <c r="G2665" s="12">
        <v>0</v>
      </c>
      <c r="H2665" s="12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1047</v>
      </c>
      <c r="N2665" t="b">
        <v>1</v>
      </c>
    </row>
    <row r="2666" spans="1:14" x14ac:dyDescent="0.3">
      <c r="A2666" t="s">
        <v>3712</v>
      </c>
      <c r="B2666" t="s">
        <v>74</v>
      </c>
      <c r="C2666" s="1">
        <v>45439</v>
      </c>
      <c r="E2666" t="s">
        <v>32</v>
      </c>
      <c r="F2666">
        <v>86</v>
      </c>
      <c r="G2666" s="12">
        <v>17114</v>
      </c>
      <c r="H2666" s="12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1047</v>
      </c>
      <c r="N2666" t="b">
        <v>0</v>
      </c>
    </row>
    <row r="2667" spans="1:14" x14ac:dyDescent="0.3">
      <c r="A2667" t="s">
        <v>3713</v>
      </c>
      <c r="B2667" t="s">
        <v>266</v>
      </c>
      <c r="C2667" s="1">
        <v>45506</v>
      </c>
      <c r="E2667" t="s">
        <v>32</v>
      </c>
      <c r="F2667">
        <v>53</v>
      </c>
      <c r="G2667" s="12">
        <v>0</v>
      </c>
      <c r="H2667" s="12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1047</v>
      </c>
      <c r="N2667" t="b">
        <v>1</v>
      </c>
    </row>
    <row r="2668" spans="1:14" x14ac:dyDescent="0.3">
      <c r="A2668" t="s">
        <v>3714</v>
      </c>
      <c r="B2668" t="s">
        <v>540</v>
      </c>
      <c r="C2668" s="1">
        <v>45641</v>
      </c>
      <c r="E2668" t="s">
        <v>39</v>
      </c>
      <c r="F2668">
        <v>16</v>
      </c>
      <c r="G2668" s="12">
        <v>784</v>
      </c>
      <c r="H2668" s="12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1047</v>
      </c>
      <c r="N2668" t="b">
        <v>1</v>
      </c>
    </row>
    <row r="2669" spans="1:14" x14ac:dyDescent="0.3">
      <c r="A2669" t="s">
        <v>3715</v>
      </c>
      <c r="B2669" t="s">
        <v>820</v>
      </c>
      <c r="C2669" s="1">
        <v>45468</v>
      </c>
      <c r="E2669" t="s">
        <v>15</v>
      </c>
      <c r="F2669">
        <v>55</v>
      </c>
      <c r="G2669" s="12">
        <v>0</v>
      </c>
      <c r="H2669" s="12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1047</v>
      </c>
      <c r="N2669" t="b">
        <v>1</v>
      </c>
    </row>
    <row r="2670" spans="1:14" x14ac:dyDescent="0.3">
      <c r="A2670" t="s">
        <v>3716</v>
      </c>
      <c r="B2670" t="s">
        <v>774</v>
      </c>
      <c r="C2670" s="1">
        <v>45404</v>
      </c>
      <c r="E2670" t="s">
        <v>39</v>
      </c>
      <c r="F2670">
        <v>3</v>
      </c>
      <c r="G2670" s="12">
        <v>147</v>
      </c>
      <c r="H2670" s="12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1047</v>
      </c>
      <c r="N2670" t="b">
        <v>1</v>
      </c>
    </row>
    <row r="2671" spans="1:14" x14ac:dyDescent="0.3">
      <c r="A2671" t="s">
        <v>3717</v>
      </c>
      <c r="B2671" t="s">
        <v>91</v>
      </c>
      <c r="C2671" s="1">
        <v>45386</v>
      </c>
      <c r="E2671" t="s">
        <v>15</v>
      </c>
      <c r="F2671">
        <v>22</v>
      </c>
      <c r="G2671" s="12">
        <v>418</v>
      </c>
      <c r="H2671" s="12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1047</v>
      </c>
      <c r="N2671" t="b">
        <v>1</v>
      </c>
    </row>
    <row r="2672" spans="1:14" x14ac:dyDescent="0.3">
      <c r="A2672" t="s">
        <v>3718</v>
      </c>
      <c r="B2672" t="s">
        <v>896</v>
      </c>
      <c r="C2672" s="1">
        <v>45619</v>
      </c>
      <c r="E2672" t="s">
        <v>15</v>
      </c>
      <c r="F2672">
        <v>24</v>
      </c>
      <c r="G2672" s="12">
        <v>456</v>
      </c>
      <c r="H2672" s="1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1050</v>
      </c>
      <c r="N2672" t="b">
        <v>1</v>
      </c>
    </row>
    <row r="2673" spans="1:14" x14ac:dyDescent="0.3">
      <c r="A2673" t="s">
        <v>3719</v>
      </c>
      <c r="B2673" t="s">
        <v>810</v>
      </c>
      <c r="C2673" s="1">
        <v>45471</v>
      </c>
      <c r="E2673" t="s">
        <v>32</v>
      </c>
      <c r="F2673">
        <v>25</v>
      </c>
      <c r="G2673" s="12">
        <v>4975</v>
      </c>
      <c r="H2673" s="12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1047</v>
      </c>
      <c r="N2673" t="b">
        <v>1</v>
      </c>
    </row>
    <row r="2674" spans="1:14" x14ac:dyDescent="0.3">
      <c r="A2674" t="s">
        <v>3720</v>
      </c>
      <c r="B2674" t="s">
        <v>974</v>
      </c>
      <c r="C2674" s="1">
        <v>45607</v>
      </c>
      <c r="E2674" t="s">
        <v>39</v>
      </c>
      <c r="F2674">
        <v>12</v>
      </c>
      <c r="G2674" s="12">
        <v>588</v>
      </c>
      <c r="H2674" s="12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1047</v>
      </c>
      <c r="N2674" t="b">
        <v>0</v>
      </c>
    </row>
    <row r="2675" spans="1:14" x14ac:dyDescent="0.3">
      <c r="A2675" t="s">
        <v>3721</v>
      </c>
      <c r="B2675" t="s">
        <v>744</v>
      </c>
      <c r="C2675" s="1">
        <v>45403</v>
      </c>
      <c r="E2675" t="s">
        <v>39</v>
      </c>
      <c r="F2675">
        <v>59</v>
      </c>
      <c r="G2675" s="12">
        <v>2891</v>
      </c>
      <c r="H2675" s="12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1047</v>
      </c>
      <c r="N2675" t="b">
        <v>0</v>
      </c>
    </row>
    <row r="2676" spans="1:14" x14ac:dyDescent="0.3">
      <c r="A2676" t="s">
        <v>3722</v>
      </c>
      <c r="B2676" t="s">
        <v>682</v>
      </c>
      <c r="C2676" s="1">
        <v>45561</v>
      </c>
      <c r="E2676" t="s">
        <v>32</v>
      </c>
      <c r="F2676">
        <v>13</v>
      </c>
      <c r="G2676" s="12">
        <v>2587</v>
      </c>
      <c r="H2676" s="12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1047</v>
      </c>
      <c r="N2676" t="b">
        <v>1</v>
      </c>
    </row>
    <row r="2677" spans="1:14" x14ac:dyDescent="0.3">
      <c r="A2677" t="s">
        <v>3723</v>
      </c>
      <c r="B2677" t="s">
        <v>230</v>
      </c>
      <c r="C2677" s="1">
        <v>45613</v>
      </c>
      <c r="E2677" t="s">
        <v>39</v>
      </c>
      <c r="F2677">
        <v>10</v>
      </c>
      <c r="G2677" s="12">
        <v>0</v>
      </c>
      <c r="H2677" s="12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1050</v>
      </c>
      <c r="N2677" t="b">
        <v>1</v>
      </c>
    </row>
    <row r="2678" spans="1:14" x14ac:dyDescent="0.3">
      <c r="A2678" t="s">
        <v>3724</v>
      </c>
      <c r="B2678" t="s">
        <v>724</v>
      </c>
      <c r="C2678" s="1">
        <v>45302</v>
      </c>
      <c r="E2678" t="s">
        <v>15</v>
      </c>
      <c r="F2678">
        <v>31</v>
      </c>
      <c r="G2678" s="12">
        <v>589</v>
      </c>
      <c r="H2678" s="12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1047</v>
      </c>
      <c r="N2678" t="b">
        <v>1</v>
      </c>
    </row>
    <row r="2679" spans="1:14" x14ac:dyDescent="0.3">
      <c r="A2679" t="s">
        <v>3725</v>
      </c>
      <c r="B2679" t="s">
        <v>788</v>
      </c>
      <c r="C2679" s="1">
        <v>45631</v>
      </c>
      <c r="E2679" t="s">
        <v>39</v>
      </c>
      <c r="F2679">
        <v>16</v>
      </c>
      <c r="G2679" s="12">
        <v>0</v>
      </c>
      <c r="H2679" s="12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1047</v>
      </c>
      <c r="N2679" t="b">
        <v>0</v>
      </c>
    </row>
    <row r="2680" spans="1:14" x14ac:dyDescent="0.3">
      <c r="A2680" t="s">
        <v>3726</v>
      </c>
      <c r="B2680" t="s">
        <v>118</v>
      </c>
      <c r="C2680" s="1">
        <v>45628</v>
      </c>
      <c r="E2680" t="s">
        <v>15</v>
      </c>
      <c r="F2680">
        <v>30</v>
      </c>
      <c r="G2680" s="12">
        <v>570</v>
      </c>
      <c r="H2680" s="12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1047</v>
      </c>
      <c r="N2680" t="b">
        <v>1</v>
      </c>
    </row>
    <row r="2681" spans="1:14" x14ac:dyDescent="0.3">
      <c r="A2681" t="s">
        <v>3727</v>
      </c>
      <c r="B2681" t="s">
        <v>238</v>
      </c>
      <c r="C2681" s="1">
        <v>45111</v>
      </c>
      <c r="D2681" s="1">
        <v>45116</v>
      </c>
      <c r="E2681" t="s">
        <v>15</v>
      </c>
      <c r="F2681">
        <v>12</v>
      </c>
      <c r="G2681" s="12">
        <v>228</v>
      </c>
      <c r="H2681" s="12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1050</v>
      </c>
      <c r="N2681" t="b">
        <v>1</v>
      </c>
    </row>
    <row r="2682" spans="1:14" x14ac:dyDescent="0.3">
      <c r="A2682" t="s">
        <v>3728</v>
      </c>
      <c r="B2682" t="s">
        <v>822</v>
      </c>
      <c r="C2682" s="1">
        <v>45459</v>
      </c>
      <c r="E2682" t="s">
        <v>32</v>
      </c>
      <c r="F2682">
        <v>13</v>
      </c>
      <c r="G2682" s="12">
        <v>2587</v>
      </c>
      <c r="H2682" s="1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1047</v>
      </c>
      <c r="N2682" t="b">
        <v>1</v>
      </c>
    </row>
    <row r="2683" spans="1:14" x14ac:dyDescent="0.3">
      <c r="A2683" t="s">
        <v>3729</v>
      </c>
      <c r="B2683" t="s">
        <v>378</v>
      </c>
      <c r="C2683" s="1">
        <v>45266</v>
      </c>
      <c r="E2683" t="s">
        <v>32</v>
      </c>
      <c r="F2683">
        <v>70</v>
      </c>
      <c r="G2683" s="12">
        <v>13930</v>
      </c>
      <c r="H2683" s="12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1050</v>
      </c>
      <c r="N2683" t="b">
        <v>1</v>
      </c>
    </row>
    <row r="2684" spans="1:14" x14ac:dyDescent="0.3">
      <c r="A2684" t="s">
        <v>3730</v>
      </c>
      <c r="B2684" t="s">
        <v>224</v>
      </c>
      <c r="C2684" s="1">
        <v>45620</v>
      </c>
      <c r="E2684" t="s">
        <v>32</v>
      </c>
      <c r="F2684">
        <v>5</v>
      </c>
      <c r="G2684" s="12">
        <v>995</v>
      </c>
      <c r="H2684" s="12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1050</v>
      </c>
      <c r="N2684" t="b">
        <v>1</v>
      </c>
    </row>
    <row r="2685" spans="1:14" x14ac:dyDescent="0.3">
      <c r="A2685" t="s">
        <v>3731</v>
      </c>
      <c r="B2685" t="s">
        <v>542</v>
      </c>
      <c r="C2685" s="1">
        <v>45356</v>
      </c>
      <c r="E2685" t="s">
        <v>39</v>
      </c>
      <c r="F2685">
        <v>36</v>
      </c>
      <c r="G2685" s="12">
        <v>1764</v>
      </c>
      <c r="H2685" s="12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1047</v>
      </c>
      <c r="N2685" t="b">
        <v>1</v>
      </c>
    </row>
    <row r="2686" spans="1:14" x14ac:dyDescent="0.3">
      <c r="A2686" t="s">
        <v>3732</v>
      </c>
      <c r="B2686" t="s">
        <v>850</v>
      </c>
      <c r="C2686" s="1">
        <v>45056</v>
      </c>
      <c r="D2686" s="1">
        <v>45493</v>
      </c>
      <c r="E2686" t="s">
        <v>39</v>
      </c>
      <c r="F2686">
        <v>44</v>
      </c>
      <c r="G2686" s="12">
        <v>2156</v>
      </c>
      <c r="H2686" s="12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1050</v>
      </c>
      <c r="N2686" t="b">
        <v>1</v>
      </c>
    </row>
    <row r="2687" spans="1:14" x14ac:dyDescent="0.3">
      <c r="A2687" t="s">
        <v>3733</v>
      </c>
      <c r="B2687" t="s">
        <v>924</v>
      </c>
      <c r="C2687" s="1">
        <v>45436</v>
      </c>
      <c r="E2687" t="s">
        <v>32</v>
      </c>
      <c r="F2687">
        <v>12</v>
      </c>
      <c r="G2687" s="12">
        <v>2388</v>
      </c>
      <c r="H2687" s="12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1047</v>
      </c>
      <c r="N2687" t="b">
        <v>1</v>
      </c>
    </row>
    <row r="2688" spans="1:14" x14ac:dyDescent="0.3">
      <c r="A2688" t="s">
        <v>3734</v>
      </c>
      <c r="B2688" t="s">
        <v>160</v>
      </c>
      <c r="C2688" s="1">
        <v>45653</v>
      </c>
      <c r="E2688" t="s">
        <v>39</v>
      </c>
      <c r="F2688">
        <v>11</v>
      </c>
      <c r="G2688" s="12">
        <v>539</v>
      </c>
      <c r="H2688" s="12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1047</v>
      </c>
      <c r="N2688" t="b">
        <v>1</v>
      </c>
    </row>
    <row r="2689" spans="1:14" x14ac:dyDescent="0.3">
      <c r="A2689" t="s">
        <v>3735</v>
      </c>
      <c r="B2689" t="s">
        <v>150</v>
      </c>
      <c r="C2689" s="1">
        <v>45599</v>
      </c>
      <c r="E2689" t="s">
        <v>15</v>
      </c>
      <c r="F2689">
        <v>59</v>
      </c>
      <c r="G2689" s="12">
        <v>1121</v>
      </c>
      <c r="H2689" s="12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1047</v>
      </c>
      <c r="N2689" t="b">
        <v>1</v>
      </c>
    </row>
    <row r="2690" spans="1:14" x14ac:dyDescent="0.3">
      <c r="A2690" t="s">
        <v>3736</v>
      </c>
      <c r="B2690" t="s">
        <v>644</v>
      </c>
      <c r="C2690" s="1">
        <v>45587</v>
      </c>
      <c r="E2690" t="s">
        <v>39</v>
      </c>
      <c r="F2690">
        <v>20</v>
      </c>
      <c r="G2690" s="12">
        <v>980</v>
      </c>
      <c r="H2690" s="12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1047</v>
      </c>
      <c r="N2690" t="b">
        <v>1</v>
      </c>
    </row>
    <row r="2691" spans="1:14" x14ac:dyDescent="0.3">
      <c r="A2691" t="s">
        <v>3737</v>
      </c>
      <c r="B2691" t="s">
        <v>258</v>
      </c>
      <c r="C2691" s="1">
        <v>45633</v>
      </c>
      <c r="D2691" s="1">
        <v>45641</v>
      </c>
      <c r="E2691" t="s">
        <v>39</v>
      </c>
      <c r="F2691">
        <v>12</v>
      </c>
      <c r="G2691" s="12">
        <v>588</v>
      </c>
      <c r="H2691" s="12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1050</v>
      </c>
      <c r="N2691" t="b">
        <v>0</v>
      </c>
    </row>
    <row r="2692" spans="1:14" x14ac:dyDescent="0.3">
      <c r="A2692" t="s">
        <v>3738</v>
      </c>
      <c r="B2692" t="s">
        <v>750</v>
      </c>
      <c r="C2692" s="1">
        <v>45622</v>
      </c>
      <c r="E2692" t="s">
        <v>15</v>
      </c>
      <c r="F2692">
        <v>30</v>
      </c>
      <c r="G2692" s="12">
        <v>570</v>
      </c>
      <c r="H2692" s="1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1047</v>
      </c>
      <c r="N2692" t="b">
        <v>0</v>
      </c>
    </row>
    <row r="2693" spans="1:14" x14ac:dyDescent="0.3">
      <c r="A2693" t="s">
        <v>3739</v>
      </c>
      <c r="B2693" t="s">
        <v>1020</v>
      </c>
      <c r="C2693" s="1">
        <v>45544</v>
      </c>
      <c r="E2693" t="s">
        <v>15</v>
      </c>
      <c r="F2693">
        <v>9</v>
      </c>
      <c r="G2693" s="12">
        <v>171</v>
      </c>
      <c r="H2693" s="12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1047</v>
      </c>
      <c r="N2693" t="b">
        <v>1</v>
      </c>
    </row>
    <row r="2694" spans="1:14" x14ac:dyDescent="0.3">
      <c r="A2694" t="s">
        <v>3740</v>
      </c>
      <c r="B2694" t="s">
        <v>902</v>
      </c>
      <c r="C2694" s="1">
        <v>45651</v>
      </c>
      <c r="E2694" t="s">
        <v>32</v>
      </c>
      <c r="F2694">
        <v>16</v>
      </c>
      <c r="G2694" s="12">
        <v>3184</v>
      </c>
      <c r="H2694" s="12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1050</v>
      </c>
      <c r="N2694" t="b">
        <v>0</v>
      </c>
    </row>
    <row r="2695" spans="1:14" x14ac:dyDescent="0.3">
      <c r="A2695" t="s">
        <v>3741</v>
      </c>
      <c r="B2695" t="s">
        <v>438</v>
      </c>
      <c r="C2695" s="1">
        <v>45562</v>
      </c>
      <c r="E2695" t="s">
        <v>15</v>
      </c>
      <c r="F2695">
        <v>19</v>
      </c>
      <c r="G2695" s="12">
        <v>361</v>
      </c>
      <c r="H2695" s="12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1047</v>
      </c>
      <c r="N2695" t="b">
        <v>0</v>
      </c>
    </row>
    <row r="2696" spans="1:14" x14ac:dyDescent="0.3">
      <c r="A2696" t="s">
        <v>3742</v>
      </c>
      <c r="B2696" t="s">
        <v>626</v>
      </c>
      <c r="C2696" s="1">
        <v>45608</v>
      </c>
      <c r="E2696" t="s">
        <v>39</v>
      </c>
      <c r="F2696">
        <v>22</v>
      </c>
      <c r="G2696" s="12">
        <v>0</v>
      </c>
      <c r="H2696" s="12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1047</v>
      </c>
      <c r="N2696" t="b">
        <v>1</v>
      </c>
    </row>
    <row r="2697" spans="1:14" x14ac:dyDescent="0.3">
      <c r="A2697" t="s">
        <v>3743</v>
      </c>
      <c r="B2697" t="s">
        <v>59</v>
      </c>
      <c r="C2697" s="1">
        <v>45641</v>
      </c>
      <c r="E2697" t="s">
        <v>39</v>
      </c>
      <c r="F2697">
        <v>15</v>
      </c>
      <c r="G2697" s="12">
        <v>735</v>
      </c>
      <c r="H2697" s="12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1050</v>
      </c>
      <c r="N2697" t="b">
        <v>1</v>
      </c>
    </row>
    <row r="2698" spans="1:14" x14ac:dyDescent="0.3">
      <c r="A2698" t="s">
        <v>3744</v>
      </c>
      <c r="B2698" t="s">
        <v>234</v>
      </c>
      <c r="C2698" s="1">
        <v>45355</v>
      </c>
      <c r="E2698" t="s">
        <v>15</v>
      </c>
      <c r="F2698">
        <v>22</v>
      </c>
      <c r="G2698" s="12">
        <v>0</v>
      </c>
      <c r="H2698" s="12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1047</v>
      </c>
      <c r="N2698" t="b">
        <v>1</v>
      </c>
    </row>
    <row r="2699" spans="1:14" x14ac:dyDescent="0.3">
      <c r="A2699" t="s">
        <v>3745</v>
      </c>
      <c r="B2699" t="s">
        <v>238</v>
      </c>
      <c r="C2699" s="1">
        <v>45637</v>
      </c>
      <c r="E2699" t="s">
        <v>32</v>
      </c>
      <c r="F2699">
        <v>24</v>
      </c>
      <c r="G2699" s="12">
        <v>0</v>
      </c>
      <c r="H2699" s="12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1050</v>
      </c>
      <c r="N2699" t="b">
        <v>0</v>
      </c>
    </row>
    <row r="2700" spans="1:14" x14ac:dyDescent="0.3">
      <c r="A2700" t="s">
        <v>3746</v>
      </c>
      <c r="B2700" t="s">
        <v>976</v>
      </c>
      <c r="C2700" s="1">
        <v>45111</v>
      </c>
      <c r="E2700" t="s">
        <v>15</v>
      </c>
      <c r="F2700">
        <v>54</v>
      </c>
      <c r="G2700" s="12">
        <v>1026</v>
      </c>
      <c r="H2700" s="12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1050</v>
      </c>
      <c r="N2700" t="b">
        <v>1</v>
      </c>
    </row>
    <row r="2701" spans="1:14" x14ac:dyDescent="0.3">
      <c r="A2701" t="s">
        <v>3747</v>
      </c>
      <c r="B2701" t="s">
        <v>104</v>
      </c>
      <c r="C2701" s="1">
        <v>45611</v>
      </c>
      <c r="E2701" t="s">
        <v>32</v>
      </c>
      <c r="F2701">
        <v>3</v>
      </c>
      <c r="G2701" s="12">
        <v>597</v>
      </c>
      <c r="H2701" s="12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1047</v>
      </c>
      <c r="N2701" t="b">
        <v>0</v>
      </c>
    </row>
    <row r="2702" spans="1:14" x14ac:dyDescent="0.3">
      <c r="A2702" t="s">
        <v>3748</v>
      </c>
      <c r="B2702" t="s">
        <v>384</v>
      </c>
      <c r="C2702" s="1">
        <v>45427</v>
      </c>
      <c r="E2702" t="s">
        <v>39</v>
      </c>
      <c r="F2702">
        <v>163</v>
      </c>
      <c r="G2702" s="12">
        <v>0</v>
      </c>
      <c r="H2702" s="1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1047</v>
      </c>
      <c r="N2702" t="b">
        <v>0</v>
      </c>
    </row>
    <row r="2703" spans="1:14" x14ac:dyDescent="0.3">
      <c r="A2703" t="s">
        <v>3749</v>
      </c>
      <c r="B2703" t="s">
        <v>938</v>
      </c>
      <c r="C2703" s="1">
        <v>45650</v>
      </c>
      <c r="E2703" t="s">
        <v>39</v>
      </c>
      <c r="F2703">
        <v>26</v>
      </c>
      <c r="G2703" s="12">
        <v>0</v>
      </c>
      <c r="H2703" s="12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1047</v>
      </c>
      <c r="N2703" t="b">
        <v>1</v>
      </c>
    </row>
    <row r="2704" spans="1:14" x14ac:dyDescent="0.3">
      <c r="A2704" t="s">
        <v>3750</v>
      </c>
      <c r="B2704" t="s">
        <v>306</v>
      </c>
      <c r="C2704" s="1">
        <v>45625</v>
      </c>
      <c r="E2704" t="s">
        <v>15</v>
      </c>
      <c r="F2704">
        <v>40</v>
      </c>
      <c r="G2704" s="12">
        <v>760</v>
      </c>
      <c r="H2704" s="12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1047</v>
      </c>
      <c r="N2704" t="b">
        <v>1</v>
      </c>
    </row>
    <row r="2705" spans="1:14" x14ac:dyDescent="0.3">
      <c r="A2705" t="s">
        <v>3751</v>
      </c>
      <c r="B2705" t="s">
        <v>63</v>
      </c>
      <c r="C2705" s="1">
        <v>45502</v>
      </c>
      <c r="E2705" t="s">
        <v>32</v>
      </c>
      <c r="F2705">
        <v>18</v>
      </c>
      <c r="G2705" s="12">
        <v>3582</v>
      </c>
      <c r="H2705" s="12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1047</v>
      </c>
      <c r="N2705" t="b">
        <v>0</v>
      </c>
    </row>
    <row r="2706" spans="1:14" x14ac:dyDescent="0.3">
      <c r="A2706" t="s">
        <v>3752</v>
      </c>
      <c r="B2706" t="s">
        <v>694</v>
      </c>
      <c r="C2706" s="1">
        <v>45364</v>
      </c>
      <c r="E2706" t="s">
        <v>39</v>
      </c>
      <c r="F2706">
        <v>49</v>
      </c>
      <c r="G2706" s="12">
        <v>2401</v>
      </c>
      <c r="H2706" s="12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1050</v>
      </c>
      <c r="N2706" t="b">
        <v>1</v>
      </c>
    </row>
    <row r="2707" spans="1:14" x14ac:dyDescent="0.3">
      <c r="A2707" t="s">
        <v>3753</v>
      </c>
      <c r="B2707" t="s">
        <v>340</v>
      </c>
      <c r="C2707" s="1">
        <v>45656</v>
      </c>
      <c r="E2707" t="s">
        <v>15</v>
      </c>
      <c r="F2707">
        <v>13</v>
      </c>
      <c r="G2707" s="12">
        <v>247</v>
      </c>
      <c r="H2707" s="12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1047</v>
      </c>
      <c r="N2707" t="b">
        <v>1</v>
      </c>
    </row>
    <row r="2708" spans="1:14" x14ac:dyDescent="0.3">
      <c r="A2708" t="s">
        <v>3754</v>
      </c>
      <c r="B2708" t="s">
        <v>982</v>
      </c>
      <c r="C2708" s="1">
        <v>45139</v>
      </c>
      <c r="E2708" t="s">
        <v>15</v>
      </c>
      <c r="F2708">
        <v>22</v>
      </c>
      <c r="G2708" s="12">
        <v>418</v>
      </c>
      <c r="H2708" s="12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1047</v>
      </c>
      <c r="N2708" t="b">
        <v>1</v>
      </c>
    </row>
    <row r="2709" spans="1:14" x14ac:dyDescent="0.3">
      <c r="A2709" t="s">
        <v>3755</v>
      </c>
      <c r="B2709" t="s">
        <v>576</v>
      </c>
      <c r="C2709" s="1">
        <v>45583</v>
      </c>
      <c r="E2709" t="s">
        <v>32</v>
      </c>
      <c r="F2709">
        <v>22</v>
      </c>
      <c r="G2709" s="12">
        <v>4378</v>
      </c>
      <c r="H2709" s="12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1047</v>
      </c>
      <c r="N2709" t="b">
        <v>1</v>
      </c>
    </row>
    <row r="2710" spans="1:14" x14ac:dyDescent="0.3">
      <c r="A2710" t="s">
        <v>3756</v>
      </c>
      <c r="B2710" t="s">
        <v>594</v>
      </c>
      <c r="C2710" s="1">
        <v>45531</v>
      </c>
      <c r="E2710" t="s">
        <v>15</v>
      </c>
      <c r="F2710">
        <v>2</v>
      </c>
      <c r="G2710" s="12">
        <v>38</v>
      </c>
      <c r="H2710" s="12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1050</v>
      </c>
      <c r="N2710" t="b">
        <v>1</v>
      </c>
    </row>
    <row r="2711" spans="1:14" x14ac:dyDescent="0.3">
      <c r="A2711" t="s">
        <v>3757</v>
      </c>
      <c r="B2711" t="s">
        <v>814</v>
      </c>
      <c r="C2711" s="1">
        <v>45339</v>
      </c>
      <c r="E2711" t="s">
        <v>32</v>
      </c>
      <c r="F2711">
        <v>30</v>
      </c>
      <c r="G2711" s="12">
        <v>5970</v>
      </c>
      <c r="H2711" s="12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1047</v>
      </c>
      <c r="N2711" t="b">
        <v>1</v>
      </c>
    </row>
    <row r="2712" spans="1:14" x14ac:dyDescent="0.3">
      <c r="A2712" t="s">
        <v>3758</v>
      </c>
      <c r="B2712" t="s">
        <v>470</v>
      </c>
      <c r="C2712" s="1">
        <v>45421</v>
      </c>
      <c r="E2712" t="s">
        <v>32</v>
      </c>
      <c r="F2712">
        <v>20</v>
      </c>
      <c r="G2712" s="12">
        <v>3980</v>
      </c>
      <c r="H2712" s="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1047</v>
      </c>
      <c r="N2712" t="b">
        <v>1</v>
      </c>
    </row>
    <row r="2713" spans="1:14" x14ac:dyDescent="0.3">
      <c r="A2713" t="s">
        <v>3759</v>
      </c>
      <c r="B2713" t="s">
        <v>148</v>
      </c>
      <c r="C2713" s="1">
        <v>45433</v>
      </c>
      <c r="E2713" t="s">
        <v>15</v>
      </c>
      <c r="F2713">
        <v>9</v>
      </c>
      <c r="G2713" s="12">
        <v>171</v>
      </c>
      <c r="H2713" s="12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1050</v>
      </c>
      <c r="N2713" t="b">
        <v>0</v>
      </c>
    </row>
    <row r="2714" spans="1:14" x14ac:dyDescent="0.3">
      <c r="A2714" t="s">
        <v>3760</v>
      </c>
      <c r="B2714" t="s">
        <v>390</v>
      </c>
      <c r="C2714" s="1">
        <v>45186</v>
      </c>
      <c r="E2714" t="s">
        <v>39</v>
      </c>
      <c r="F2714">
        <v>61</v>
      </c>
      <c r="G2714" s="12">
        <v>2989</v>
      </c>
      <c r="H2714" s="12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1050</v>
      </c>
      <c r="N2714" t="b">
        <v>1</v>
      </c>
    </row>
    <row r="2715" spans="1:14" x14ac:dyDescent="0.3">
      <c r="A2715" t="s">
        <v>3761</v>
      </c>
      <c r="B2715" t="s">
        <v>970</v>
      </c>
      <c r="C2715" s="1">
        <v>45223</v>
      </c>
      <c r="D2715" s="1">
        <v>45341</v>
      </c>
      <c r="E2715" t="s">
        <v>15</v>
      </c>
      <c r="F2715">
        <v>8</v>
      </c>
      <c r="G2715" s="12">
        <v>152</v>
      </c>
      <c r="H2715" s="12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1047</v>
      </c>
      <c r="N2715" t="b">
        <v>1</v>
      </c>
    </row>
    <row r="2716" spans="1:14" x14ac:dyDescent="0.3">
      <c r="A2716" t="s">
        <v>3762</v>
      </c>
      <c r="B2716" t="s">
        <v>632</v>
      </c>
      <c r="C2716" s="1">
        <v>45252</v>
      </c>
      <c r="E2716" t="s">
        <v>15</v>
      </c>
      <c r="F2716">
        <v>17</v>
      </c>
      <c r="G2716" s="12">
        <v>323</v>
      </c>
      <c r="H2716" s="12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1050</v>
      </c>
      <c r="N2716" t="b">
        <v>1</v>
      </c>
    </row>
    <row r="2717" spans="1:14" x14ac:dyDescent="0.3">
      <c r="A2717" t="s">
        <v>3763</v>
      </c>
      <c r="B2717" t="s">
        <v>794</v>
      </c>
      <c r="C2717" s="1">
        <v>45655</v>
      </c>
      <c r="E2717" t="s">
        <v>32</v>
      </c>
      <c r="F2717">
        <v>45</v>
      </c>
      <c r="G2717" s="12">
        <v>8955</v>
      </c>
      <c r="H2717" s="12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1047</v>
      </c>
      <c r="N2717" t="b">
        <v>1</v>
      </c>
    </row>
    <row r="2718" spans="1:14" x14ac:dyDescent="0.3">
      <c r="A2718" t="s">
        <v>3764</v>
      </c>
      <c r="B2718" t="s">
        <v>850</v>
      </c>
      <c r="C2718" s="1">
        <v>45003</v>
      </c>
      <c r="E2718" t="s">
        <v>32</v>
      </c>
      <c r="F2718">
        <v>44</v>
      </c>
      <c r="G2718" s="12">
        <v>8756</v>
      </c>
      <c r="H2718" s="12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1047</v>
      </c>
      <c r="N2718" t="b">
        <v>0</v>
      </c>
    </row>
    <row r="2719" spans="1:14" x14ac:dyDescent="0.3">
      <c r="A2719" t="s">
        <v>3765</v>
      </c>
      <c r="B2719" t="s">
        <v>862</v>
      </c>
      <c r="C2719" s="1">
        <v>45210</v>
      </c>
      <c r="E2719" t="s">
        <v>15</v>
      </c>
      <c r="F2719">
        <v>50</v>
      </c>
      <c r="G2719" s="12">
        <v>950</v>
      </c>
      <c r="H2719" s="12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1047</v>
      </c>
      <c r="N2719" t="b">
        <v>1</v>
      </c>
    </row>
    <row r="2720" spans="1:14" x14ac:dyDescent="0.3">
      <c r="A2720" t="s">
        <v>3766</v>
      </c>
      <c r="B2720" t="s">
        <v>158</v>
      </c>
      <c r="C2720" s="1">
        <v>45472</v>
      </c>
      <c r="E2720" t="s">
        <v>15</v>
      </c>
      <c r="F2720">
        <v>46</v>
      </c>
      <c r="G2720" s="12">
        <v>874</v>
      </c>
      <c r="H2720" s="12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1050</v>
      </c>
      <c r="N2720" t="b">
        <v>1</v>
      </c>
    </row>
    <row r="2721" spans="1:14" x14ac:dyDescent="0.3">
      <c r="A2721" t="s">
        <v>3767</v>
      </c>
      <c r="B2721" t="s">
        <v>72</v>
      </c>
      <c r="C2721" s="1">
        <v>45604</v>
      </c>
      <c r="E2721" t="s">
        <v>39</v>
      </c>
      <c r="F2721">
        <v>18</v>
      </c>
      <c r="G2721" s="12">
        <v>0</v>
      </c>
      <c r="H2721" s="12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1047</v>
      </c>
      <c r="N2721" t="b">
        <v>1</v>
      </c>
    </row>
    <row r="2722" spans="1:14" x14ac:dyDescent="0.3">
      <c r="A2722" t="s">
        <v>3768</v>
      </c>
      <c r="B2722" t="s">
        <v>328</v>
      </c>
      <c r="C2722" s="1">
        <v>45245</v>
      </c>
      <c r="E2722" t="s">
        <v>32</v>
      </c>
      <c r="F2722">
        <v>34</v>
      </c>
      <c r="G2722" s="12">
        <v>6766</v>
      </c>
      <c r="H2722" s="1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1050</v>
      </c>
      <c r="N2722" t="b">
        <v>1</v>
      </c>
    </row>
    <row r="2723" spans="1:14" x14ac:dyDescent="0.3">
      <c r="A2723" t="s">
        <v>3769</v>
      </c>
      <c r="B2723" t="s">
        <v>520</v>
      </c>
      <c r="C2723" s="1">
        <v>45635</v>
      </c>
      <c r="E2723" t="s">
        <v>15</v>
      </c>
      <c r="F2723">
        <v>41</v>
      </c>
      <c r="G2723" s="12">
        <v>779</v>
      </c>
      <c r="H2723" s="12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1047</v>
      </c>
      <c r="N2723" t="b">
        <v>1</v>
      </c>
    </row>
    <row r="2724" spans="1:14" x14ac:dyDescent="0.3">
      <c r="A2724" t="s">
        <v>3770</v>
      </c>
      <c r="B2724" t="s">
        <v>108</v>
      </c>
      <c r="C2724" s="1">
        <v>45624</v>
      </c>
      <c r="E2724" t="s">
        <v>32</v>
      </c>
      <c r="F2724">
        <v>4</v>
      </c>
      <c r="G2724" s="12">
        <v>796</v>
      </c>
      <c r="H2724" s="12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1047</v>
      </c>
      <c r="N2724" t="b">
        <v>1</v>
      </c>
    </row>
    <row r="2725" spans="1:14" x14ac:dyDescent="0.3">
      <c r="A2725" t="s">
        <v>3771</v>
      </c>
      <c r="B2725" t="s">
        <v>536</v>
      </c>
      <c r="C2725" s="1">
        <v>45632</v>
      </c>
      <c r="E2725" t="s">
        <v>15</v>
      </c>
      <c r="F2725">
        <v>31</v>
      </c>
      <c r="G2725" s="12">
        <v>589</v>
      </c>
      <c r="H2725" s="12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1050</v>
      </c>
      <c r="N2725" t="b">
        <v>1</v>
      </c>
    </row>
    <row r="2726" spans="1:14" x14ac:dyDescent="0.3">
      <c r="A2726" t="s">
        <v>3772</v>
      </c>
      <c r="B2726" t="s">
        <v>760</v>
      </c>
      <c r="C2726" s="1">
        <v>45549</v>
      </c>
      <c r="E2726" t="s">
        <v>39</v>
      </c>
      <c r="F2726">
        <v>92</v>
      </c>
      <c r="G2726" s="12">
        <v>4508</v>
      </c>
      <c r="H2726" s="12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1050</v>
      </c>
      <c r="N2726" t="b">
        <v>0</v>
      </c>
    </row>
    <row r="2727" spans="1:14" x14ac:dyDescent="0.3">
      <c r="A2727" t="s">
        <v>3773</v>
      </c>
      <c r="B2727" t="s">
        <v>918</v>
      </c>
      <c r="C2727" s="1">
        <v>45639</v>
      </c>
      <c r="E2727" t="s">
        <v>32</v>
      </c>
      <c r="F2727">
        <v>27</v>
      </c>
      <c r="G2727" s="12">
        <v>5373</v>
      </c>
      <c r="H2727" s="12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1050</v>
      </c>
      <c r="N2727" t="b">
        <v>0</v>
      </c>
    </row>
    <row r="2728" spans="1:14" x14ac:dyDescent="0.3">
      <c r="A2728" t="s">
        <v>3774</v>
      </c>
      <c r="B2728" t="s">
        <v>356</v>
      </c>
      <c r="C2728" s="1">
        <v>45631</v>
      </c>
      <c r="E2728" t="s">
        <v>32</v>
      </c>
      <c r="F2728">
        <v>44</v>
      </c>
      <c r="G2728" s="12">
        <v>8756</v>
      </c>
      <c r="H2728" s="12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1047</v>
      </c>
      <c r="N2728" t="b">
        <v>1</v>
      </c>
    </row>
    <row r="2729" spans="1:14" x14ac:dyDescent="0.3">
      <c r="A2729" t="s">
        <v>3775</v>
      </c>
      <c r="B2729" t="s">
        <v>83</v>
      </c>
      <c r="C2729" s="1">
        <v>45398</v>
      </c>
      <c r="E2729" t="s">
        <v>39</v>
      </c>
      <c r="F2729">
        <v>19</v>
      </c>
      <c r="G2729" s="12">
        <v>931</v>
      </c>
      <c r="H2729" s="12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1050</v>
      </c>
      <c r="N2729" t="b">
        <v>1</v>
      </c>
    </row>
    <row r="2730" spans="1:14" x14ac:dyDescent="0.3">
      <c r="A2730" t="s">
        <v>3776</v>
      </c>
      <c r="B2730" t="s">
        <v>316</v>
      </c>
      <c r="C2730" s="1">
        <v>45163</v>
      </c>
      <c r="D2730" s="1">
        <v>45629</v>
      </c>
      <c r="E2730" t="s">
        <v>15</v>
      </c>
      <c r="F2730">
        <v>14</v>
      </c>
      <c r="G2730" s="12">
        <v>266</v>
      </c>
      <c r="H2730" s="12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1047</v>
      </c>
      <c r="N2730" t="b">
        <v>1</v>
      </c>
    </row>
    <row r="2731" spans="1:14" x14ac:dyDescent="0.3">
      <c r="A2731" t="s">
        <v>3777</v>
      </c>
      <c r="B2731" t="s">
        <v>890</v>
      </c>
      <c r="C2731" s="1">
        <v>45591</v>
      </c>
      <c r="E2731" t="s">
        <v>15</v>
      </c>
      <c r="F2731">
        <v>26</v>
      </c>
      <c r="G2731" s="12">
        <v>494</v>
      </c>
      <c r="H2731" s="12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1050</v>
      </c>
      <c r="N2731" t="b">
        <v>1</v>
      </c>
    </row>
    <row r="2732" spans="1:14" x14ac:dyDescent="0.3">
      <c r="A2732" t="s">
        <v>3778</v>
      </c>
      <c r="B2732" t="s">
        <v>788</v>
      </c>
      <c r="C2732" s="1">
        <v>45656</v>
      </c>
      <c r="E2732" t="s">
        <v>15</v>
      </c>
      <c r="F2732">
        <v>13</v>
      </c>
      <c r="G2732" s="12">
        <v>247</v>
      </c>
      <c r="H2732" s="1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1047</v>
      </c>
      <c r="N2732" t="b">
        <v>1</v>
      </c>
    </row>
    <row r="2733" spans="1:14" x14ac:dyDescent="0.3">
      <c r="A2733" t="s">
        <v>3779</v>
      </c>
      <c r="B2733" t="s">
        <v>410</v>
      </c>
      <c r="C2733" s="1">
        <v>45635</v>
      </c>
      <c r="E2733" t="s">
        <v>15</v>
      </c>
      <c r="F2733">
        <v>14</v>
      </c>
      <c r="G2733" s="12">
        <v>266</v>
      </c>
      <c r="H2733" s="12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1047</v>
      </c>
      <c r="N2733" t="b">
        <v>1</v>
      </c>
    </row>
    <row r="2734" spans="1:14" x14ac:dyDescent="0.3">
      <c r="A2734" t="s">
        <v>3780</v>
      </c>
      <c r="B2734" t="s">
        <v>270</v>
      </c>
      <c r="C2734" s="1">
        <v>45541</v>
      </c>
      <c r="E2734" t="s">
        <v>32</v>
      </c>
      <c r="F2734">
        <v>56</v>
      </c>
      <c r="G2734" s="12">
        <v>11144</v>
      </c>
      <c r="H2734" s="12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1050</v>
      </c>
      <c r="N2734" t="b">
        <v>0</v>
      </c>
    </row>
    <row r="2735" spans="1:14" x14ac:dyDescent="0.3">
      <c r="A2735" t="s">
        <v>3781</v>
      </c>
      <c r="B2735" t="s">
        <v>1004</v>
      </c>
      <c r="C2735" s="1">
        <v>45208</v>
      </c>
      <c r="D2735" s="1">
        <v>45463</v>
      </c>
      <c r="E2735" t="s">
        <v>15</v>
      </c>
      <c r="F2735">
        <v>21</v>
      </c>
      <c r="G2735" s="12">
        <v>399</v>
      </c>
      <c r="H2735" s="12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1047</v>
      </c>
      <c r="N2735" t="b">
        <v>1</v>
      </c>
    </row>
    <row r="2736" spans="1:14" x14ac:dyDescent="0.3">
      <c r="A2736" t="s">
        <v>3782</v>
      </c>
      <c r="B2736" t="s">
        <v>306</v>
      </c>
      <c r="C2736" s="1">
        <v>45568</v>
      </c>
      <c r="E2736" t="s">
        <v>32</v>
      </c>
      <c r="F2736">
        <v>19</v>
      </c>
      <c r="G2736" s="12">
        <v>3781</v>
      </c>
      <c r="H2736" s="12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1050</v>
      </c>
      <c r="N2736" t="b">
        <v>1</v>
      </c>
    </row>
    <row r="2737" spans="1:14" x14ac:dyDescent="0.3">
      <c r="A2737" t="s">
        <v>3783</v>
      </c>
      <c r="B2737" t="s">
        <v>336</v>
      </c>
      <c r="C2737" s="1">
        <v>45625</v>
      </c>
      <c r="E2737" t="s">
        <v>15</v>
      </c>
      <c r="F2737">
        <v>3</v>
      </c>
      <c r="G2737" s="12">
        <v>0</v>
      </c>
      <c r="H2737" s="12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1047</v>
      </c>
      <c r="N2737" t="b">
        <v>1</v>
      </c>
    </row>
    <row r="2738" spans="1:14" x14ac:dyDescent="0.3">
      <c r="A2738" t="s">
        <v>3784</v>
      </c>
      <c r="B2738" t="s">
        <v>314</v>
      </c>
      <c r="C2738" s="1">
        <v>45428</v>
      </c>
      <c r="E2738" t="s">
        <v>39</v>
      </c>
      <c r="F2738">
        <v>11</v>
      </c>
      <c r="G2738" s="12">
        <v>539</v>
      </c>
      <c r="H2738" s="12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1047</v>
      </c>
      <c r="N2738" t="b">
        <v>0</v>
      </c>
    </row>
    <row r="2739" spans="1:14" x14ac:dyDescent="0.3">
      <c r="A2739" t="s">
        <v>3785</v>
      </c>
      <c r="B2739" t="s">
        <v>912</v>
      </c>
      <c r="C2739" s="1">
        <v>45381</v>
      </c>
      <c r="E2739" t="s">
        <v>39</v>
      </c>
      <c r="F2739">
        <v>16</v>
      </c>
      <c r="G2739" s="12">
        <v>784</v>
      </c>
      <c r="H2739" s="12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1050</v>
      </c>
      <c r="N2739" t="b">
        <v>1</v>
      </c>
    </row>
    <row r="2740" spans="1:14" x14ac:dyDescent="0.3">
      <c r="A2740" t="s">
        <v>3786</v>
      </c>
      <c r="B2740" t="s">
        <v>72</v>
      </c>
      <c r="C2740" s="1">
        <v>45581</v>
      </c>
      <c r="E2740" t="s">
        <v>15</v>
      </c>
      <c r="F2740">
        <v>10</v>
      </c>
      <c r="G2740" s="12">
        <v>190</v>
      </c>
      <c r="H2740" s="12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1050</v>
      </c>
      <c r="N2740" t="b">
        <v>1</v>
      </c>
    </row>
    <row r="2741" spans="1:14" x14ac:dyDescent="0.3">
      <c r="A2741" t="s">
        <v>3787</v>
      </c>
      <c r="B2741" t="s">
        <v>218</v>
      </c>
      <c r="C2741" s="1">
        <v>45602</v>
      </c>
      <c r="E2741" t="s">
        <v>39</v>
      </c>
      <c r="F2741">
        <v>36</v>
      </c>
      <c r="G2741" s="12">
        <v>1764</v>
      </c>
      <c r="H2741" s="12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1047</v>
      </c>
      <c r="N2741" t="b">
        <v>0</v>
      </c>
    </row>
    <row r="2742" spans="1:14" x14ac:dyDescent="0.3">
      <c r="A2742" t="s">
        <v>3788</v>
      </c>
      <c r="B2742" t="s">
        <v>706</v>
      </c>
      <c r="C2742" s="1">
        <v>45551</v>
      </c>
      <c r="E2742" t="s">
        <v>15</v>
      </c>
      <c r="F2742">
        <v>24</v>
      </c>
      <c r="G2742" s="12">
        <v>456</v>
      </c>
      <c r="H2742" s="1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1050</v>
      </c>
      <c r="N2742" t="b">
        <v>1</v>
      </c>
    </row>
    <row r="2743" spans="1:14" x14ac:dyDescent="0.3">
      <c r="A2743" t="s">
        <v>3789</v>
      </c>
      <c r="B2743" t="s">
        <v>988</v>
      </c>
      <c r="C2743" s="1">
        <v>45471</v>
      </c>
      <c r="E2743" t="s">
        <v>32</v>
      </c>
      <c r="F2743">
        <v>24</v>
      </c>
      <c r="G2743" s="12">
        <v>4776</v>
      </c>
      <c r="H2743" s="12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1050</v>
      </c>
      <c r="N2743" t="b">
        <v>1</v>
      </c>
    </row>
    <row r="2744" spans="1:14" x14ac:dyDescent="0.3">
      <c r="A2744" t="s">
        <v>3790</v>
      </c>
      <c r="B2744" t="s">
        <v>974</v>
      </c>
      <c r="C2744" s="1">
        <v>45649</v>
      </c>
      <c r="E2744" t="s">
        <v>39</v>
      </c>
      <c r="F2744">
        <v>1</v>
      </c>
      <c r="G2744" s="12">
        <v>49</v>
      </c>
      <c r="H2744" s="12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1047</v>
      </c>
      <c r="N2744" t="b">
        <v>0</v>
      </c>
    </row>
    <row r="2745" spans="1:14" x14ac:dyDescent="0.3">
      <c r="A2745" t="s">
        <v>3791</v>
      </c>
      <c r="B2745" t="s">
        <v>804</v>
      </c>
      <c r="C2745" s="1">
        <v>45080</v>
      </c>
      <c r="E2745" t="s">
        <v>39</v>
      </c>
      <c r="F2745">
        <v>2</v>
      </c>
      <c r="G2745" s="12">
        <v>98</v>
      </c>
      <c r="H2745" s="12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1050</v>
      </c>
      <c r="N2745" t="b">
        <v>1</v>
      </c>
    </row>
    <row r="2746" spans="1:14" x14ac:dyDescent="0.3">
      <c r="A2746" t="s">
        <v>3792</v>
      </c>
      <c r="B2746" t="s">
        <v>916</v>
      </c>
      <c r="C2746" s="1">
        <v>45615</v>
      </c>
      <c r="E2746" t="s">
        <v>32</v>
      </c>
      <c r="F2746">
        <v>15</v>
      </c>
      <c r="G2746" s="12">
        <v>2985</v>
      </c>
      <c r="H2746" s="12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1047</v>
      </c>
      <c r="N2746" t="b">
        <v>1</v>
      </c>
    </row>
    <row r="2747" spans="1:14" x14ac:dyDescent="0.3">
      <c r="A2747" t="s">
        <v>3793</v>
      </c>
      <c r="B2747" t="s">
        <v>856</v>
      </c>
      <c r="C2747" s="1">
        <v>45481</v>
      </c>
      <c r="D2747" s="1">
        <v>45580</v>
      </c>
      <c r="E2747" t="s">
        <v>32</v>
      </c>
      <c r="F2747">
        <v>4</v>
      </c>
      <c r="G2747" s="12">
        <v>796</v>
      </c>
      <c r="H2747" s="12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1050</v>
      </c>
      <c r="N2747" t="b">
        <v>1</v>
      </c>
    </row>
    <row r="2748" spans="1:14" x14ac:dyDescent="0.3">
      <c r="A2748" t="s">
        <v>3794</v>
      </c>
      <c r="B2748" t="s">
        <v>908</v>
      </c>
      <c r="C2748" s="1">
        <v>45493</v>
      </c>
      <c r="E2748" t="s">
        <v>39</v>
      </c>
      <c r="F2748">
        <v>26</v>
      </c>
      <c r="G2748" s="12">
        <v>1274</v>
      </c>
      <c r="H2748" s="12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1050</v>
      </c>
      <c r="N2748" t="b">
        <v>1</v>
      </c>
    </row>
    <row r="2749" spans="1:14" x14ac:dyDescent="0.3">
      <c r="A2749" t="s">
        <v>3795</v>
      </c>
      <c r="B2749" t="s">
        <v>616</v>
      </c>
      <c r="C2749" s="1">
        <v>45574</v>
      </c>
      <c r="E2749" t="s">
        <v>32</v>
      </c>
      <c r="F2749">
        <v>25</v>
      </c>
      <c r="G2749" s="12">
        <v>4975</v>
      </c>
      <c r="H2749" s="12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1050</v>
      </c>
      <c r="N2749" t="b">
        <v>0</v>
      </c>
    </row>
    <row r="2750" spans="1:14" x14ac:dyDescent="0.3">
      <c r="A2750" t="s">
        <v>3796</v>
      </c>
      <c r="B2750" t="s">
        <v>196</v>
      </c>
      <c r="C2750" s="1">
        <v>45636</v>
      </c>
      <c r="E2750" t="s">
        <v>39</v>
      </c>
      <c r="F2750">
        <v>38</v>
      </c>
      <c r="G2750" s="12">
        <v>0</v>
      </c>
      <c r="H2750" s="12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1047</v>
      </c>
      <c r="N2750" t="b">
        <v>1</v>
      </c>
    </row>
    <row r="2751" spans="1:14" x14ac:dyDescent="0.3">
      <c r="A2751" t="s">
        <v>3797</v>
      </c>
      <c r="B2751" t="s">
        <v>164</v>
      </c>
      <c r="C2751" s="1">
        <v>45480</v>
      </c>
      <c r="E2751" t="s">
        <v>39</v>
      </c>
      <c r="F2751">
        <v>26</v>
      </c>
      <c r="G2751" s="12">
        <v>1274</v>
      </c>
      <c r="H2751" s="12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1050</v>
      </c>
      <c r="N2751" t="b">
        <v>0</v>
      </c>
    </row>
    <row r="2752" spans="1:14" x14ac:dyDescent="0.3">
      <c r="A2752" t="s">
        <v>3798</v>
      </c>
      <c r="B2752" t="s">
        <v>116</v>
      </c>
      <c r="C2752" s="1">
        <v>45254</v>
      </c>
      <c r="E2752" t="s">
        <v>32</v>
      </c>
      <c r="F2752">
        <v>20</v>
      </c>
      <c r="G2752" s="12">
        <v>3980</v>
      </c>
      <c r="H2752" s="1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1050</v>
      </c>
      <c r="N2752" t="b">
        <v>1</v>
      </c>
    </row>
    <row r="2753" spans="1:14" x14ac:dyDescent="0.3">
      <c r="A2753" t="s">
        <v>3799</v>
      </c>
      <c r="B2753" t="s">
        <v>374</v>
      </c>
      <c r="C2753" s="1">
        <v>45655</v>
      </c>
      <c r="E2753" t="s">
        <v>39</v>
      </c>
      <c r="F2753">
        <v>9</v>
      </c>
      <c r="G2753" s="12">
        <v>441</v>
      </c>
      <c r="H2753" s="12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1047</v>
      </c>
      <c r="N2753" t="b">
        <v>0</v>
      </c>
    </row>
    <row r="2754" spans="1:14" x14ac:dyDescent="0.3">
      <c r="A2754" t="s">
        <v>3800</v>
      </c>
      <c r="B2754" t="s">
        <v>660</v>
      </c>
      <c r="C2754" s="1">
        <v>45245</v>
      </c>
      <c r="E2754" t="s">
        <v>39</v>
      </c>
      <c r="F2754">
        <v>34</v>
      </c>
      <c r="G2754" s="12">
        <v>1666</v>
      </c>
      <c r="H2754" s="12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1050</v>
      </c>
      <c r="N2754" t="b">
        <v>0</v>
      </c>
    </row>
    <row r="2755" spans="1:14" x14ac:dyDescent="0.3">
      <c r="A2755" t="s">
        <v>3801</v>
      </c>
      <c r="B2755" t="s">
        <v>704</v>
      </c>
      <c r="C2755" s="1">
        <v>45584</v>
      </c>
      <c r="E2755" t="s">
        <v>32</v>
      </c>
      <c r="F2755">
        <v>87</v>
      </c>
      <c r="G2755" s="12">
        <v>0</v>
      </c>
      <c r="H2755" s="12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1047</v>
      </c>
      <c r="N2755" t="b">
        <v>0</v>
      </c>
    </row>
    <row r="2756" spans="1:14" x14ac:dyDescent="0.3">
      <c r="A2756" t="s">
        <v>3802</v>
      </c>
      <c r="B2756" t="s">
        <v>156</v>
      </c>
      <c r="C2756" s="1">
        <v>45540</v>
      </c>
      <c r="E2756" t="s">
        <v>32</v>
      </c>
      <c r="F2756">
        <v>23</v>
      </c>
      <c r="G2756" s="12">
        <v>4577</v>
      </c>
      <c r="H2756" s="12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1050</v>
      </c>
      <c r="N2756" t="b">
        <v>1</v>
      </c>
    </row>
    <row r="2757" spans="1:14" x14ac:dyDescent="0.3">
      <c r="A2757" t="s">
        <v>3803</v>
      </c>
      <c r="B2757" t="s">
        <v>886</v>
      </c>
      <c r="C2757" s="1">
        <v>45400</v>
      </c>
      <c r="E2757" t="s">
        <v>15</v>
      </c>
      <c r="F2757">
        <v>14</v>
      </c>
      <c r="G2757" s="12">
        <v>266</v>
      </c>
      <c r="H2757" s="12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1050</v>
      </c>
      <c r="N2757" t="b">
        <v>0</v>
      </c>
    </row>
    <row r="2758" spans="1:14" x14ac:dyDescent="0.3">
      <c r="A2758" t="s">
        <v>3804</v>
      </c>
      <c r="B2758" t="s">
        <v>502</v>
      </c>
      <c r="C2758" s="1">
        <v>45237</v>
      </c>
      <c r="E2758" t="s">
        <v>39</v>
      </c>
      <c r="F2758">
        <v>12</v>
      </c>
      <c r="G2758" s="12">
        <v>588</v>
      </c>
      <c r="H2758" s="12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1047</v>
      </c>
      <c r="N2758" t="b">
        <v>0</v>
      </c>
    </row>
    <row r="2759" spans="1:14" x14ac:dyDescent="0.3">
      <c r="A2759" t="s">
        <v>3805</v>
      </c>
      <c r="B2759" t="s">
        <v>506</v>
      </c>
      <c r="C2759" s="1">
        <v>45449</v>
      </c>
      <c r="E2759" t="s">
        <v>39</v>
      </c>
      <c r="F2759">
        <v>11</v>
      </c>
      <c r="G2759" s="12">
        <v>0</v>
      </c>
      <c r="H2759" s="12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1050</v>
      </c>
      <c r="N2759" t="b">
        <v>1</v>
      </c>
    </row>
    <row r="2760" spans="1:14" x14ac:dyDescent="0.3">
      <c r="A2760" t="s">
        <v>3806</v>
      </c>
      <c r="B2760" t="s">
        <v>682</v>
      </c>
      <c r="C2760" s="1">
        <v>45552</v>
      </c>
      <c r="E2760" t="s">
        <v>15</v>
      </c>
      <c r="F2760">
        <v>13</v>
      </c>
      <c r="G2760" s="12">
        <v>247</v>
      </c>
      <c r="H2760" s="12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1050</v>
      </c>
      <c r="N2760" t="b">
        <v>1</v>
      </c>
    </row>
    <row r="2761" spans="1:14" x14ac:dyDescent="0.3">
      <c r="A2761" t="s">
        <v>3807</v>
      </c>
      <c r="B2761" t="s">
        <v>87</v>
      </c>
      <c r="C2761" s="1">
        <v>45492</v>
      </c>
      <c r="E2761" t="s">
        <v>15</v>
      </c>
      <c r="F2761">
        <v>20</v>
      </c>
      <c r="G2761" s="12">
        <v>380</v>
      </c>
      <c r="H2761" s="12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1050</v>
      </c>
      <c r="N2761" t="b">
        <v>1</v>
      </c>
    </row>
    <row r="2762" spans="1:14" x14ac:dyDescent="0.3">
      <c r="A2762" t="s">
        <v>3808</v>
      </c>
      <c r="B2762" t="s">
        <v>948</v>
      </c>
      <c r="C2762" s="1">
        <v>45655</v>
      </c>
      <c r="E2762" t="s">
        <v>39</v>
      </c>
      <c r="F2762">
        <v>14</v>
      </c>
      <c r="G2762" s="12">
        <v>686</v>
      </c>
      <c r="H2762" s="1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1047</v>
      </c>
      <c r="N2762" t="b">
        <v>1</v>
      </c>
    </row>
    <row r="2763" spans="1:14" x14ac:dyDescent="0.3">
      <c r="A2763" t="s">
        <v>3809</v>
      </c>
      <c r="B2763" t="s">
        <v>480</v>
      </c>
      <c r="C2763" s="1">
        <v>45620</v>
      </c>
      <c r="E2763" t="s">
        <v>39</v>
      </c>
      <c r="F2763">
        <v>80</v>
      </c>
      <c r="G2763" s="12">
        <v>3920</v>
      </c>
      <c r="H2763" s="12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1050</v>
      </c>
      <c r="N2763" t="b">
        <v>0</v>
      </c>
    </row>
    <row r="2764" spans="1:14" x14ac:dyDescent="0.3">
      <c r="A2764" t="s">
        <v>3810</v>
      </c>
      <c r="B2764" t="s">
        <v>294</v>
      </c>
      <c r="C2764" s="1">
        <v>45624</v>
      </c>
      <c r="D2764" s="1">
        <v>45632</v>
      </c>
      <c r="E2764" t="s">
        <v>39</v>
      </c>
      <c r="F2764">
        <v>40</v>
      </c>
      <c r="G2764" s="12">
        <v>1960</v>
      </c>
      <c r="H2764" s="12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1047</v>
      </c>
      <c r="N2764" t="b">
        <v>1</v>
      </c>
    </row>
    <row r="2765" spans="1:14" x14ac:dyDescent="0.3">
      <c r="A2765" t="s">
        <v>3811</v>
      </c>
      <c r="B2765" t="s">
        <v>674</v>
      </c>
      <c r="C2765" s="1">
        <v>45573</v>
      </c>
      <c r="E2765" t="s">
        <v>15</v>
      </c>
      <c r="F2765">
        <v>25</v>
      </c>
      <c r="G2765" s="12">
        <v>475</v>
      </c>
      <c r="H2765" s="12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1047</v>
      </c>
      <c r="N2765" t="b">
        <v>0</v>
      </c>
    </row>
    <row r="2766" spans="1:14" x14ac:dyDescent="0.3">
      <c r="A2766" t="s">
        <v>3812</v>
      </c>
      <c r="B2766" t="s">
        <v>268</v>
      </c>
      <c r="C2766" s="1">
        <v>45383</v>
      </c>
      <c r="E2766" t="s">
        <v>32</v>
      </c>
      <c r="F2766">
        <v>34</v>
      </c>
      <c r="G2766" s="12">
        <v>6766</v>
      </c>
      <c r="H2766" s="12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1047</v>
      </c>
      <c r="N2766" t="b">
        <v>1</v>
      </c>
    </row>
    <row r="2767" spans="1:14" x14ac:dyDescent="0.3">
      <c r="A2767" t="s">
        <v>3813</v>
      </c>
      <c r="B2767" t="s">
        <v>218</v>
      </c>
      <c r="C2767" s="1">
        <v>45615</v>
      </c>
      <c r="E2767" t="s">
        <v>32</v>
      </c>
      <c r="F2767">
        <v>70</v>
      </c>
      <c r="G2767" s="12">
        <v>13930</v>
      </c>
      <c r="H2767" s="12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1050</v>
      </c>
      <c r="N2767" t="b">
        <v>1</v>
      </c>
    </row>
    <row r="2768" spans="1:14" x14ac:dyDescent="0.3">
      <c r="A2768" t="s">
        <v>3814</v>
      </c>
      <c r="B2768" t="s">
        <v>622</v>
      </c>
      <c r="C2768" s="1">
        <v>45307</v>
      </c>
      <c r="E2768" t="s">
        <v>15</v>
      </c>
      <c r="F2768">
        <v>2</v>
      </c>
      <c r="G2768" s="12">
        <v>38</v>
      </c>
      <c r="H2768" s="12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1047</v>
      </c>
      <c r="N2768" t="b">
        <v>1</v>
      </c>
    </row>
    <row r="2769" spans="1:14" x14ac:dyDescent="0.3">
      <c r="A2769" t="s">
        <v>3815</v>
      </c>
      <c r="B2769" t="s">
        <v>91</v>
      </c>
      <c r="C2769" s="1">
        <v>45395</v>
      </c>
      <c r="E2769" t="s">
        <v>39</v>
      </c>
      <c r="F2769">
        <v>16</v>
      </c>
      <c r="G2769" s="12">
        <v>0</v>
      </c>
      <c r="H2769" s="12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1047</v>
      </c>
      <c r="N2769" t="b">
        <v>1</v>
      </c>
    </row>
    <row r="2770" spans="1:14" x14ac:dyDescent="0.3">
      <c r="A2770" t="s">
        <v>3816</v>
      </c>
      <c r="B2770" t="s">
        <v>724</v>
      </c>
      <c r="C2770" s="1">
        <v>45371</v>
      </c>
      <c r="E2770" t="s">
        <v>32</v>
      </c>
      <c r="F2770">
        <v>31</v>
      </c>
      <c r="G2770" s="12">
        <v>6169</v>
      </c>
      <c r="H2770" s="12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1047</v>
      </c>
      <c r="N2770" t="b">
        <v>1</v>
      </c>
    </row>
    <row r="2771" spans="1:14" x14ac:dyDescent="0.3">
      <c r="A2771" t="s">
        <v>3817</v>
      </c>
      <c r="B2771" t="s">
        <v>644</v>
      </c>
      <c r="C2771" s="1">
        <v>45509</v>
      </c>
      <c r="E2771" t="s">
        <v>39</v>
      </c>
      <c r="F2771">
        <v>13</v>
      </c>
      <c r="G2771" s="12">
        <v>0</v>
      </c>
      <c r="H2771" s="12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1047</v>
      </c>
      <c r="N2771" t="b">
        <v>0</v>
      </c>
    </row>
    <row r="2772" spans="1:14" x14ac:dyDescent="0.3">
      <c r="A2772" t="s">
        <v>3818</v>
      </c>
      <c r="B2772" t="s">
        <v>108</v>
      </c>
      <c r="C2772" s="1">
        <v>45656</v>
      </c>
      <c r="E2772" t="s">
        <v>39</v>
      </c>
      <c r="F2772">
        <v>41</v>
      </c>
      <c r="G2772" s="12">
        <v>2009</v>
      </c>
      <c r="H2772" s="1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1047</v>
      </c>
      <c r="N2772" t="b">
        <v>1</v>
      </c>
    </row>
    <row r="2773" spans="1:14" x14ac:dyDescent="0.3">
      <c r="A2773" t="s">
        <v>3819</v>
      </c>
      <c r="B2773" t="s">
        <v>552</v>
      </c>
      <c r="C2773" s="1">
        <v>45297</v>
      </c>
      <c r="E2773" t="s">
        <v>15</v>
      </c>
      <c r="F2773">
        <v>23</v>
      </c>
      <c r="G2773" s="12">
        <v>437</v>
      </c>
      <c r="H2773" s="12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1047</v>
      </c>
      <c r="N2773" t="b">
        <v>1</v>
      </c>
    </row>
    <row r="2774" spans="1:14" x14ac:dyDescent="0.3">
      <c r="A2774" t="s">
        <v>3820</v>
      </c>
      <c r="B2774" t="s">
        <v>362</v>
      </c>
      <c r="C2774" s="1">
        <v>45477</v>
      </c>
      <c r="E2774" t="s">
        <v>39</v>
      </c>
      <c r="F2774">
        <v>73</v>
      </c>
      <c r="G2774" s="12">
        <v>3577</v>
      </c>
      <c r="H2774" s="12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1050</v>
      </c>
      <c r="N2774" t="b">
        <v>0</v>
      </c>
    </row>
    <row r="2775" spans="1:14" x14ac:dyDescent="0.3">
      <c r="A2775" t="s">
        <v>3821</v>
      </c>
      <c r="B2775" t="s">
        <v>102</v>
      </c>
      <c r="C2775" s="1">
        <v>45494</v>
      </c>
      <c r="E2775" t="s">
        <v>39</v>
      </c>
      <c r="F2775">
        <v>5</v>
      </c>
      <c r="G2775" s="12">
        <v>245</v>
      </c>
      <c r="H2775" s="12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1047</v>
      </c>
      <c r="N2775" t="b">
        <v>1</v>
      </c>
    </row>
    <row r="2776" spans="1:14" x14ac:dyDescent="0.3">
      <c r="A2776" t="s">
        <v>3822</v>
      </c>
      <c r="B2776" t="s">
        <v>51</v>
      </c>
      <c r="C2776" s="1">
        <v>45364</v>
      </c>
      <c r="E2776" t="s">
        <v>32</v>
      </c>
      <c r="F2776">
        <v>7</v>
      </c>
      <c r="G2776" s="12">
        <v>1393</v>
      </c>
      <c r="H2776" s="12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1050</v>
      </c>
      <c r="N2776" t="b">
        <v>1</v>
      </c>
    </row>
    <row r="2777" spans="1:14" x14ac:dyDescent="0.3">
      <c r="A2777" t="s">
        <v>3823</v>
      </c>
      <c r="B2777" t="s">
        <v>372</v>
      </c>
      <c r="C2777" s="1">
        <v>45588</v>
      </c>
      <c r="E2777" t="s">
        <v>32</v>
      </c>
      <c r="F2777">
        <v>40</v>
      </c>
      <c r="G2777" s="12">
        <v>7960</v>
      </c>
      <c r="H2777" s="12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1050</v>
      </c>
      <c r="N2777" t="b">
        <v>1</v>
      </c>
    </row>
    <row r="2778" spans="1:14" x14ac:dyDescent="0.3">
      <c r="A2778" t="s">
        <v>3824</v>
      </c>
      <c r="B2778" t="s">
        <v>510</v>
      </c>
      <c r="C2778" s="1">
        <v>45372</v>
      </c>
      <c r="E2778" t="s">
        <v>32</v>
      </c>
      <c r="F2778">
        <v>55</v>
      </c>
      <c r="G2778" s="12">
        <v>0</v>
      </c>
      <c r="H2778" s="12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1047</v>
      </c>
      <c r="N2778" t="b">
        <v>1</v>
      </c>
    </row>
    <row r="2779" spans="1:14" x14ac:dyDescent="0.3">
      <c r="A2779" t="s">
        <v>3825</v>
      </c>
      <c r="B2779" t="s">
        <v>194</v>
      </c>
      <c r="C2779" s="1">
        <v>45485</v>
      </c>
      <c r="E2779" t="s">
        <v>15</v>
      </c>
      <c r="F2779">
        <v>33</v>
      </c>
      <c r="G2779" s="12">
        <v>627</v>
      </c>
      <c r="H2779" s="12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1050</v>
      </c>
      <c r="N2779" t="b">
        <v>1</v>
      </c>
    </row>
    <row r="2780" spans="1:14" x14ac:dyDescent="0.3">
      <c r="A2780" t="s">
        <v>3826</v>
      </c>
      <c r="B2780" t="s">
        <v>982</v>
      </c>
      <c r="C2780" s="1">
        <v>45236</v>
      </c>
      <c r="E2780" t="s">
        <v>32</v>
      </c>
      <c r="F2780">
        <v>20</v>
      </c>
      <c r="G2780" s="12">
        <v>3980</v>
      </c>
      <c r="H2780" s="12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1047</v>
      </c>
      <c r="N2780" t="b">
        <v>1</v>
      </c>
    </row>
    <row r="2781" spans="1:14" x14ac:dyDescent="0.3">
      <c r="A2781" t="s">
        <v>3827</v>
      </c>
      <c r="B2781" t="s">
        <v>138</v>
      </c>
      <c r="C2781" s="1">
        <v>45552</v>
      </c>
      <c r="E2781" t="s">
        <v>15</v>
      </c>
      <c r="F2781">
        <v>42</v>
      </c>
      <c r="G2781" s="12">
        <v>798</v>
      </c>
      <c r="H2781" s="12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1050</v>
      </c>
      <c r="N2781" t="b">
        <v>1</v>
      </c>
    </row>
    <row r="2782" spans="1:14" x14ac:dyDescent="0.3">
      <c r="A2782" t="s">
        <v>3828</v>
      </c>
      <c r="B2782" t="s">
        <v>552</v>
      </c>
      <c r="C2782" s="1">
        <v>45624</v>
      </c>
      <c r="D2782" s="1">
        <v>45656</v>
      </c>
      <c r="E2782" t="s">
        <v>32</v>
      </c>
      <c r="F2782">
        <v>41</v>
      </c>
      <c r="G2782" s="12">
        <v>0</v>
      </c>
      <c r="H2782" s="1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1050</v>
      </c>
      <c r="N2782" t="b">
        <v>1</v>
      </c>
    </row>
    <row r="2783" spans="1:14" x14ac:dyDescent="0.3">
      <c r="A2783" t="s">
        <v>3829</v>
      </c>
      <c r="B2783" t="s">
        <v>992</v>
      </c>
      <c r="C2783" s="1">
        <v>45354</v>
      </c>
      <c r="E2783" t="s">
        <v>39</v>
      </c>
      <c r="F2783">
        <v>11</v>
      </c>
      <c r="G2783" s="12">
        <v>539</v>
      </c>
      <c r="H2783" s="12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1047</v>
      </c>
      <c r="N2783" t="b">
        <v>1</v>
      </c>
    </row>
    <row r="2784" spans="1:14" x14ac:dyDescent="0.3">
      <c r="A2784" t="s">
        <v>3830</v>
      </c>
      <c r="B2784" t="s">
        <v>702</v>
      </c>
      <c r="C2784" s="1">
        <v>45451</v>
      </c>
      <c r="E2784" t="s">
        <v>39</v>
      </c>
      <c r="F2784">
        <v>5</v>
      </c>
      <c r="G2784" s="12">
        <v>245</v>
      </c>
      <c r="H2784" s="12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1047</v>
      </c>
      <c r="N2784" t="b">
        <v>1</v>
      </c>
    </row>
    <row r="2785" spans="1:14" x14ac:dyDescent="0.3">
      <c r="A2785" t="s">
        <v>3831</v>
      </c>
      <c r="B2785" t="s">
        <v>1008</v>
      </c>
      <c r="C2785" s="1">
        <v>45429</v>
      </c>
      <c r="E2785" t="s">
        <v>15</v>
      </c>
      <c r="F2785">
        <v>22</v>
      </c>
      <c r="G2785" s="12">
        <v>418</v>
      </c>
      <c r="H2785" s="12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1050</v>
      </c>
      <c r="N2785" t="b">
        <v>0</v>
      </c>
    </row>
    <row r="2786" spans="1:14" x14ac:dyDescent="0.3">
      <c r="A2786" t="s">
        <v>3832</v>
      </c>
      <c r="B2786" t="s">
        <v>580</v>
      </c>
      <c r="C2786" s="1">
        <v>45563</v>
      </c>
      <c r="E2786" t="s">
        <v>15</v>
      </c>
      <c r="F2786">
        <v>50</v>
      </c>
      <c r="G2786" s="12">
        <v>950</v>
      </c>
      <c r="H2786" s="12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1047</v>
      </c>
      <c r="N2786" t="b">
        <v>1</v>
      </c>
    </row>
    <row r="2787" spans="1:14" x14ac:dyDescent="0.3">
      <c r="A2787" t="s">
        <v>3833</v>
      </c>
      <c r="B2787" t="s">
        <v>650</v>
      </c>
      <c r="C2787" s="1">
        <v>45630</v>
      </c>
      <c r="D2787" s="1">
        <v>45646</v>
      </c>
      <c r="E2787" t="s">
        <v>32</v>
      </c>
      <c r="F2787">
        <v>6</v>
      </c>
      <c r="G2787" s="12">
        <v>1194</v>
      </c>
      <c r="H2787" s="12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1050</v>
      </c>
      <c r="N2787" t="b">
        <v>1</v>
      </c>
    </row>
    <row r="2788" spans="1:14" x14ac:dyDescent="0.3">
      <c r="A2788" t="s">
        <v>3834</v>
      </c>
      <c r="B2788" t="s">
        <v>354</v>
      </c>
      <c r="C2788" s="1">
        <v>45654</v>
      </c>
      <c r="D2788" s="1">
        <v>45656</v>
      </c>
      <c r="E2788" t="s">
        <v>15</v>
      </c>
      <c r="F2788">
        <v>19</v>
      </c>
      <c r="G2788" s="12">
        <v>0</v>
      </c>
      <c r="H2788" s="12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1047</v>
      </c>
      <c r="N2788" t="b">
        <v>1</v>
      </c>
    </row>
    <row r="2789" spans="1:14" x14ac:dyDescent="0.3">
      <c r="A2789" t="s">
        <v>3835</v>
      </c>
      <c r="B2789" t="s">
        <v>366</v>
      </c>
      <c r="C2789" s="1">
        <v>45327</v>
      </c>
      <c r="E2789" t="s">
        <v>39</v>
      </c>
      <c r="F2789">
        <v>35</v>
      </c>
      <c r="G2789" s="12">
        <v>1715</v>
      </c>
      <c r="H2789" s="12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1047</v>
      </c>
      <c r="N2789" t="b">
        <v>1</v>
      </c>
    </row>
    <row r="2790" spans="1:14" x14ac:dyDescent="0.3">
      <c r="A2790" t="s">
        <v>3836</v>
      </c>
      <c r="B2790" t="s">
        <v>496</v>
      </c>
      <c r="C2790" s="1">
        <v>45588</v>
      </c>
      <c r="E2790" t="s">
        <v>32</v>
      </c>
      <c r="F2790">
        <v>30</v>
      </c>
      <c r="G2790" s="12">
        <v>5970</v>
      </c>
      <c r="H2790" s="12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1047</v>
      </c>
      <c r="N2790" t="b">
        <v>1</v>
      </c>
    </row>
    <row r="2791" spans="1:14" x14ac:dyDescent="0.3">
      <c r="A2791" t="s">
        <v>3837</v>
      </c>
      <c r="B2791" t="s">
        <v>738</v>
      </c>
      <c r="C2791" s="1">
        <v>45594</v>
      </c>
      <c r="E2791" t="s">
        <v>39</v>
      </c>
      <c r="F2791">
        <v>29</v>
      </c>
      <c r="G2791" s="12">
        <v>1421</v>
      </c>
      <c r="H2791" s="12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1050</v>
      </c>
      <c r="N2791" t="b">
        <v>1</v>
      </c>
    </row>
    <row r="2792" spans="1:14" x14ac:dyDescent="0.3">
      <c r="A2792" t="s">
        <v>3838</v>
      </c>
      <c r="B2792" t="s">
        <v>400</v>
      </c>
      <c r="C2792" s="1">
        <v>45622</v>
      </c>
      <c r="D2792" s="1">
        <v>45657</v>
      </c>
      <c r="E2792" t="s">
        <v>39</v>
      </c>
      <c r="F2792">
        <v>17</v>
      </c>
      <c r="G2792" s="12">
        <v>833</v>
      </c>
      <c r="H2792" s="1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1047</v>
      </c>
      <c r="N2792" t="b">
        <v>1</v>
      </c>
    </row>
    <row r="2793" spans="1:14" x14ac:dyDescent="0.3">
      <c r="A2793" t="s">
        <v>3839</v>
      </c>
      <c r="B2793" t="s">
        <v>966</v>
      </c>
      <c r="C2793" s="1">
        <v>45546</v>
      </c>
      <c r="E2793" t="s">
        <v>32</v>
      </c>
      <c r="F2793">
        <v>21</v>
      </c>
      <c r="G2793" s="12">
        <v>4179</v>
      </c>
      <c r="H2793" s="12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1050</v>
      </c>
      <c r="N2793" t="b">
        <v>1</v>
      </c>
    </row>
    <row r="2794" spans="1:14" x14ac:dyDescent="0.3">
      <c r="A2794" t="s">
        <v>3840</v>
      </c>
      <c r="B2794" t="s">
        <v>648</v>
      </c>
      <c r="C2794" s="1">
        <v>45364</v>
      </c>
      <c r="E2794" t="s">
        <v>39</v>
      </c>
      <c r="F2794">
        <v>22</v>
      </c>
      <c r="G2794" s="12">
        <v>1078</v>
      </c>
      <c r="H2794" s="12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1050</v>
      </c>
      <c r="N2794" t="b">
        <v>1</v>
      </c>
    </row>
    <row r="2795" spans="1:14" x14ac:dyDescent="0.3">
      <c r="A2795" t="s">
        <v>3841</v>
      </c>
      <c r="B2795" t="s">
        <v>264</v>
      </c>
      <c r="C2795" s="1">
        <v>45211</v>
      </c>
      <c r="E2795" t="s">
        <v>32</v>
      </c>
      <c r="F2795">
        <v>38</v>
      </c>
      <c r="G2795" s="12">
        <v>7562</v>
      </c>
      <c r="H2795" s="12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1047</v>
      </c>
      <c r="N2795" t="b">
        <v>0</v>
      </c>
    </row>
    <row r="2796" spans="1:14" x14ac:dyDescent="0.3">
      <c r="A2796" t="s">
        <v>3842</v>
      </c>
      <c r="B2796" t="s">
        <v>824</v>
      </c>
      <c r="C2796" s="1">
        <v>45475</v>
      </c>
      <c r="E2796" t="s">
        <v>32</v>
      </c>
      <c r="F2796">
        <v>17</v>
      </c>
      <c r="G2796" s="12">
        <v>3383</v>
      </c>
      <c r="H2796" s="12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1047</v>
      </c>
      <c r="N2796" t="b">
        <v>1</v>
      </c>
    </row>
    <row r="2797" spans="1:14" x14ac:dyDescent="0.3">
      <c r="A2797" t="s">
        <v>3843</v>
      </c>
      <c r="B2797" t="s">
        <v>650</v>
      </c>
      <c r="C2797" s="1">
        <v>45603</v>
      </c>
      <c r="E2797" t="s">
        <v>39</v>
      </c>
      <c r="F2797">
        <v>3</v>
      </c>
      <c r="G2797" s="12">
        <v>147</v>
      </c>
      <c r="H2797" s="12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1050</v>
      </c>
      <c r="N2797" t="b">
        <v>1</v>
      </c>
    </row>
    <row r="2798" spans="1:14" x14ac:dyDescent="0.3">
      <c r="A2798" t="s">
        <v>3844</v>
      </c>
      <c r="B2798" t="s">
        <v>350</v>
      </c>
      <c r="C2798" s="1">
        <v>45560</v>
      </c>
      <c r="D2798" s="1">
        <v>45612</v>
      </c>
      <c r="E2798" t="s">
        <v>15</v>
      </c>
      <c r="F2798">
        <v>19</v>
      </c>
      <c r="G2798" s="12">
        <v>361</v>
      </c>
      <c r="H2798" s="12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1050</v>
      </c>
      <c r="N2798" t="b">
        <v>1</v>
      </c>
    </row>
    <row r="2799" spans="1:14" x14ac:dyDescent="0.3">
      <c r="A2799" t="s">
        <v>3845</v>
      </c>
      <c r="B2799" t="s">
        <v>546</v>
      </c>
      <c r="C2799" s="1">
        <v>45229</v>
      </c>
      <c r="E2799" t="s">
        <v>32</v>
      </c>
      <c r="F2799">
        <v>31</v>
      </c>
      <c r="G2799" s="12">
        <v>6169</v>
      </c>
      <c r="H2799" s="12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1050</v>
      </c>
      <c r="N2799" t="b">
        <v>0</v>
      </c>
    </row>
    <row r="2800" spans="1:14" x14ac:dyDescent="0.3">
      <c r="A2800" t="s">
        <v>3846</v>
      </c>
      <c r="B2800" t="s">
        <v>676</v>
      </c>
      <c r="C2800" s="1">
        <v>45446</v>
      </c>
      <c r="E2800" t="s">
        <v>15</v>
      </c>
      <c r="F2800">
        <v>35</v>
      </c>
      <c r="G2800" s="12">
        <v>0</v>
      </c>
      <c r="H2800" s="12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1050</v>
      </c>
      <c r="N2800" t="b">
        <v>1</v>
      </c>
    </row>
    <row r="2801" spans="1:14" x14ac:dyDescent="0.3">
      <c r="A2801" t="s">
        <v>3847</v>
      </c>
      <c r="B2801" t="s">
        <v>40</v>
      </c>
      <c r="C2801" s="1">
        <v>45201</v>
      </c>
      <c r="D2801" s="1">
        <v>45415</v>
      </c>
      <c r="E2801" t="s">
        <v>15</v>
      </c>
      <c r="F2801">
        <v>35</v>
      </c>
      <c r="G2801" s="12">
        <v>665</v>
      </c>
      <c r="H2801" s="12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1050</v>
      </c>
      <c r="N2801" t="b">
        <v>1</v>
      </c>
    </row>
    <row r="2802" spans="1:14" x14ac:dyDescent="0.3">
      <c r="A2802" t="s">
        <v>3848</v>
      </c>
      <c r="B2802" t="s">
        <v>812</v>
      </c>
      <c r="C2802" s="1">
        <v>45618</v>
      </c>
      <c r="E2802" t="s">
        <v>32</v>
      </c>
      <c r="F2802">
        <v>20</v>
      </c>
      <c r="G2802" s="12">
        <v>3980</v>
      </c>
      <c r="H2802" s="1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1050</v>
      </c>
      <c r="N2802" t="b">
        <v>1</v>
      </c>
    </row>
    <row r="2803" spans="1:14" x14ac:dyDescent="0.3">
      <c r="A2803" t="s">
        <v>3849</v>
      </c>
      <c r="B2803" t="s">
        <v>790</v>
      </c>
      <c r="C2803" s="1">
        <v>45599</v>
      </c>
      <c r="E2803" t="s">
        <v>15</v>
      </c>
      <c r="F2803">
        <v>34</v>
      </c>
      <c r="G2803" s="12">
        <v>646</v>
      </c>
      <c r="H2803" s="12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1047</v>
      </c>
      <c r="N2803" t="b">
        <v>0</v>
      </c>
    </row>
    <row r="2804" spans="1:14" x14ac:dyDescent="0.3">
      <c r="A2804" t="s">
        <v>3850</v>
      </c>
      <c r="B2804" t="s">
        <v>882</v>
      </c>
      <c r="C2804" s="1">
        <v>45650</v>
      </c>
      <c r="E2804" t="s">
        <v>15</v>
      </c>
      <c r="F2804">
        <v>12</v>
      </c>
      <c r="G2804" s="12">
        <v>228</v>
      </c>
      <c r="H2804" s="12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1047</v>
      </c>
      <c r="N2804" t="b">
        <v>0</v>
      </c>
    </row>
    <row r="2805" spans="1:14" x14ac:dyDescent="0.3">
      <c r="A2805" t="s">
        <v>3851</v>
      </c>
      <c r="B2805" t="s">
        <v>104</v>
      </c>
      <c r="C2805" s="1">
        <v>45500</v>
      </c>
      <c r="E2805" t="s">
        <v>32</v>
      </c>
      <c r="F2805">
        <v>23</v>
      </c>
      <c r="G2805" s="12">
        <v>4577</v>
      </c>
      <c r="H2805" s="12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1050</v>
      </c>
      <c r="N2805" t="b">
        <v>1</v>
      </c>
    </row>
    <row r="2806" spans="1:14" x14ac:dyDescent="0.3">
      <c r="A2806" t="s">
        <v>3852</v>
      </c>
      <c r="B2806" t="s">
        <v>954</v>
      </c>
      <c r="C2806" s="1">
        <v>45368</v>
      </c>
      <c r="E2806" t="s">
        <v>39</v>
      </c>
      <c r="F2806">
        <v>29</v>
      </c>
      <c r="G2806" s="12">
        <v>1421</v>
      </c>
      <c r="H2806" s="12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1047</v>
      </c>
      <c r="N2806" t="b">
        <v>1</v>
      </c>
    </row>
    <row r="2807" spans="1:14" x14ac:dyDescent="0.3">
      <c r="A2807" t="s">
        <v>3853</v>
      </c>
      <c r="B2807" t="s">
        <v>440</v>
      </c>
      <c r="C2807" s="1">
        <v>45646</v>
      </c>
      <c r="E2807" t="s">
        <v>32</v>
      </c>
      <c r="F2807">
        <v>50</v>
      </c>
      <c r="G2807" s="12">
        <v>9950</v>
      </c>
      <c r="H2807" s="12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1047</v>
      </c>
      <c r="N2807" t="b">
        <v>0</v>
      </c>
    </row>
    <row r="2808" spans="1:14" x14ac:dyDescent="0.3">
      <c r="A2808" t="s">
        <v>3854</v>
      </c>
      <c r="B2808" t="s">
        <v>758</v>
      </c>
      <c r="C2808" s="1">
        <v>45552</v>
      </c>
      <c r="E2808" t="s">
        <v>15</v>
      </c>
      <c r="F2808">
        <v>29</v>
      </c>
      <c r="G2808" s="12">
        <v>551</v>
      </c>
      <c r="H2808" s="12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1050</v>
      </c>
      <c r="N2808" t="b">
        <v>1</v>
      </c>
    </row>
    <row r="2809" spans="1:14" x14ac:dyDescent="0.3">
      <c r="A2809" t="s">
        <v>3855</v>
      </c>
      <c r="B2809" t="s">
        <v>948</v>
      </c>
      <c r="C2809" s="1">
        <v>45600</v>
      </c>
      <c r="E2809" t="s">
        <v>32</v>
      </c>
      <c r="F2809">
        <v>33</v>
      </c>
      <c r="G2809" s="12">
        <v>6567</v>
      </c>
      <c r="H2809" s="12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1047</v>
      </c>
      <c r="N2809" t="b">
        <v>1</v>
      </c>
    </row>
    <row r="2810" spans="1:14" x14ac:dyDescent="0.3">
      <c r="A2810" t="s">
        <v>3856</v>
      </c>
      <c r="B2810" t="s">
        <v>768</v>
      </c>
      <c r="C2810" s="1">
        <v>45100</v>
      </c>
      <c r="E2810" t="s">
        <v>15</v>
      </c>
      <c r="F2810">
        <v>62</v>
      </c>
      <c r="G2810" s="12">
        <v>1178</v>
      </c>
      <c r="H2810" s="12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1050</v>
      </c>
      <c r="N2810" t="b">
        <v>0</v>
      </c>
    </row>
    <row r="2811" spans="1:14" x14ac:dyDescent="0.3">
      <c r="A2811" t="s">
        <v>3857</v>
      </c>
      <c r="B2811" t="s">
        <v>1002</v>
      </c>
      <c r="C2811" s="1">
        <v>45408</v>
      </c>
      <c r="E2811" t="s">
        <v>39</v>
      </c>
      <c r="F2811">
        <v>4</v>
      </c>
      <c r="G2811" s="12">
        <v>196</v>
      </c>
      <c r="H2811" s="12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1050</v>
      </c>
      <c r="N2811" t="b">
        <v>1</v>
      </c>
    </row>
    <row r="2812" spans="1:14" x14ac:dyDescent="0.3">
      <c r="A2812" t="s">
        <v>3858</v>
      </c>
      <c r="B2812" t="s">
        <v>788</v>
      </c>
      <c r="C2812" s="1">
        <v>45648</v>
      </c>
      <c r="E2812" t="s">
        <v>39</v>
      </c>
      <c r="F2812">
        <v>13</v>
      </c>
      <c r="G2812" s="12">
        <v>637</v>
      </c>
      <c r="H2812" s="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1050</v>
      </c>
      <c r="N2812" t="b">
        <v>1</v>
      </c>
    </row>
    <row r="2813" spans="1:14" x14ac:dyDescent="0.3">
      <c r="A2813" t="s">
        <v>3859</v>
      </c>
      <c r="B2813" t="s">
        <v>746</v>
      </c>
      <c r="C2813" s="1">
        <v>45364</v>
      </c>
      <c r="E2813" t="s">
        <v>32</v>
      </c>
      <c r="F2813">
        <v>87</v>
      </c>
      <c r="G2813" s="12">
        <v>17313</v>
      </c>
      <c r="H2813" s="12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1047</v>
      </c>
      <c r="N2813" t="b">
        <v>1</v>
      </c>
    </row>
    <row r="2814" spans="1:14" x14ac:dyDescent="0.3">
      <c r="A2814" t="s">
        <v>3860</v>
      </c>
      <c r="B2814" t="s">
        <v>770</v>
      </c>
      <c r="C2814" s="1">
        <v>45637</v>
      </c>
      <c r="E2814" t="s">
        <v>15</v>
      </c>
      <c r="F2814">
        <v>33</v>
      </c>
      <c r="G2814" s="12">
        <v>627</v>
      </c>
      <c r="H2814" s="12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1047</v>
      </c>
      <c r="N2814" t="b">
        <v>1</v>
      </c>
    </row>
    <row r="2815" spans="1:14" x14ac:dyDescent="0.3">
      <c r="A2815" t="s">
        <v>3861</v>
      </c>
      <c r="B2815" t="s">
        <v>946</v>
      </c>
      <c r="C2815" s="1">
        <v>45222</v>
      </c>
      <c r="D2815" s="1">
        <v>45525</v>
      </c>
      <c r="E2815" t="s">
        <v>32</v>
      </c>
      <c r="F2815">
        <v>21</v>
      </c>
      <c r="G2815" s="12">
        <v>4179</v>
      </c>
      <c r="H2815" s="12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1050</v>
      </c>
      <c r="N2815" t="b">
        <v>1</v>
      </c>
    </row>
    <row r="2816" spans="1:14" x14ac:dyDescent="0.3">
      <c r="A2816" t="s">
        <v>3862</v>
      </c>
      <c r="B2816" t="s">
        <v>720</v>
      </c>
      <c r="C2816" s="1">
        <v>45486</v>
      </c>
      <c r="E2816" t="s">
        <v>39</v>
      </c>
      <c r="F2816">
        <v>23</v>
      </c>
      <c r="G2816" s="12">
        <v>1127</v>
      </c>
      <c r="H2816" s="12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1050</v>
      </c>
      <c r="N2816" t="b">
        <v>1</v>
      </c>
    </row>
    <row r="2817" spans="1:14" x14ac:dyDescent="0.3">
      <c r="A2817" t="s">
        <v>3863</v>
      </c>
      <c r="B2817" t="s">
        <v>358</v>
      </c>
      <c r="C2817" s="1">
        <v>45541</v>
      </c>
      <c r="E2817" t="s">
        <v>15</v>
      </c>
      <c r="F2817">
        <v>6</v>
      </c>
      <c r="G2817" s="12">
        <v>114</v>
      </c>
      <c r="H2817" s="12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1050</v>
      </c>
      <c r="N2817" t="b">
        <v>1</v>
      </c>
    </row>
    <row r="2818" spans="1:14" x14ac:dyDescent="0.3">
      <c r="A2818" t="s">
        <v>3864</v>
      </c>
      <c r="B2818" t="s">
        <v>996</v>
      </c>
      <c r="C2818" s="1">
        <v>45548</v>
      </c>
      <c r="E2818" t="s">
        <v>15</v>
      </c>
      <c r="F2818">
        <v>22</v>
      </c>
      <c r="G2818" s="12">
        <v>418</v>
      </c>
      <c r="H2818" s="12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1050</v>
      </c>
      <c r="N2818" t="b">
        <v>1</v>
      </c>
    </row>
    <row r="2819" spans="1:14" x14ac:dyDescent="0.3">
      <c r="A2819" t="s">
        <v>3865</v>
      </c>
      <c r="B2819" t="s">
        <v>534</v>
      </c>
      <c r="C2819" s="1">
        <v>45472</v>
      </c>
      <c r="D2819" s="1">
        <v>45616</v>
      </c>
      <c r="E2819" t="s">
        <v>15</v>
      </c>
      <c r="F2819">
        <v>85</v>
      </c>
      <c r="G2819" s="12">
        <v>1615</v>
      </c>
      <c r="H2819" s="12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1050</v>
      </c>
      <c r="N2819" t="b">
        <v>0</v>
      </c>
    </row>
    <row r="2820" spans="1:14" x14ac:dyDescent="0.3">
      <c r="A2820" t="s">
        <v>3866</v>
      </c>
      <c r="B2820" t="s">
        <v>322</v>
      </c>
      <c r="C2820" s="1">
        <v>45422</v>
      </c>
      <c r="E2820" t="s">
        <v>39</v>
      </c>
      <c r="F2820">
        <v>24</v>
      </c>
      <c r="G2820" s="12">
        <v>1176</v>
      </c>
      <c r="H2820" s="12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1050</v>
      </c>
      <c r="N2820" t="b">
        <v>0</v>
      </c>
    </row>
    <row r="2821" spans="1:14" x14ac:dyDescent="0.3">
      <c r="A2821" t="s">
        <v>3867</v>
      </c>
      <c r="B2821" t="s">
        <v>804</v>
      </c>
      <c r="C2821" s="1">
        <v>45234</v>
      </c>
      <c r="E2821" t="s">
        <v>15</v>
      </c>
      <c r="F2821">
        <v>40</v>
      </c>
      <c r="G2821" s="12">
        <v>760</v>
      </c>
      <c r="H2821" s="12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1047</v>
      </c>
      <c r="N2821" t="b">
        <v>0</v>
      </c>
    </row>
    <row r="2822" spans="1:14" x14ac:dyDescent="0.3">
      <c r="A2822" t="s">
        <v>3868</v>
      </c>
      <c r="B2822" t="s">
        <v>862</v>
      </c>
      <c r="C2822" s="1">
        <v>45557</v>
      </c>
      <c r="E2822" t="s">
        <v>32</v>
      </c>
      <c r="F2822">
        <v>50</v>
      </c>
      <c r="G2822" s="12">
        <v>0</v>
      </c>
      <c r="H2822" s="1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1047</v>
      </c>
      <c r="N2822" t="b">
        <v>1</v>
      </c>
    </row>
    <row r="2823" spans="1:14" x14ac:dyDescent="0.3">
      <c r="A2823" t="s">
        <v>3869</v>
      </c>
      <c r="B2823" t="s">
        <v>470</v>
      </c>
      <c r="C2823" s="1">
        <v>45515</v>
      </c>
      <c r="E2823" t="s">
        <v>39</v>
      </c>
      <c r="F2823">
        <v>18</v>
      </c>
      <c r="G2823" s="12">
        <v>882</v>
      </c>
      <c r="H2823" s="12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1050</v>
      </c>
      <c r="N2823" t="b">
        <v>1</v>
      </c>
    </row>
    <row r="2824" spans="1:14" x14ac:dyDescent="0.3">
      <c r="A2824" t="s">
        <v>3870</v>
      </c>
      <c r="B2824" t="s">
        <v>130</v>
      </c>
      <c r="C2824" s="1">
        <v>45536</v>
      </c>
      <c r="E2824" t="s">
        <v>39</v>
      </c>
      <c r="F2824">
        <v>47</v>
      </c>
      <c r="G2824" s="12">
        <v>2303</v>
      </c>
      <c r="H2824" s="12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1047</v>
      </c>
      <c r="N2824" t="b">
        <v>1</v>
      </c>
    </row>
    <row r="2825" spans="1:14" x14ac:dyDescent="0.3">
      <c r="A2825" t="s">
        <v>3871</v>
      </c>
      <c r="B2825" t="s">
        <v>150</v>
      </c>
      <c r="C2825" s="1">
        <v>45572</v>
      </c>
      <c r="E2825" t="s">
        <v>39</v>
      </c>
      <c r="F2825">
        <v>12</v>
      </c>
      <c r="G2825" s="12">
        <v>588</v>
      </c>
      <c r="H2825" s="12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1050</v>
      </c>
      <c r="N2825" t="b">
        <v>1</v>
      </c>
    </row>
    <row r="2826" spans="1:14" x14ac:dyDescent="0.3">
      <c r="A2826" t="s">
        <v>3872</v>
      </c>
      <c r="B2826" t="s">
        <v>478</v>
      </c>
      <c r="C2826" s="1">
        <v>45278</v>
      </c>
      <c r="E2826" t="s">
        <v>15</v>
      </c>
      <c r="F2826">
        <v>25</v>
      </c>
      <c r="G2826" s="12">
        <v>0</v>
      </c>
      <c r="H2826" s="12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1050</v>
      </c>
      <c r="N2826" t="b">
        <v>1</v>
      </c>
    </row>
    <row r="2827" spans="1:14" x14ac:dyDescent="0.3">
      <c r="A2827" t="s">
        <v>3873</v>
      </c>
      <c r="B2827" t="s">
        <v>990</v>
      </c>
      <c r="C2827" s="1">
        <v>45570</v>
      </c>
      <c r="E2827" t="s">
        <v>32</v>
      </c>
      <c r="F2827">
        <v>70</v>
      </c>
      <c r="G2827" s="12">
        <v>13930</v>
      </c>
      <c r="H2827" s="12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1047</v>
      </c>
      <c r="N2827" t="b">
        <v>1</v>
      </c>
    </row>
    <row r="2828" spans="1:14" x14ac:dyDescent="0.3">
      <c r="A2828" t="s">
        <v>3874</v>
      </c>
      <c r="B2828" t="s">
        <v>976</v>
      </c>
      <c r="C2828" s="1">
        <v>45285</v>
      </c>
      <c r="E2828" t="s">
        <v>32</v>
      </c>
      <c r="F2828">
        <v>54</v>
      </c>
      <c r="G2828" s="12">
        <v>10746</v>
      </c>
      <c r="H2828" s="12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1050</v>
      </c>
      <c r="N2828" t="b">
        <v>0</v>
      </c>
    </row>
    <row r="2829" spans="1:14" x14ac:dyDescent="0.3">
      <c r="A2829" t="s">
        <v>3875</v>
      </c>
      <c r="B2829" t="s">
        <v>174</v>
      </c>
      <c r="C2829" s="1">
        <v>45254</v>
      </c>
      <c r="E2829" t="s">
        <v>15</v>
      </c>
      <c r="F2829">
        <v>19</v>
      </c>
      <c r="G2829" s="12">
        <v>0</v>
      </c>
      <c r="H2829" s="12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1047</v>
      </c>
      <c r="N2829" t="b">
        <v>1</v>
      </c>
    </row>
    <row r="2830" spans="1:14" x14ac:dyDescent="0.3">
      <c r="A2830" t="s">
        <v>3876</v>
      </c>
      <c r="B2830" t="s">
        <v>55</v>
      </c>
      <c r="C2830" s="1">
        <v>45628</v>
      </c>
      <c r="E2830" t="s">
        <v>32</v>
      </c>
      <c r="F2830">
        <v>9</v>
      </c>
      <c r="G2830" s="12">
        <v>1791</v>
      </c>
      <c r="H2830" s="12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1047</v>
      </c>
      <c r="N2830" t="b">
        <v>1</v>
      </c>
    </row>
    <row r="2831" spans="1:14" x14ac:dyDescent="0.3">
      <c r="A2831" t="s">
        <v>3877</v>
      </c>
      <c r="B2831" t="s">
        <v>25</v>
      </c>
      <c r="C2831" s="1">
        <v>45415</v>
      </c>
      <c r="E2831" t="s">
        <v>15</v>
      </c>
      <c r="F2831">
        <v>47</v>
      </c>
      <c r="G2831" s="12">
        <v>893</v>
      </c>
      <c r="H2831" s="12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1050</v>
      </c>
      <c r="N2831" t="b">
        <v>1</v>
      </c>
    </row>
    <row r="2832" spans="1:14" x14ac:dyDescent="0.3">
      <c r="A2832" t="s">
        <v>3878</v>
      </c>
      <c r="B2832" t="s">
        <v>238</v>
      </c>
      <c r="C2832" s="1">
        <v>45365</v>
      </c>
      <c r="E2832" t="s">
        <v>32</v>
      </c>
      <c r="F2832">
        <v>10</v>
      </c>
      <c r="G2832" s="12">
        <v>1990</v>
      </c>
      <c r="H2832" s="1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1050</v>
      </c>
      <c r="N2832" t="b">
        <v>1</v>
      </c>
    </row>
    <row r="2833" spans="1:14" x14ac:dyDescent="0.3">
      <c r="A2833" t="s">
        <v>3879</v>
      </c>
      <c r="B2833" t="s">
        <v>778</v>
      </c>
      <c r="C2833" s="1">
        <v>45631</v>
      </c>
      <c r="E2833" t="s">
        <v>32</v>
      </c>
      <c r="F2833">
        <v>39</v>
      </c>
      <c r="G2833" s="12">
        <v>7761</v>
      </c>
      <c r="H2833" s="12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1047</v>
      </c>
      <c r="N2833" t="b">
        <v>1</v>
      </c>
    </row>
    <row r="2834" spans="1:14" x14ac:dyDescent="0.3">
      <c r="A2834" t="s">
        <v>3880</v>
      </c>
      <c r="B2834" t="s">
        <v>880</v>
      </c>
      <c r="C2834" s="1">
        <v>45559</v>
      </c>
      <c r="E2834" t="s">
        <v>39</v>
      </c>
      <c r="F2834">
        <v>14</v>
      </c>
      <c r="G2834" s="12">
        <v>686</v>
      </c>
      <c r="H2834" s="12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1047</v>
      </c>
      <c r="N2834" t="b">
        <v>1</v>
      </c>
    </row>
    <row r="2835" spans="1:14" x14ac:dyDescent="0.3">
      <c r="A2835" t="s">
        <v>3881</v>
      </c>
      <c r="B2835" t="s">
        <v>762</v>
      </c>
      <c r="C2835" s="1">
        <v>45091</v>
      </c>
      <c r="E2835" t="s">
        <v>39</v>
      </c>
      <c r="F2835">
        <v>30</v>
      </c>
      <c r="G2835" s="12">
        <v>0</v>
      </c>
      <c r="H2835" s="12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1050</v>
      </c>
      <c r="N2835" t="b">
        <v>1</v>
      </c>
    </row>
    <row r="2836" spans="1:14" x14ac:dyDescent="0.3">
      <c r="A2836" t="s">
        <v>3882</v>
      </c>
      <c r="B2836" t="s">
        <v>534</v>
      </c>
      <c r="C2836" s="1">
        <v>45432</v>
      </c>
      <c r="E2836" t="s">
        <v>15</v>
      </c>
      <c r="F2836">
        <v>19</v>
      </c>
      <c r="G2836" s="12">
        <v>361</v>
      </c>
      <c r="H2836" s="12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1047</v>
      </c>
      <c r="N2836" t="b">
        <v>1</v>
      </c>
    </row>
    <row r="2837" spans="1:14" x14ac:dyDescent="0.3">
      <c r="A2837" t="s">
        <v>3883</v>
      </c>
      <c r="B2837" t="s">
        <v>314</v>
      </c>
      <c r="C2837" s="1">
        <v>45154</v>
      </c>
      <c r="E2837" t="s">
        <v>39</v>
      </c>
      <c r="F2837">
        <v>15</v>
      </c>
      <c r="G2837" s="12">
        <v>735</v>
      </c>
      <c r="H2837" s="12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1047</v>
      </c>
      <c r="N2837" t="b">
        <v>1</v>
      </c>
    </row>
    <row r="2838" spans="1:14" x14ac:dyDescent="0.3">
      <c r="A2838" t="s">
        <v>3884</v>
      </c>
      <c r="B2838" t="s">
        <v>792</v>
      </c>
      <c r="C2838" s="1">
        <v>45647</v>
      </c>
      <c r="E2838" t="s">
        <v>15</v>
      </c>
      <c r="F2838">
        <v>25</v>
      </c>
      <c r="G2838" s="12">
        <v>475</v>
      </c>
      <c r="H2838" s="12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1047</v>
      </c>
      <c r="N2838" t="b">
        <v>1</v>
      </c>
    </row>
    <row r="2839" spans="1:14" x14ac:dyDescent="0.3">
      <c r="A2839" t="s">
        <v>3885</v>
      </c>
      <c r="B2839" t="s">
        <v>364</v>
      </c>
      <c r="C2839" s="1">
        <v>45470</v>
      </c>
      <c r="E2839" t="s">
        <v>32</v>
      </c>
      <c r="F2839">
        <v>15</v>
      </c>
      <c r="G2839" s="12">
        <v>2985</v>
      </c>
      <c r="H2839" s="12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1050</v>
      </c>
      <c r="N2839" t="b">
        <v>1</v>
      </c>
    </row>
    <row r="2840" spans="1:14" x14ac:dyDescent="0.3">
      <c r="A2840" t="s">
        <v>3886</v>
      </c>
      <c r="B2840" t="s">
        <v>312</v>
      </c>
      <c r="C2840" s="1">
        <v>45561</v>
      </c>
      <c r="D2840" s="1">
        <v>45655</v>
      </c>
      <c r="E2840" t="s">
        <v>32</v>
      </c>
      <c r="F2840">
        <v>14</v>
      </c>
      <c r="G2840" s="12">
        <v>2786</v>
      </c>
      <c r="H2840" s="12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1047</v>
      </c>
      <c r="N2840" t="b">
        <v>1</v>
      </c>
    </row>
    <row r="2841" spans="1:14" x14ac:dyDescent="0.3">
      <c r="A2841" t="s">
        <v>3887</v>
      </c>
      <c r="B2841" t="s">
        <v>752</v>
      </c>
      <c r="C2841" s="1">
        <v>45647</v>
      </c>
      <c r="E2841" t="s">
        <v>39</v>
      </c>
      <c r="F2841">
        <v>42</v>
      </c>
      <c r="G2841" s="12">
        <v>2058</v>
      </c>
      <c r="H2841" s="12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1047</v>
      </c>
      <c r="N2841" t="b">
        <v>1</v>
      </c>
    </row>
    <row r="2842" spans="1:14" x14ac:dyDescent="0.3">
      <c r="A2842" t="s">
        <v>3888</v>
      </c>
      <c r="B2842" t="s">
        <v>472</v>
      </c>
      <c r="C2842" s="1">
        <v>45228</v>
      </c>
      <c r="E2842" t="s">
        <v>32</v>
      </c>
      <c r="F2842">
        <v>30</v>
      </c>
      <c r="G2842" s="12">
        <v>5970</v>
      </c>
      <c r="H2842" s="1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1050</v>
      </c>
      <c r="N2842" t="b">
        <v>1</v>
      </c>
    </row>
    <row r="2843" spans="1:14" x14ac:dyDescent="0.3">
      <c r="A2843" t="s">
        <v>3889</v>
      </c>
      <c r="B2843" t="s">
        <v>224</v>
      </c>
      <c r="C2843" s="1">
        <v>45642</v>
      </c>
      <c r="E2843" t="s">
        <v>32</v>
      </c>
      <c r="F2843">
        <v>12</v>
      </c>
      <c r="G2843" s="12">
        <v>2388</v>
      </c>
      <c r="H2843" s="12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1047</v>
      </c>
      <c r="N2843" t="b">
        <v>0</v>
      </c>
    </row>
    <row r="2844" spans="1:14" x14ac:dyDescent="0.3">
      <c r="A2844" t="s">
        <v>3890</v>
      </c>
      <c r="B2844" t="s">
        <v>1000</v>
      </c>
      <c r="C2844" s="1">
        <v>45506</v>
      </c>
      <c r="E2844" t="s">
        <v>15</v>
      </c>
      <c r="F2844">
        <v>53</v>
      </c>
      <c r="G2844" s="12">
        <v>1007</v>
      </c>
      <c r="H2844" s="12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1047</v>
      </c>
      <c r="N2844" t="b">
        <v>1</v>
      </c>
    </row>
    <row r="2845" spans="1:14" x14ac:dyDescent="0.3">
      <c r="A2845" t="s">
        <v>3891</v>
      </c>
      <c r="B2845" t="s">
        <v>630</v>
      </c>
      <c r="C2845" s="1">
        <v>45525</v>
      </c>
      <c r="E2845" t="s">
        <v>15</v>
      </c>
      <c r="F2845">
        <v>22</v>
      </c>
      <c r="G2845" s="12">
        <v>418</v>
      </c>
      <c r="H2845" s="12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1047</v>
      </c>
      <c r="N2845" t="b">
        <v>1</v>
      </c>
    </row>
    <row r="2846" spans="1:14" x14ac:dyDescent="0.3">
      <c r="A2846" t="s">
        <v>3892</v>
      </c>
      <c r="B2846" t="s">
        <v>300</v>
      </c>
      <c r="C2846" s="1">
        <v>45607</v>
      </c>
      <c r="E2846" t="s">
        <v>15</v>
      </c>
      <c r="F2846">
        <v>45</v>
      </c>
      <c r="G2846" s="12">
        <v>855</v>
      </c>
      <c r="H2846" s="12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1050</v>
      </c>
      <c r="N2846" t="b">
        <v>1</v>
      </c>
    </row>
    <row r="2847" spans="1:14" x14ac:dyDescent="0.3">
      <c r="A2847" t="s">
        <v>3893</v>
      </c>
      <c r="B2847" t="s">
        <v>862</v>
      </c>
      <c r="C2847" s="1">
        <v>45276</v>
      </c>
      <c r="E2847" t="s">
        <v>32</v>
      </c>
      <c r="F2847">
        <v>50</v>
      </c>
      <c r="G2847" s="12">
        <v>9950</v>
      </c>
      <c r="H2847" s="12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1050</v>
      </c>
      <c r="N2847" t="b">
        <v>1</v>
      </c>
    </row>
    <row r="2848" spans="1:14" x14ac:dyDescent="0.3">
      <c r="A2848" t="s">
        <v>3894</v>
      </c>
      <c r="B2848" t="s">
        <v>318</v>
      </c>
      <c r="C2848" s="1">
        <v>45270</v>
      </c>
      <c r="E2848" t="s">
        <v>15</v>
      </c>
      <c r="F2848">
        <v>23</v>
      </c>
      <c r="G2848" s="12">
        <v>437</v>
      </c>
      <c r="H2848" s="12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1047</v>
      </c>
      <c r="N2848" t="b">
        <v>1</v>
      </c>
    </row>
    <row r="2849" spans="1:14" x14ac:dyDescent="0.3">
      <c r="A2849" t="s">
        <v>3895</v>
      </c>
      <c r="B2849" t="s">
        <v>1002</v>
      </c>
      <c r="C2849" s="1">
        <v>45477</v>
      </c>
      <c r="E2849" t="s">
        <v>32</v>
      </c>
      <c r="F2849">
        <v>4</v>
      </c>
      <c r="G2849" s="12">
        <v>796</v>
      </c>
      <c r="H2849" s="12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1047</v>
      </c>
      <c r="N2849" t="b">
        <v>1</v>
      </c>
    </row>
    <row r="2850" spans="1:14" x14ac:dyDescent="0.3">
      <c r="A2850" t="s">
        <v>3896</v>
      </c>
      <c r="B2850" t="s">
        <v>16</v>
      </c>
      <c r="C2850" s="1">
        <v>45377</v>
      </c>
      <c r="E2850" t="s">
        <v>15</v>
      </c>
      <c r="F2850">
        <v>27</v>
      </c>
      <c r="G2850" s="12">
        <v>513</v>
      </c>
      <c r="H2850" s="12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1050</v>
      </c>
      <c r="N2850" t="b">
        <v>1</v>
      </c>
    </row>
    <row r="2851" spans="1:14" x14ac:dyDescent="0.3">
      <c r="A2851" t="s">
        <v>3897</v>
      </c>
      <c r="B2851" t="s">
        <v>600</v>
      </c>
      <c r="C2851" s="1">
        <v>45324</v>
      </c>
      <c r="D2851" s="1">
        <v>45415</v>
      </c>
      <c r="E2851" t="s">
        <v>32</v>
      </c>
      <c r="F2851">
        <v>26</v>
      </c>
      <c r="G2851" s="12">
        <v>5174</v>
      </c>
      <c r="H2851" s="12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1047</v>
      </c>
      <c r="N2851" t="b">
        <v>1</v>
      </c>
    </row>
    <row r="2852" spans="1:14" x14ac:dyDescent="0.3">
      <c r="A2852" t="s">
        <v>3898</v>
      </c>
      <c r="B2852" t="s">
        <v>458</v>
      </c>
      <c r="C2852" s="1">
        <v>45583</v>
      </c>
      <c r="E2852" t="s">
        <v>39</v>
      </c>
      <c r="F2852">
        <v>8</v>
      </c>
      <c r="G2852" s="12">
        <v>392</v>
      </c>
      <c r="H2852" s="1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1050</v>
      </c>
      <c r="N2852" t="b">
        <v>1</v>
      </c>
    </row>
    <row r="2853" spans="1:14" x14ac:dyDescent="0.3">
      <c r="A2853" t="s">
        <v>3899</v>
      </c>
      <c r="B2853" t="s">
        <v>676</v>
      </c>
      <c r="C2853" s="1">
        <v>45643</v>
      </c>
      <c r="E2853" t="s">
        <v>15</v>
      </c>
      <c r="F2853">
        <v>35</v>
      </c>
      <c r="G2853" s="12">
        <v>665</v>
      </c>
      <c r="H2853" s="12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1050</v>
      </c>
      <c r="N2853" t="b">
        <v>1</v>
      </c>
    </row>
    <row r="2854" spans="1:14" x14ac:dyDescent="0.3">
      <c r="A2854" t="s">
        <v>3900</v>
      </c>
      <c r="B2854" t="s">
        <v>524</v>
      </c>
      <c r="C2854" s="1">
        <v>45509</v>
      </c>
      <c r="E2854" t="s">
        <v>32</v>
      </c>
      <c r="F2854">
        <v>18</v>
      </c>
      <c r="G2854" s="12">
        <v>3582</v>
      </c>
      <c r="H2854" s="12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1047</v>
      </c>
      <c r="N2854" t="b">
        <v>0</v>
      </c>
    </row>
    <row r="2855" spans="1:14" x14ac:dyDescent="0.3">
      <c r="A2855" t="s">
        <v>3901</v>
      </c>
      <c r="B2855" t="s">
        <v>928</v>
      </c>
      <c r="C2855" s="1">
        <v>45433</v>
      </c>
      <c r="E2855" t="s">
        <v>15</v>
      </c>
      <c r="F2855">
        <v>9</v>
      </c>
      <c r="G2855" s="12">
        <v>171</v>
      </c>
      <c r="H2855" s="12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1050</v>
      </c>
      <c r="N2855" t="b">
        <v>1</v>
      </c>
    </row>
    <row r="2856" spans="1:14" x14ac:dyDescent="0.3">
      <c r="A2856" t="s">
        <v>3902</v>
      </c>
      <c r="B2856" t="s">
        <v>714</v>
      </c>
      <c r="C2856" s="1">
        <v>45543</v>
      </c>
      <c r="E2856" t="s">
        <v>39</v>
      </c>
      <c r="F2856">
        <v>64</v>
      </c>
      <c r="G2856" s="12">
        <v>3136</v>
      </c>
      <c r="H2856" s="12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1050</v>
      </c>
      <c r="N2856" t="b">
        <v>1</v>
      </c>
    </row>
    <row r="2857" spans="1:14" x14ac:dyDescent="0.3">
      <c r="A2857" t="s">
        <v>3903</v>
      </c>
      <c r="B2857" t="s">
        <v>642</v>
      </c>
      <c r="C2857" s="1">
        <v>45426</v>
      </c>
      <c r="E2857" t="s">
        <v>32</v>
      </c>
      <c r="F2857">
        <v>49</v>
      </c>
      <c r="G2857" s="12">
        <v>9751</v>
      </c>
      <c r="H2857" s="12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1050</v>
      </c>
      <c r="N2857" t="b">
        <v>1</v>
      </c>
    </row>
    <row r="2858" spans="1:14" x14ac:dyDescent="0.3">
      <c r="A2858" t="s">
        <v>3904</v>
      </c>
      <c r="B2858" t="s">
        <v>332</v>
      </c>
      <c r="C2858" s="1">
        <v>45035</v>
      </c>
      <c r="E2858" t="s">
        <v>15</v>
      </c>
      <c r="F2858">
        <v>47</v>
      </c>
      <c r="G2858" s="12">
        <v>893</v>
      </c>
      <c r="H2858" s="12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1047</v>
      </c>
      <c r="N2858" t="b">
        <v>0</v>
      </c>
    </row>
    <row r="2859" spans="1:14" x14ac:dyDescent="0.3">
      <c r="A2859" t="s">
        <v>3905</v>
      </c>
      <c r="B2859" t="s">
        <v>1016</v>
      </c>
      <c r="C2859" s="1">
        <v>45541</v>
      </c>
      <c r="E2859" t="s">
        <v>39</v>
      </c>
      <c r="F2859">
        <v>13</v>
      </c>
      <c r="G2859" s="12">
        <v>637</v>
      </c>
      <c r="H2859" s="12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1050</v>
      </c>
      <c r="N2859" t="b">
        <v>1</v>
      </c>
    </row>
    <row r="2860" spans="1:14" x14ac:dyDescent="0.3">
      <c r="A2860" t="s">
        <v>3906</v>
      </c>
      <c r="B2860" t="s">
        <v>362</v>
      </c>
      <c r="C2860" s="1">
        <v>45311</v>
      </c>
      <c r="E2860" t="s">
        <v>32</v>
      </c>
      <c r="F2860">
        <v>73</v>
      </c>
      <c r="G2860" s="12">
        <v>14527</v>
      </c>
      <c r="H2860" s="12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1050</v>
      </c>
      <c r="N2860" t="b">
        <v>1</v>
      </c>
    </row>
    <row r="2861" spans="1:14" x14ac:dyDescent="0.3">
      <c r="A2861" t="s">
        <v>3907</v>
      </c>
      <c r="B2861" t="s">
        <v>148</v>
      </c>
      <c r="C2861" s="1">
        <v>45165</v>
      </c>
      <c r="E2861" t="s">
        <v>39</v>
      </c>
      <c r="F2861">
        <v>30</v>
      </c>
      <c r="G2861" s="12">
        <v>1470</v>
      </c>
      <c r="H2861" s="12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1050</v>
      </c>
      <c r="N2861" t="b">
        <v>0</v>
      </c>
    </row>
    <row r="2862" spans="1:14" x14ac:dyDescent="0.3">
      <c r="A2862" t="s">
        <v>3908</v>
      </c>
      <c r="B2862" t="s">
        <v>706</v>
      </c>
      <c r="C2862" s="1">
        <v>45502</v>
      </c>
      <c r="E2862" t="s">
        <v>39</v>
      </c>
      <c r="F2862">
        <v>24</v>
      </c>
      <c r="G2862" s="12">
        <v>1176</v>
      </c>
      <c r="H2862" s="1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1050</v>
      </c>
      <c r="N2862" t="b">
        <v>1</v>
      </c>
    </row>
    <row r="2863" spans="1:14" x14ac:dyDescent="0.3">
      <c r="A2863" t="s">
        <v>3909</v>
      </c>
      <c r="B2863" t="s">
        <v>750</v>
      </c>
      <c r="C2863" s="1">
        <v>45593</v>
      </c>
      <c r="E2863" t="s">
        <v>39</v>
      </c>
      <c r="F2863">
        <v>30</v>
      </c>
      <c r="G2863" s="12">
        <v>1470</v>
      </c>
      <c r="H2863" s="12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1050</v>
      </c>
      <c r="N2863" t="b">
        <v>0</v>
      </c>
    </row>
    <row r="2864" spans="1:14" x14ac:dyDescent="0.3">
      <c r="A2864" t="s">
        <v>3910</v>
      </c>
      <c r="B2864" t="s">
        <v>644</v>
      </c>
      <c r="C2864" s="1">
        <v>45554</v>
      </c>
      <c r="E2864" t="s">
        <v>32</v>
      </c>
      <c r="F2864">
        <v>13</v>
      </c>
      <c r="G2864" s="12">
        <v>2587</v>
      </c>
      <c r="H2864" s="12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1047</v>
      </c>
      <c r="N2864" t="b">
        <v>0</v>
      </c>
    </row>
    <row r="2865" spans="1:14" x14ac:dyDescent="0.3">
      <c r="A2865" t="s">
        <v>3911</v>
      </c>
      <c r="B2865" t="s">
        <v>55</v>
      </c>
      <c r="C2865" s="1">
        <v>45644</v>
      </c>
      <c r="E2865" t="s">
        <v>39</v>
      </c>
      <c r="F2865">
        <v>23</v>
      </c>
      <c r="G2865" s="12">
        <v>1127</v>
      </c>
      <c r="H2865" s="12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1047</v>
      </c>
      <c r="N2865" t="b">
        <v>1</v>
      </c>
    </row>
    <row r="2866" spans="1:14" x14ac:dyDescent="0.3">
      <c r="A2866" t="s">
        <v>3912</v>
      </c>
      <c r="B2866" t="s">
        <v>940</v>
      </c>
      <c r="C2866" s="1">
        <v>45627</v>
      </c>
      <c r="E2866" t="s">
        <v>39</v>
      </c>
      <c r="F2866">
        <v>2</v>
      </c>
      <c r="G2866" s="12">
        <v>0</v>
      </c>
      <c r="H2866" s="12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1047</v>
      </c>
      <c r="N2866" t="b">
        <v>1</v>
      </c>
    </row>
    <row r="2867" spans="1:14" x14ac:dyDescent="0.3">
      <c r="A2867" t="s">
        <v>3913</v>
      </c>
      <c r="B2867" t="s">
        <v>604</v>
      </c>
      <c r="C2867" s="1">
        <v>45649</v>
      </c>
      <c r="E2867" t="s">
        <v>39</v>
      </c>
      <c r="F2867">
        <v>15</v>
      </c>
      <c r="G2867" s="12">
        <v>735</v>
      </c>
      <c r="H2867" s="12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1050</v>
      </c>
      <c r="N2867" t="b">
        <v>1</v>
      </c>
    </row>
    <row r="2868" spans="1:14" x14ac:dyDescent="0.3">
      <c r="A2868" t="s">
        <v>3914</v>
      </c>
      <c r="B2868" t="s">
        <v>720</v>
      </c>
      <c r="C2868" s="1">
        <v>45316</v>
      </c>
      <c r="E2868" t="s">
        <v>39</v>
      </c>
      <c r="F2868">
        <v>39</v>
      </c>
      <c r="G2868" s="12">
        <v>1911</v>
      </c>
      <c r="H2868" s="12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1050</v>
      </c>
      <c r="N2868" t="b">
        <v>0</v>
      </c>
    </row>
    <row r="2869" spans="1:14" x14ac:dyDescent="0.3">
      <c r="A2869" t="s">
        <v>3915</v>
      </c>
      <c r="B2869" t="s">
        <v>858</v>
      </c>
      <c r="C2869" s="1">
        <v>45504</v>
      </c>
      <c r="D2869" s="1">
        <v>45606</v>
      </c>
      <c r="E2869" t="s">
        <v>39</v>
      </c>
      <c r="F2869">
        <v>29</v>
      </c>
      <c r="G2869" s="12">
        <v>1421</v>
      </c>
      <c r="H2869" s="12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1050</v>
      </c>
      <c r="N2869" t="b">
        <v>0</v>
      </c>
    </row>
    <row r="2870" spans="1:14" x14ac:dyDescent="0.3">
      <c r="A2870" t="s">
        <v>3916</v>
      </c>
      <c r="B2870" t="s">
        <v>964</v>
      </c>
      <c r="C2870" s="1">
        <v>45521</v>
      </c>
      <c r="E2870" t="s">
        <v>39</v>
      </c>
      <c r="F2870">
        <v>68</v>
      </c>
      <c r="G2870" s="12">
        <v>3332</v>
      </c>
      <c r="H2870" s="12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1050</v>
      </c>
      <c r="N2870" t="b">
        <v>0</v>
      </c>
    </row>
    <row r="2871" spans="1:14" x14ac:dyDescent="0.3">
      <c r="A2871" t="s">
        <v>3917</v>
      </c>
      <c r="B2871" t="s">
        <v>774</v>
      </c>
      <c r="C2871" s="1">
        <v>45235</v>
      </c>
      <c r="E2871" t="s">
        <v>39</v>
      </c>
      <c r="F2871">
        <v>1</v>
      </c>
      <c r="G2871" s="12">
        <v>49</v>
      </c>
      <c r="H2871" s="12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1047</v>
      </c>
      <c r="N2871" t="b">
        <v>0</v>
      </c>
    </row>
    <row r="2872" spans="1:14" x14ac:dyDescent="0.3">
      <c r="A2872" t="s">
        <v>3918</v>
      </c>
      <c r="B2872" t="s">
        <v>344</v>
      </c>
      <c r="C2872" s="1">
        <v>45516</v>
      </c>
      <c r="E2872" t="s">
        <v>39</v>
      </c>
      <c r="F2872">
        <v>70</v>
      </c>
      <c r="G2872" s="12">
        <v>3430</v>
      </c>
      <c r="H2872" s="1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1047</v>
      </c>
      <c r="N2872" t="b">
        <v>1</v>
      </c>
    </row>
    <row r="2873" spans="1:14" x14ac:dyDescent="0.3">
      <c r="A2873" t="s">
        <v>3919</v>
      </c>
      <c r="B2873" t="s">
        <v>616</v>
      </c>
      <c r="C2873" s="1">
        <v>45654</v>
      </c>
      <c r="E2873" t="s">
        <v>15</v>
      </c>
      <c r="F2873">
        <v>5</v>
      </c>
      <c r="G2873" s="12">
        <v>0</v>
      </c>
      <c r="H2873" s="12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1047</v>
      </c>
      <c r="N2873" t="b">
        <v>0</v>
      </c>
    </row>
    <row r="2874" spans="1:14" x14ac:dyDescent="0.3">
      <c r="A2874" t="s">
        <v>3920</v>
      </c>
      <c r="B2874" t="s">
        <v>828</v>
      </c>
      <c r="C2874" s="1">
        <v>45617</v>
      </c>
      <c r="E2874" t="s">
        <v>15</v>
      </c>
      <c r="F2874">
        <v>69</v>
      </c>
      <c r="G2874" s="12">
        <v>1311</v>
      </c>
      <c r="H2874" s="12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1050</v>
      </c>
      <c r="N2874" t="b">
        <v>1</v>
      </c>
    </row>
    <row r="2875" spans="1:14" x14ac:dyDescent="0.3">
      <c r="A2875" t="s">
        <v>3921</v>
      </c>
      <c r="B2875" t="s">
        <v>162</v>
      </c>
      <c r="C2875" s="1">
        <v>45406</v>
      </c>
      <c r="E2875" t="s">
        <v>32</v>
      </c>
      <c r="F2875">
        <v>49</v>
      </c>
      <c r="G2875" s="12">
        <v>9751</v>
      </c>
      <c r="H2875" s="12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1047</v>
      </c>
      <c r="N2875" t="b">
        <v>0</v>
      </c>
    </row>
    <row r="2876" spans="1:14" x14ac:dyDescent="0.3">
      <c r="A2876" t="s">
        <v>3922</v>
      </c>
      <c r="B2876" t="s">
        <v>850</v>
      </c>
      <c r="C2876" s="1">
        <v>45376</v>
      </c>
      <c r="D2876" s="1">
        <v>45546</v>
      </c>
      <c r="E2876" t="s">
        <v>15</v>
      </c>
      <c r="F2876">
        <v>44</v>
      </c>
      <c r="G2876" s="12">
        <v>836</v>
      </c>
      <c r="H2876" s="12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1050</v>
      </c>
      <c r="N2876" t="b">
        <v>1</v>
      </c>
    </row>
    <row r="2877" spans="1:14" x14ac:dyDescent="0.3">
      <c r="A2877" t="s">
        <v>3923</v>
      </c>
      <c r="B2877" t="s">
        <v>814</v>
      </c>
      <c r="C2877" s="1">
        <v>45519</v>
      </c>
      <c r="E2877" t="s">
        <v>15</v>
      </c>
      <c r="F2877">
        <v>30</v>
      </c>
      <c r="G2877" s="12">
        <v>570</v>
      </c>
      <c r="H2877" s="12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1047</v>
      </c>
      <c r="N2877" t="b">
        <v>1</v>
      </c>
    </row>
    <row r="2878" spans="1:14" x14ac:dyDescent="0.3">
      <c r="A2878" t="s">
        <v>3924</v>
      </c>
      <c r="B2878" t="s">
        <v>560</v>
      </c>
      <c r="C2878" s="1">
        <v>45614</v>
      </c>
      <c r="E2878" t="s">
        <v>39</v>
      </c>
      <c r="F2878">
        <v>41</v>
      </c>
      <c r="G2878" s="12">
        <v>2009</v>
      </c>
      <c r="H2878" s="12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1047</v>
      </c>
      <c r="N2878" t="b">
        <v>1</v>
      </c>
    </row>
    <row r="2879" spans="1:14" x14ac:dyDescent="0.3">
      <c r="A2879" t="s">
        <v>3925</v>
      </c>
      <c r="B2879" t="s">
        <v>190</v>
      </c>
      <c r="C2879" s="1">
        <v>45547</v>
      </c>
      <c r="E2879" t="s">
        <v>32</v>
      </c>
      <c r="F2879">
        <v>56</v>
      </c>
      <c r="G2879" s="12">
        <v>11144</v>
      </c>
      <c r="H2879" s="12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1047</v>
      </c>
      <c r="N2879" t="b">
        <v>1</v>
      </c>
    </row>
    <row r="2880" spans="1:14" x14ac:dyDescent="0.3">
      <c r="A2880" t="s">
        <v>3926</v>
      </c>
      <c r="B2880" t="s">
        <v>326</v>
      </c>
      <c r="C2880" s="1">
        <v>45621</v>
      </c>
      <c r="E2880" t="s">
        <v>39</v>
      </c>
      <c r="F2880">
        <v>33</v>
      </c>
      <c r="G2880" s="12">
        <v>1617</v>
      </c>
      <c r="H2880" s="12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1050</v>
      </c>
      <c r="N2880" t="b">
        <v>1</v>
      </c>
    </row>
    <row r="2881" spans="1:14" x14ac:dyDescent="0.3">
      <c r="A2881" t="s">
        <v>3927</v>
      </c>
      <c r="B2881" t="s">
        <v>452</v>
      </c>
      <c r="C2881" s="1">
        <v>45496</v>
      </c>
      <c r="E2881" t="s">
        <v>32</v>
      </c>
      <c r="F2881">
        <v>15</v>
      </c>
      <c r="G2881" s="12">
        <v>2985</v>
      </c>
      <c r="H2881" s="12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1047</v>
      </c>
      <c r="N2881" t="b">
        <v>0</v>
      </c>
    </row>
    <row r="2882" spans="1:14" x14ac:dyDescent="0.3">
      <c r="A2882" t="s">
        <v>3928</v>
      </c>
      <c r="B2882" t="s">
        <v>992</v>
      </c>
      <c r="C2882" s="1">
        <v>45147</v>
      </c>
      <c r="D2882" s="1">
        <v>45579</v>
      </c>
      <c r="E2882" t="s">
        <v>15</v>
      </c>
      <c r="F2882">
        <v>12</v>
      </c>
      <c r="G2882" s="12">
        <v>228</v>
      </c>
      <c r="H2882" s="1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1047</v>
      </c>
      <c r="N2882" t="b">
        <v>1</v>
      </c>
    </row>
    <row r="2883" spans="1:14" x14ac:dyDescent="0.3">
      <c r="A2883" t="s">
        <v>3929</v>
      </c>
      <c r="B2883" t="s">
        <v>802</v>
      </c>
      <c r="C2883" s="1">
        <v>45620</v>
      </c>
      <c r="E2883" t="s">
        <v>15</v>
      </c>
      <c r="F2883">
        <v>41</v>
      </c>
      <c r="G2883" s="12">
        <v>779</v>
      </c>
      <c r="H2883" s="12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1050</v>
      </c>
      <c r="N2883" t="b">
        <v>1</v>
      </c>
    </row>
    <row r="2884" spans="1:14" x14ac:dyDescent="0.3">
      <c r="A2884" t="s">
        <v>3930</v>
      </c>
      <c r="B2884" t="s">
        <v>840</v>
      </c>
      <c r="C2884" s="1">
        <v>45628</v>
      </c>
      <c r="E2884" t="s">
        <v>15</v>
      </c>
      <c r="F2884">
        <v>26</v>
      </c>
      <c r="G2884" s="12">
        <v>494</v>
      </c>
      <c r="H2884" s="12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1047</v>
      </c>
      <c r="N2884" t="b">
        <v>0</v>
      </c>
    </row>
    <row r="2885" spans="1:14" x14ac:dyDescent="0.3">
      <c r="A2885" t="s">
        <v>3931</v>
      </c>
      <c r="B2885" t="s">
        <v>318</v>
      </c>
      <c r="C2885" s="1">
        <v>45357</v>
      </c>
      <c r="E2885" t="s">
        <v>15</v>
      </c>
      <c r="F2885">
        <v>41</v>
      </c>
      <c r="G2885" s="12">
        <v>779</v>
      </c>
      <c r="H2885" s="12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1047</v>
      </c>
      <c r="N2885" t="b">
        <v>1</v>
      </c>
    </row>
    <row r="2886" spans="1:14" x14ac:dyDescent="0.3">
      <c r="A2886" t="s">
        <v>3932</v>
      </c>
      <c r="B2886" t="s">
        <v>676</v>
      </c>
      <c r="C2886" s="1">
        <v>45471</v>
      </c>
      <c r="E2886" t="s">
        <v>15</v>
      </c>
      <c r="F2886">
        <v>12</v>
      </c>
      <c r="G2886" s="12">
        <v>228</v>
      </c>
      <c r="H2886" s="12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1050</v>
      </c>
      <c r="N2886" t="b">
        <v>0</v>
      </c>
    </row>
    <row r="2887" spans="1:14" x14ac:dyDescent="0.3">
      <c r="A2887" t="s">
        <v>3933</v>
      </c>
      <c r="B2887" t="s">
        <v>796</v>
      </c>
      <c r="C2887" s="1">
        <v>45397</v>
      </c>
      <c r="E2887" t="s">
        <v>39</v>
      </c>
      <c r="F2887">
        <v>40</v>
      </c>
      <c r="G2887" s="12">
        <v>1960</v>
      </c>
      <c r="H2887" s="12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1050</v>
      </c>
      <c r="N2887" t="b">
        <v>1</v>
      </c>
    </row>
    <row r="2888" spans="1:14" x14ac:dyDescent="0.3">
      <c r="A2888" t="s">
        <v>3934</v>
      </c>
      <c r="B2888" t="s">
        <v>164</v>
      </c>
      <c r="C2888" s="1">
        <v>45546</v>
      </c>
      <c r="E2888" t="s">
        <v>15</v>
      </c>
      <c r="F2888">
        <v>6</v>
      </c>
      <c r="G2888" s="12">
        <v>0</v>
      </c>
      <c r="H2888" s="12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1047</v>
      </c>
      <c r="N2888" t="b">
        <v>1</v>
      </c>
    </row>
    <row r="2889" spans="1:14" x14ac:dyDescent="0.3">
      <c r="A2889" t="s">
        <v>3935</v>
      </c>
      <c r="B2889" t="s">
        <v>104</v>
      </c>
      <c r="C2889" s="1">
        <v>45596</v>
      </c>
      <c r="E2889" t="s">
        <v>32</v>
      </c>
      <c r="F2889">
        <v>11</v>
      </c>
      <c r="G2889" s="12">
        <v>2189</v>
      </c>
      <c r="H2889" s="12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1050</v>
      </c>
      <c r="N2889" t="b">
        <v>0</v>
      </c>
    </row>
    <row r="2890" spans="1:14" x14ac:dyDescent="0.3">
      <c r="A2890" t="s">
        <v>3936</v>
      </c>
      <c r="B2890" t="s">
        <v>47</v>
      </c>
      <c r="C2890" s="1">
        <v>45561</v>
      </c>
      <c r="E2890" t="s">
        <v>32</v>
      </c>
      <c r="F2890">
        <v>42</v>
      </c>
      <c r="G2890" s="12">
        <v>8358</v>
      </c>
      <c r="H2890" s="12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1047</v>
      </c>
      <c r="N2890" t="b">
        <v>0</v>
      </c>
    </row>
    <row r="2891" spans="1:14" x14ac:dyDescent="0.3">
      <c r="A2891" t="s">
        <v>3937</v>
      </c>
      <c r="B2891" t="s">
        <v>126</v>
      </c>
      <c r="C2891" s="1">
        <v>45643</v>
      </c>
      <c r="D2891" s="1">
        <v>45655</v>
      </c>
      <c r="E2891" t="s">
        <v>32</v>
      </c>
      <c r="F2891">
        <v>15</v>
      </c>
      <c r="G2891" s="12">
        <v>2985</v>
      </c>
      <c r="H2891" s="12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1050</v>
      </c>
      <c r="N2891" t="b">
        <v>1</v>
      </c>
    </row>
    <row r="2892" spans="1:14" x14ac:dyDescent="0.3">
      <c r="A2892" t="s">
        <v>3938</v>
      </c>
      <c r="B2892" t="s">
        <v>228</v>
      </c>
      <c r="C2892" s="1">
        <v>45645</v>
      </c>
      <c r="E2892" t="s">
        <v>32</v>
      </c>
      <c r="F2892">
        <v>56</v>
      </c>
      <c r="G2892" s="12">
        <v>11144</v>
      </c>
      <c r="H2892" s="1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1050</v>
      </c>
      <c r="N2892" t="b">
        <v>0</v>
      </c>
    </row>
    <row r="2893" spans="1:14" x14ac:dyDescent="0.3">
      <c r="A2893" t="s">
        <v>3939</v>
      </c>
      <c r="B2893" t="s">
        <v>832</v>
      </c>
      <c r="C2893" s="1">
        <v>45338</v>
      </c>
      <c r="E2893" t="s">
        <v>39</v>
      </c>
      <c r="F2893">
        <v>29</v>
      </c>
      <c r="G2893" s="12">
        <v>1421</v>
      </c>
      <c r="H2893" s="12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1047</v>
      </c>
      <c r="N2893" t="b">
        <v>1</v>
      </c>
    </row>
    <row r="2894" spans="1:14" x14ac:dyDescent="0.3">
      <c r="A2894" t="s">
        <v>3940</v>
      </c>
      <c r="B2894" t="s">
        <v>338</v>
      </c>
      <c r="C2894" s="1">
        <v>45368</v>
      </c>
      <c r="E2894" t="s">
        <v>39</v>
      </c>
      <c r="F2894">
        <v>27</v>
      </c>
      <c r="G2894" s="12">
        <v>1323</v>
      </c>
      <c r="H2894" s="12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1047</v>
      </c>
      <c r="N2894" t="b">
        <v>0</v>
      </c>
    </row>
    <row r="2895" spans="1:14" x14ac:dyDescent="0.3">
      <c r="A2895" t="s">
        <v>3941</v>
      </c>
      <c r="B2895" t="s">
        <v>132</v>
      </c>
      <c r="C2895" s="1">
        <v>45515</v>
      </c>
      <c r="E2895" t="s">
        <v>32</v>
      </c>
      <c r="F2895">
        <v>13</v>
      </c>
      <c r="G2895" s="12">
        <v>2587</v>
      </c>
      <c r="H2895" s="12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1050</v>
      </c>
      <c r="N2895" t="b">
        <v>1</v>
      </c>
    </row>
    <row r="2896" spans="1:14" x14ac:dyDescent="0.3">
      <c r="A2896" t="s">
        <v>3942</v>
      </c>
      <c r="B2896" t="s">
        <v>414</v>
      </c>
      <c r="C2896" s="1">
        <v>45334</v>
      </c>
      <c r="E2896" t="s">
        <v>39</v>
      </c>
      <c r="F2896">
        <v>27</v>
      </c>
      <c r="G2896" s="12">
        <v>1323</v>
      </c>
      <c r="H2896" s="12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1047</v>
      </c>
      <c r="N2896" t="b">
        <v>1</v>
      </c>
    </row>
    <row r="2897" spans="1:14" x14ac:dyDescent="0.3">
      <c r="A2897" t="s">
        <v>3943</v>
      </c>
      <c r="B2897" t="s">
        <v>256</v>
      </c>
      <c r="C2897" s="1">
        <v>45400</v>
      </c>
      <c r="E2897" t="s">
        <v>32</v>
      </c>
      <c r="F2897">
        <v>2</v>
      </c>
      <c r="G2897" s="12">
        <v>398</v>
      </c>
      <c r="H2897" s="12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1050</v>
      </c>
      <c r="N2897" t="b">
        <v>0</v>
      </c>
    </row>
    <row r="2898" spans="1:14" x14ac:dyDescent="0.3">
      <c r="A2898" t="s">
        <v>3944</v>
      </c>
      <c r="B2898" t="s">
        <v>524</v>
      </c>
      <c r="C2898" s="1">
        <v>45383</v>
      </c>
      <c r="E2898" t="s">
        <v>32</v>
      </c>
      <c r="F2898">
        <v>7</v>
      </c>
      <c r="G2898" s="12">
        <v>1393</v>
      </c>
      <c r="H2898" s="12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1047</v>
      </c>
      <c r="N2898" t="b">
        <v>1</v>
      </c>
    </row>
    <row r="2899" spans="1:14" x14ac:dyDescent="0.3">
      <c r="A2899" t="s">
        <v>3945</v>
      </c>
      <c r="B2899" t="s">
        <v>420</v>
      </c>
      <c r="C2899" s="1">
        <v>45387</v>
      </c>
      <c r="E2899" t="s">
        <v>39</v>
      </c>
      <c r="F2899">
        <v>19</v>
      </c>
      <c r="G2899" s="12">
        <v>931</v>
      </c>
      <c r="H2899" s="12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1050</v>
      </c>
      <c r="N2899" t="b">
        <v>1</v>
      </c>
    </row>
    <row r="2900" spans="1:14" x14ac:dyDescent="0.3">
      <c r="A2900" t="s">
        <v>3946</v>
      </c>
      <c r="B2900" t="s">
        <v>1004</v>
      </c>
      <c r="C2900" s="1">
        <v>45340</v>
      </c>
      <c r="E2900" t="s">
        <v>32</v>
      </c>
      <c r="F2900">
        <v>56</v>
      </c>
      <c r="G2900" s="12">
        <v>0</v>
      </c>
      <c r="H2900" s="12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1047</v>
      </c>
      <c r="N2900" t="b">
        <v>1</v>
      </c>
    </row>
    <row r="2901" spans="1:14" x14ac:dyDescent="0.3">
      <c r="A2901" t="s">
        <v>3947</v>
      </c>
      <c r="B2901" t="s">
        <v>492</v>
      </c>
      <c r="C2901" s="1">
        <v>45615</v>
      </c>
      <c r="E2901" t="s">
        <v>32</v>
      </c>
      <c r="F2901">
        <v>7</v>
      </c>
      <c r="G2901" s="12">
        <v>1393</v>
      </c>
      <c r="H2901" s="12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1047</v>
      </c>
      <c r="N2901" t="b">
        <v>1</v>
      </c>
    </row>
    <row r="2902" spans="1:14" x14ac:dyDescent="0.3">
      <c r="A2902" t="s">
        <v>3948</v>
      </c>
      <c r="B2902" t="s">
        <v>436</v>
      </c>
      <c r="C2902" s="1">
        <v>45603</v>
      </c>
      <c r="E2902" t="s">
        <v>15</v>
      </c>
      <c r="F2902">
        <v>23</v>
      </c>
      <c r="G2902" s="12">
        <v>437</v>
      </c>
      <c r="H2902" s="1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1050</v>
      </c>
      <c r="N2902" t="b">
        <v>1</v>
      </c>
    </row>
    <row r="2903" spans="1:14" x14ac:dyDescent="0.3">
      <c r="A2903" t="s">
        <v>3949</v>
      </c>
      <c r="B2903" t="s">
        <v>408</v>
      </c>
      <c r="C2903" s="1">
        <v>45589</v>
      </c>
      <c r="E2903" t="s">
        <v>32</v>
      </c>
      <c r="F2903">
        <v>34</v>
      </c>
      <c r="G2903" s="12">
        <v>6766</v>
      </c>
      <c r="H2903" s="12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1047</v>
      </c>
      <c r="N2903" t="b">
        <v>1</v>
      </c>
    </row>
    <row r="2904" spans="1:14" x14ac:dyDescent="0.3">
      <c r="A2904" t="s">
        <v>3950</v>
      </c>
      <c r="B2904" t="s">
        <v>688</v>
      </c>
      <c r="C2904" s="1">
        <v>45632</v>
      </c>
      <c r="E2904" t="s">
        <v>39</v>
      </c>
      <c r="F2904">
        <v>179</v>
      </c>
      <c r="G2904" s="12">
        <v>8771</v>
      </c>
      <c r="H2904" s="12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1047</v>
      </c>
      <c r="N2904" t="b">
        <v>0</v>
      </c>
    </row>
    <row r="2905" spans="1:14" x14ac:dyDescent="0.3">
      <c r="A2905" t="s">
        <v>3951</v>
      </c>
      <c r="B2905" t="s">
        <v>858</v>
      </c>
      <c r="C2905" s="1">
        <v>45137</v>
      </c>
      <c r="E2905" t="s">
        <v>15</v>
      </c>
      <c r="F2905">
        <v>29</v>
      </c>
      <c r="G2905" s="12">
        <v>551</v>
      </c>
      <c r="H2905" s="12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1047</v>
      </c>
      <c r="N2905" t="b">
        <v>1</v>
      </c>
    </row>
    <row r="2906" spans="1:14" x14ac:dyDescent="0.3">
      <c r="A2906" t="s">
        <v>3952</v>
      </c>
      <c r="B2906" t="s">
        <v>242</v>
      </c>
      <c r="C2906" s="1">
        <v>45655</v>
      </c>
      <c r="E2906" t="s">
        <v>32</v>
      </c>
      <c r="F2906">
        <v>5</v>
      </c>
      <c r="G2906" s="12">
        <v>995</v>
      </c>
      <c r="H2906" s="12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1047</v>
      </c>
      <c r="N2906" t="b">
        <v>1</v>
      </c>
    </row>
    <row r="2907" spans="1:14" x14ac:dyDescent="0.3">
      <c r="A2907" t="s">
        <v>3953</v>
      </c>
      <c r="B2907" t="s">
        <v>114</v>
      </c>
      <c r="C2907" s="1">
        <v>45143</v>
      </c>
      <c r="E2907" t="s">
        <v>39</v>
      </c>
      <c r="F2907">
        <v>34</v>
      </c>
      <c r="G2907" s="12">
        <v>1666</v>
      </c>
      <c r="H2907" s="12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1050</v>
      </c>
      <c r="N2907" t="b">
        <v>1</v>
      </c>
    </row>
    <row r="2908" spans="1:14" x14ac:dyDescent="0.3">
      <c r="A2908" t="s">
        <v>3954</v>
      </c>
      <c r="B2908" t="s">
        <v>564</v>
      </c>
      <c r="C2908" s="1">
        <v>45656</v>
      </c>
      <c r="D2908" s="1">
        <v>45657</v>
      </c>
      <c r="E2908" t="s">
        <v>15</v>
      </c>
      <c r="F2908">
        <v>25</v>
      </c>
      <c r="G2908" s="12">
        <v>475</v>
      </c>
      <c r="H2908" s="12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1050</v>
      </c>
      <c r="N2908" t="b">
        <v>1</v>
      </c>
    </row>
    <row r="2909" spans="1:14" x14ac:dyDescent="0.3">
      <c r="A2909" t="s">
        <v>3955</v>
      </c>
      <c r="B2909" t="s">
        <v>450</v>
      </c>
      <c r="C2909" s="1">
        <v>45625</v>
      </c>
      <c r="E2909" t="s">
        <v>32</v>
      </c>
      <c r="F2909">
        <v>24</v>
      </c>
      <c r="G2909" s="12">
        <v>4776</v>
      </c>
      <c r="H2909" s="12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1050</v>
      </c>
      <c r="N2909" t="b">
        <v>1</v>
      </c>
    </row>
    <row r="2910" spans="1:14" x14ac:dyDescent="0.3">
      <c r="A2910" t="s">
        <v>3956</v>
      </c>
      <c r="B2910" t="s">
        <v>884</v>
      </c>
      <c r="C2910" s="1">
        <v>45386</v>
      </c>
      <c r="E2910" t="s">
        <v>15</v>
      </c>
      <c r="F2910">
        <v>24</v>
      </c>
      <c r="G2910" s="12">
        <v>456</v>
      </c>
      <c r="H2910" s="12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1050</v>
      </c>
      <c r="N2910" t="b">
        <v>1</v>
      </c>
    </row>
    <row r="2911" spans="1:14" x14ac:dyDescent="0.3">
      <c r="A2911" t="s">
        <v>3957</v>
      </c>
      <c r="B2911" t="s">
        <v>734</v>
      </c>
      <c r="C2911" s="1">
        <v>45622</v>
      </c>
      <c r="E2911" t="s">
        <v>32</v>
      </c>
      <c r="F2911">
        <v>29</v>
      </c>
      <c r="G2911" s="12">
        <v>5771</v>
      </c>
      <c r="H2911" s="12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1050</v>
      </c>
      <c r="N2911" t="b">
        <v>0</v>
      </c>
    </row>
    <row r="2912" spans="1:14" x14ac:dyDescent="0.3">
      <c r="A2912" t="s">
        <v>3958</v>
      </c>
      <c r="B2912" t="s">
        <v>922</v>
      </c>
      <c r="C2912" s="1">
        <v>45648</v>
      </c>
      <c r="E2912" t="s">
        <v>39</v>
      </c>
      <c r="F2912">
        <v>20</v>
      </c>
      <c r="G2912" s="12">
        <v>0</v>
      </c>
      <c r="H2912" s="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1047</v>
      </c>
      <c r="N2912" t="b">
        <v>1</v>
      </c>
    </row>
    <row r="2913" spans="1:14" x14ac:dyDescent="0.3">
      <c r="A2913" t="s">
        <v>3959</v>
      </c>
      <c r="B2913" t="s">
        <v>802</v>
      </c>
      <c r="C2913" s="1">
        <v>45624</v>
      </c>
      <c r="E2913" t="s">
        <v>39</v>
      </c>
      <c r="F2913">
        <v>41</v>
      </c>
      <c r="G2913" s="12">
        <v>2009</v>
      </c>
      <c r="H2913" s="12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1050</v>
      </c>
      <c r="N2913" t="b">
        <v>1</v>
      </c>
    </row>
    <row r="2914" spans="1:14" x14ac:dyDescent="0.3">
      <c r="A2914" t="s">
        <v>3960</v>
      </c>
      <c r="B2914" t="s">
        <v>350</v>
      </c>
      <c r="C2914" s="1">
        <v>45590</v>
      </c>
      <c r="E2914" t="s">
        <v>39</v>
      </c>
      <c r="F2914">
        <v>23</v>
      </c>
      <c r="G2914" s="12">
        <v>1127</v>
      </c>
      <c r="H2914" s="12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1050</v>
      </c>
      <c r="N2914" t="b">
        <v>1</v>
      </c>
    </row>
    <row r="2915" spans="1:14" x14ac:dyDescent="0.3">
      <c r="A2915" t="s">
        <v>3961</v>
      </c>
      <c r="B2915" t="s">
        <v>754</v>
      </c>
      <c r="C2915" s="1">
        <v>45629</v>
      </c>
      <c r="E2915" t="s">
        <v>32</v>
      </c>
      <c r="F2915">
        <v>19</v>
      </c>
      <c r="G2915" s="12">
        <v>0</v>
      </c>
      <c r="H2915" s="12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1047</v>
      </c>
      <c r="N2915" t="b">
        <v>1</v>
      </c>
    </row>
    <row r="2916" spans="1:14" x14ac:dyDescent="0.3">
      <c r="A2916" t="s">
        <v>3962</v>
      </c>
      <c r="B2916" t="s">
        <v>972</v>
      </c>
      <c r="C2916" s="1">
        <v>45289</v>
      </c>
      <c r="E2916" t="s">
        <v>39</v>
      </c>
      <c r="F2916">
        <v>21</v>
      </c>
      <c r="G2916" s="12">
        <v>1029</v>
      </c>
      <c r="H2916" s="12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1047</v>
      </c>
      <c r="N2916" t="b">
        <v>1</v>
      </c>
    </row>
    <row r="2917" spans="1:14" x14ac:dyDescent="0.3">
      <c r="A2917" t="s">
        <v>3963</v>
      </c>
      <c r="B2917" t="s">
        <v>414</v>
      </c>
      <c r="C2917" s="1">
        <v>45250</v>
      </c>
      <c r="E2917" t="s">
        <v>15</v>
      </c>
      <c r="F2917">
        <v>9</v>
      </c>
      <c r="G2917" s="12">
        <v>0</v>
      </c>
      <c r="H2917" s="12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1047</v>
      </c>
      <c r="N2917" t="b">
        <v>1</v>
      </c>
    </row>
    <row r="2918" spans="1:14" x14ac:dyDescent="0.3">
      <c r="A2918" t="s">
        <v>3964</v>
      </c>
      <c r="B2918" t="s">
        <v>562</v>
      </c>
      <c r="C2918" s="1">
        <v>45608</v>
      </c>
      <c r="E2918" t="s">
        <v>15</v>
      </c>
      <c r="F2918">
        <v>23</v>
      </c>
      <c r="G2918" s="12">
        <v>437</v>
      </c>
      <c r="H2918" s="12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1047</v>
      </c>
      <c r="N2918" t="b">
        <v>1</v>
      </c>
    </row>
    <row r="2919" spans="1:14" x14ac:dyDescent="0.3">
      <c r="A2919" t="s">
        <v>3965</v>
      </c>
      <c r="B2919" t="s">
        <v>232</v>
      </c>
      <c r="C2919" s="1">
        <v>45593</v>
      </c>
      <c r="E2919" t="s">
        <v>15</v>
      </c>
      <c r="F2919">
        <v>20</v>
      </c>
      <c r="G2919" s="12">
        <v>0</v>
      </c>
      <c r="H2919" s="12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1047</v>
      </c>
      <c r="N2919" t="b">
        <v>1</v>
      </c>
    </row>
    <row r="2920" spans="1:14" x14ac:dyDescent="0.3">
      <c r="A2920" t="s">
        <v>3966</v>
      </c>
      <c r="B2920" t="s">
        <v>936</v>
      </c>
      <c r="C2920" s="1">
        <v>45635</v>
      </c>
      <c r="E2920" t="s">
        <v>39</v>
      </c>
      <c r="F2920">
        <v>17</v>
      </c>
      <c r="G2920" s="12">
        <v>0</v>
      </c>
      <c r="H2920" s="12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1047</v>
      </c>
      <c r="N2920" t="b">
        <v>1</v>
      </c>
    </row>
    <row r="2921" spans="1:14" x14ac:dyDescent="0.3">
      <c r="A2921" t="s">
        <v>3967</v>
      </c>
      <c r="B2921" t="s">
        <v>670</v>
      </c>
      <c r="C2921" s="1">
        <v>45550</v>
      </c>
      <c r="D2921" s="1">
        <v>45567</v>
      </c>
      <c r="E2921" t="s">
        <v>39</v>
      </c>
      <c r="F2921">
        <v>1</v>
      </c>
      <c r="G2921" s="12">
        <v>49</v>
      </c>
      <c r="H2921" s="12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1050</v>
      </c>
      <c r="N2921" t="b">
        <v>1</v>
      </c>
    </row>
    <row r="2922" spans="1:14" x14ac:dyDescent="0.3">
      <c r="A2922" t="s">
        <v>3968</v>
      </c>
      <c r="B2922" t="s">
        <v>438</v>
      </c>
      <c r="C2922" s="1">
        <v>44938</v>
      </c>
      <c r="E2922" t="s">
        <v>39</v>
      </c>
      <c r="F2922">
        <v>19</v>
      </c>
      <c r="G2922" s="12">
        <v>931</v>
      </c>
      <c r="H2922" s="1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1047</v>
      </c>
      <c r="N2922" t="b">
        <v>1</v>
      </c>
    </row>
    <row r="2923" spans="1:14" x14ac:dyDescent="0.3">
      <c r="A2923" t="s">
        <v>3969</v>
      </c>
      <c r="B2923" t="s">
        <v>474</v>
      </c>
      <c r="C2923" s="1">
        <v>45407</v>
      </c>
      <c r="E2923" t="s">
        <v>32</v>
      </c>
      <c r="F2923">
        <v>5</v>
      </c>
      <c r="G2923" s="12">
        <v>995</v>
      </c>
      <c r="H2923" s="12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1050</v>
      </c>
      <c r="N2923" t="b">
        <v>1</v>
      </c>
    </row>
    <row r="2924" spans="1:14" x14ac:dyDescent="0.3">
      <c r="A2924" t="s">
        <v>3970</v>
      </c>
      <c r="B2924" t="s">
        <v>564</v>
      </c>
      <c r="C2924" s="1">
        <v>45657</v>
      </c>
      <c r="E2924" t="s">
        <v>32</v>
      </c>
      <c r="F2924">
        <v>52</v>
      </c>
      <c r="G2924" s="12">
        <v>10348</v>
      </c>
      <c r="H2924" s="12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1050</v>
      </c>
      <c r="N2924" t="b">
        <v>1</v>
      </c>
    </row>
    <row r="2925" spans="1:14" x14ac:dyDescent="0.3">
      <c r="A2925" t="s">
        <v>3971</v>
      </c>
      <c r="B2925" t="s">
        <v>606</v>
      </c>
      <c r="C2925" s="1">
        <v>45636</v>
      </c>
      <c r="E2925" t="s">
        <v>15</v>
      </c>
      <c r="F2925">
        <v>51</v>
      </c>
      <c r="G2925" s="12">
        <v>0</v>
      </c>
      <c r="H2925" s="12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1047</v>
      </c>
      <c r="N2925" t="b">
        <v>1</v>
      </c>
    </row>
    <row r="2926" spans="1:14" x14ac:dyDescent="0.3">
      <c r="A2926" t="s">
        <v>3972</v>
      </c>
      <c r="B2926" t="s">
        <v>326</v>
      </c>
      <c r="C2926" s="1">
        <v>45644</v>
      </c>
      <c r="E2926" t="s">
        <v>32</v>
      </c>
      <c r="F2926">
        <v>33</v>
      </c>
      <c r="G2926" s="12">
        <v>0</v>
      </c>
      <c r="H2926" s="12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1047</v>
      </c>
      <c r="N2926" t="b">
        <v>1</v>
      </c>
    </row>
    <row r="2927" spans="1:14" x14ac:dyDescent="0.3">
      <c r="A2927" t="s">
        <v>3973</v>
      </c>
      <c r="B2927" t="s">
        <v>852</v>
      </c>
      <c r="C2927" s="1">
        <v>45515</v>
      </c>
      <c r="E2927" t="s">
        <v>32</v>
      </c>
      <c r="F2927">
        <v>3</v>
      </c>
      <c r="G2927" s="12">
        <v>0</v>
      </c>
      <c r="H2927" s="12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1050</v>
      </c>
      <c r="N2927" t="b">
        <v>0</v>
      </c>
    </row>
    <row r="2928" spans="1:14" x14ac:dyDescent="0.3">
      <c r="A2928" t="s">
        <v>3974</v>
      </c>
      <c r="B2928" t="s">
        <v>512</v>
      </c>
      <c r="C2928" s="1">
        <v>45537</v>
      </c>
      <c r="E2928" t="s">
        <v>15</v>
      </c>
      <c r="F2928">
        <v>27</v>
      </c>
      <c r="G2928" s="12">
        <v>0</v>
      </c>
      <c r="H2928" s="12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1050</v>
      </c>
      <c r="N2928" t="b">
        <v>0</v>
      </c>
    </row>
    <row r="2929" spans="1:14" x14ac:dyDescent="0.3">
      <c r="A2929" t="s">
        <v>3975</v>
      </c>
      <c r="B2929" t="s">
        <v>978</v>
      </c>
      <c r="C2929" s="1">
        <v>45632</v>
      </c>
      <c r="D2929" s="1">
        <v>45636</v>
      </c>
      <c r="E2929" t="s">
        <v>32</v>
      </c>
      <c r="F2929">
        <v>45</v>
      </c>
      <c r="G2929" s="12">
        <v>8955</v>
      </c>
      <c r="H2929" s="12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1047</v>
      </c>
      <c r="N2929" t="b">
        <v>1</v>
      </c>
    </row>
    <row r="2930" spans="1:14" x14ac:dyDescent="0.3">
      <c r="A2930" t="s">
        <v>3976</v>
      </c>
      <c r="B2930" t="s">
        <v>566</v>
      </c>
      <c r="C2930" s="1">
        <v>45640</v>
      </c>
      <c r="E2930" t="s">
        <v>39</v>
      </c>
      <c r="F2930">
        <v>11</v>
      </c>
      <c r="G2930" s="12">
        <v>0</v>
      </c>
      <c r="H2930" s="12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1047</v>
      </c>
      <c r="N2930" t="b">
        <v>1</v>
      </c>
    </row>
    <row r="2931" spans="1:14" x14ac:dyDescent="0.3">
      <c r="A2931" t="s">
        <v>3977</v>
      </c>
      <c r="B2931" t="s">
        <v>354</v>
      </c>
      <c r="C2931" s="1">
        <v>45655</v>
      </c>
      <c r="E2931" t="s">
        <v>15</v>
      </c>
      <c r="F2931">
        <v>11</v>
      </c>
      <c r="G2931" s="12">
        <v>209</v>
      </c>
      <c r="H2931" s="12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1047</v>
      </c>
      <c r="N2931" t="b">
        <v>0</v>
      </c>
    </row>
    <row r="2932" spans="1:14" x14ac:dyDescent="0.3">
      <c r="A2932" t="s">
        <v>3978</v>
      </c>
      <c r="B2932" t="s">
        <v>510</v>
      </c>
      <c r="C2932" s="1">
        <v>45139</v>
      </c>
      <c r="E2932" t="s">
        <v>15</v>
      </c>
      <c r="F2932">
        <v>55</v>
      </c>
      <c r="G2932" s="12">
        <v>1045</v>
      </c>
      <c r="H2932" s="1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1050</v>
      </c>
      <c r="N2932" t="b">
        <v>1</v>
      </c>
    </row>
    <row r="2933" spans="1:14" x14ac:dyDescent="0.3">
      <c r="A2933" t="s">
        <v>3979</v>
      </c>
      <c r="B2933" t="s">
        <v>748</v>
      </c>
      <c r="C2933" s="1">
        <v>45494</v>
      </c>
      <c r="E2933" t="s">
        <v>15</v>
      </c>
      <c r="F2933">
        <v>22</v>
      </c>
      <c r="G2933" s="12">
        <v>418</v>
      </c>
      <c r="H2933" s="12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1047</v>
      </c>
      <c r="N2933" t="b">
        <v>1</v>
      </c>
    </row>
    <row r="2934" spans="1:14" x14ac:dyDescent="0.3">
      <c r="A2934" t="s">
        <v>3980</v>
      </c>
      <c r="B2934" t="s">
        <v>580</v>
      </c>
      <c r="C2934" s="1">
        <v>45422</v>
      </c>
      <c r="E2934" t="s">
        <v>39</v>
      </c>
      <c r="F2934">
        <v>50</v>
      </c>
      <c r="G2934" s="12">
        <v>2450</v>
      </c>
      <c r="H2934" s="12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1047</v>
      </c>
      <c r="N2934" t="b">
        <v>1</v>
      </c>
    </row>
    <row r="2935" spans="1:14" x14ac:dyDescent="0.3">
      <c r="A2935" t="s">
        <v>3981</v>
      </c>
      <c r="B2935" t="s">
        <v>91</v>
      </c>
      <c r="C2935" s="1">
        <v>45609</v>
      </c>
      <c r="E2935" t="s">
        <v>32</v>
      </c>
      <c r="F2935">
        <v>16</v>
      </c>
      <c r="G2935" s="12">
        <v>3184</v>
      </c>
      <c r="H2935" s="12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1047</v>
      </c>
      <c r="N2935" t="b">
        <v>1</v>
      </c>
    </row>
    <row r="2936" spans="1:14" x14ac:dyDescent="0.3">
      <c r="A2936" t="s">
        <v>3982</v>
      </c>
      <c r="B2936" t="s">
        <v>97</v>
      </c>
      <c r="C2936" s="1">
        <v>45344</v>
      </c>
      <c r="E2936" t="s">
        <v>32</v>
      </c>
      <c r="F2936">
        <v>12</v>
      </c>
      <c r="G2936" s="12">
        <v>2388</v>
      </c>
      <c r="H2936" s="12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1047</v>
      </c>
      <c r="N2936" t="b">
        <v>1</v>
      </c>
    </row>
    <row r="2937" spans="1:14" x14ac:dyDescent="0.3">
      <c r="A2937" t="s">
        <v>3983</v>
      </c>
      <c r="B2937" t="s">
        <v>382</v>
      </c>
      <c r="C2937" s="1">
        <v>45603</v>
      </c>
      <c r="E2937" t="s">
        <v>15</v>
      </c>
      <c r="F2937">
        <v>13</v>
      </c>
      <c r="G2937" s="12">
        <v>247</v>
      </c>
      <c r="H2937" s="12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1047</v>
      </c>
      <c r="N2937" t="b">
        <v>1</v>
      </c>
    </row>
    <row r="2938" spans="1:14" x14ac:dyDescent="0.3">
      <c r="A2938" t="s">
        <v>3984</v>
      </c>
      <c r="B2938" t="s">
        <v>310</v>
      </c>
      <c r="C2938" s="1">
        <v>45427</v>
      </c>
      <c r="E2938" t="s">
        <v>39</v>
      </c>
      <c r="F2938">
        <v>31</v>
      </c>
      <c r="G2938" s="12">
        <v>1519</v>
      </c>
      <c r="H2938" s="12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1050</v>
      </c>
      <c r="N2938" t="b">
        <v>1</v>
      </c>
    </row>
    <row r="2939" spans="1:14" x14ac:dyDescent="0.3">
      <c r="A2939" t="s">
        <v>3985</v>
      </c>
      <c r="B2939" t="s">
        <v>406</v>
      </c>
      <c r="C2939" s="1">
        <v>45579</v>
      </c>
      <c r="E2939" t="s">
        <v>39</v>
      </c>
      <c r="F2939">
        <v>8</v>
      </c>
      <c r="G2939" s="12">
        <v>392</v>
      </c>
      <c r="H2939" s="12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1047</v>
      </c>
      <c r="N2939" t="b">
        <v>1</v>
      </c>
    </row>
    <row r="2940" spans="1:14" x14ac:dyDescent="0.3">
      <c r="A2940" t="s">
        <v>3986</v>
      </c>
      <c r="B2940" t="s">
        <v>108</v>
      </c>
      <c r="C2940" s="1">
        <v>45611</v>
      </c>
      <c r="E2940" t="s">
        <v>15</v>
      </c>
      <c r="F2940">
        <v>81</v>
      </c>
      <c r="G2940" s="12">
        <v>1539</v>
      </c>
      <c r="H2940" s="12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1047</v>
      </c>
      <c r="N2940" t="b">
        <v>1</v>
      </c>
    </row>
    <row r="2941" spans="1:14" x14ac:dyDescent="0.3">
      <c r="A2941" t="s">
        <v>3987</v>
      </c>
      <c r="B2941" t="s">
        <v>316</v>
      </c>
      <c r="C2941" s="1">
        <v>45265</v>
      </c>
      <c r="E2941" t="s">
        <v>39</v>
      </c>
      <c r="F2941">
        <v>7</v>
      </c>
      <c r="G2941" s="12">
        <v>343</v>
      </c>
      <c r="H2941" s="12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1047</v>
      </c>
      <c r="N2941" t="b">
        <v>0</v>
      </c>
    </row>
    <row r="2942" spans="1:14" x14ac:dyDescent="0.3">
      <c r="A2942" t="s">
        <v>3988</v>
      </c>
      <c r="B2942" t="s">
        <v>158</v>
      </c>
      <c r="C2942" s="1">
        <v>45656</v>
      </c>
      <c r="E2942" t="s">
        <v>32</v>
      </c>
      <c r="F2942">
        <v>70</v>
      </c>
      <c r="G2942" s="12">
        <v>13930</v>
      </c>
      <c r="H2942" s="1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1050</v>
      </c>
      <c r="N2942" t="b">
        <v>1</v>
      </c>
    </row>
    <row r="2943" spans="1:14" x14ac:dyDescent="0.3">
      <c r="A2943" t="s">
        <v>3989</v>
      </c>
      <c r="B2943" t="s">
        <v>368</v>
      </c>
      <c r="C2943" s="1">
        <v>45637</v>
      </c>
      <c r="E2943" t="s">
        <v>32</v>
      </c>
      <c r="F2943">
        <v>34</v>
      </c>
      <c r="G2943" s="12">
        <v>6766</v>
      </c>
      <c r="H2943" s="12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1050</v>
      </c>
      <c r="N2943" t="b">
        <v>1</v>
      </c>
    </row>
    <row r="2944" spans="1:14" x14ac:dyDescent="0.3">
      <c r="A2944" t="s">
        <v>3990</v>
      </c>
      <c r="B2944" t="s">
        <v>1018</v>
      </c>
      <c r="C2944" s="1">
        <v>45580</v>
      </c>
      <c r="E2944" t="s">
        <v>32</v>
      </c>
      <c r="F2944">
        <v>15</v>
      </c>
      <c r="G2944" s="12">
        <v>2985</v>
      </c>
      <c r="H2944" s="12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1050</v>
      </c>
      <c r="N2944" t="b">
        <v>1</v>
      </c>
    </row>
    <row r="2945" spans="1:14" x14ac:dyDescent="0.3">
      <c r="A2945" t="s">
        <v>3991</v>
      </c>
      <c r="B2945" t="s">
        <v>244</v>
      </c>
      <c r="C2945" s="1">
        <v>45608</v>
      </c>
      <c r="E2945" t="s">
        <v>15</v>
      </c>
      <c r="F2945">
        <v>25</v>
      </c>
      <c r="G2945" s="12">
        <v>475</v>
      </c>
      <c r="H2945" s="12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1047</v>
      </c>
      <c r="N2945" t="b">
        <v>1</v>
      </c>
    </row>
    <row r="2946" spans="1:14" x14ac:dyDescent="0.3">
      <c r="A2946" t="s">
        <v>3992</v>
      </c>
      <c r="B2946" t="s">
        <v>250</v>
      </c>
      <c r="C2946" s="1">
        <v>45156</v>
      </c>
      <c r="D2946" s="1">
        <v>45231</v>
      </c>
      <c r="E2946" t="s">
        <v>32</v>
      </c>
      <c r="F2946">
        <v>32</v>
      </c>
      <c r="G2946" s="12">
        <v>6368</v>
      </c>
      <c r="H2946" s="12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1047</v>
      </c>
      <c r="N2946" t="b">
        <v>1</v>
      </c>
    </row>
    <row r="2947" spans="1:14" x14ac:dyDescent="0.3">
      <c r="A2947" t="s">
        <v>3993</v>
      </c>
      <c r="B2947" t="s">
        <v>198</v>
      </c>
      <c r="C2947" s="1">
        <v>45452</v>
      </c>
      <c r="E2947" t="s">
        <v>15</v>
      </c>
      <c r="F2947">
        <v>38</v>
      </c>
      <c r="G2947" s="12">
        <v>722</v>
      </c>
      <c r="H2947" s="12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1050</v>
      </c>
      <c r="N2947" t="b">
        <v>1</v>
      </c>
    </row>
    <row r="2948" spans="1:14" x14ac:dyDescent="0.3">
      <c r="A2948" t="s">
        <v>3994</v>
      </c>
      <c r="B2948" t="s">
        <v>108</v>
      </c>
      <c r="C2948" s="1">
        <v>45598</v>
      </c>
      <c r="E2948" t="s">
        <v>15</v>
      </c>
      <c r="F2948">
        <v>14</v>
      </c>
      <c r="G2948" s="12">
        <v>0</v>
      </c>
      <c r="H2948" s="12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1050</v>
      </c>
      <c r="N2948" t="b">
        <v>1</v>
      </c>
    </row>
    <row r="2949" spans="1:14" x14ac:dyDescent="0.3">
      <c r="A2949" t="s">
        <v>3995</v>
      </c>
      <c r="B2949" t="s">
        <v>464</v>
      </c>
      <c r="C2949" s="1">
        <v>45480</v>
      </c>
      <c r="E2949" t="s">
        <v>39</v>
      </c>
      <c r="F2949">
        <v>46</v>
      </c>
      <c r="G2949" s="12">
        <v>2254</v>
      </c>
      <c r="H2949" s="12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1050</v>
      </c>
      <c r="N2949" t="b">
        <v>1</v>
      </c>
    </row>
    <row r="2950" spans="1:14" x14ac:dyDescent="0.3">
      <c r="A2950" t="s">
        <v>3996</v>
      </c>
      <c r="B2950" t="s">
        <v>542</v>
      </c>
      <c r="C2950" s="1">
        <v>45565</v>
      </c>
      <c r="E2950" t="s">
        <v>15</v>
      </c>
      <c r="F2950">
        <v>8</v>
      </c>
      <c r="G2950" s="12">
        <v>152</v>
      </c>
      <c r="H2950" s="12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1047</v>
      </c>
      <c r="N2950" t="b">
        <v>1</v>
      </c>
    </row>
    <row r="2951" spans="1:14" x14ac:dyDescent="0.3">
      <c r="A2951" t="s">
        <v>3997</v>
      </c>
      <c r="B2951" t="s">
        <v>602</v>
      </c>
      <c r="C2951" s="1">
        <v>45487</v>
      </c>
      <c r="E2951" t="s">
        <v>39</v>
      </c>
      <c r="F2951">
        <v>23</v>
      </c>
      <c r="G2951" s="12">
        <v>1127</v>
      </c>
      <c r="H2951" s="12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1050</v>
      </c>
      <c r="N2951" t="b">
        <v>1</v>
      </c>
    </row>
    <row r="2952" spans="1:14" x14ac:dyDescent="0.3">
      <c r="A2952" t="s">
        <v>3998</v>
      </c>
      <c r="B2952" t="s">
        <v>752</v>
      </c>
      <c r="C2952" s="1">
        <v>45428</v>
      </c>
      <c r="E2952" t="s">
        <v>39</v>
      </c>
      <c r="F2952">
        <v>42</v>
      </c>
      <c r="G2952" s="12">
        <v>2058</v>
      </c>
      <c r="H2952" s="1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1050</v>
      </c>
      <c r="N2952" t="b">
        <v>1</v>
      </c>
    </row>
    <row r="2953" spans="1:14" x14ac:dyDescent="0.3">
      <c r="A2953" t="s">
        <v>3999</v>
      </c>
      <c r="B2953" t="s">
        <v>888</v>
      </c>
      <c r="C2953" s="1">
        <v>45507</v>
      </c>
      <c r="E2953" t="s">
        <v>39</v>
      </c>
      <c r="F2953">
        <v>61</v>
      </c>
      <c r="G2953" s="12">
        <v>2989</v>
      </c>
      <c r="H2953" s="12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1047</v>
      </c>
      <c r="N2953" t="b">
        <v>1</v>
      </c>
    </row>
    <row r="2954" spans="1:14" x14ac:dyDescent="0.3">
      <c r="A2954" t="s">
        <v>4000</v>
      </c>
      <c r="B2954" t="s">
        <v>934</v>
      </c>
      <c r="C2954" s="1">
        <v>45656</v>
      </c>
      <c r="E2954" t="s">
        <v>15</v>
      </c>
      <c r="F2954">
        <v>46</v>
      </c>
      <c r="G2954" s="12">
        <v>874</v>
      </c>
      <c r="H2954" s="12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1047</v>
      </c>
      <c r="N2954" t="b">
        <v>1</v>
      </c>
    </row>
    <row r="2955" spans="1:14" x14ac:dyDescent="0.3">
      <c r="A2955" t="s">
        <v>4001</v>
      </c>
      <c r="B2955" t="s">
        <v>998</v>
      </c>
      <c r="C2955" s="1">
        <v>45631</v>
      </c>
      <c r="E2955" t="s">
        <v>39</v>
      </c>
      <c r="F2955">
        <v>40</v>
      </c>
      <c r="G2955" s="12">
        <v>1960</v>
      </c>
      <c r="H2955" s="12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1047</v>
      </c>
      <c r="N2955" t="b">
        <v>0</v>
      </c>
    </row>
    <row r="2956" spans="1:14" x14ac:dyDescent="0.3">
      <c r="A2956" t="s">
        <v>4002</v>
      </c>
      <c r="B2956" t="s">
        <v>890</v>
      </c>
      <c r="C2956" s="1">
        <v>45569</v>
      </c>
      <c r="E2956" t="s">
        <v>32</v>
      </c>
      <c r="F2956">
        <v>10</v>
      </c>
      <c r="G2956" s="12">
        <v>1990</v>
      </c>
      <c r="H2956" s="12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1050</v>
      </c>
      <c r="N2956" t="b">
        <v>1</v>
      </c>
    </row>
    <row r="2957" spans="1:14" x14ac:dyDescent="0.3">
      <c r="A2957" t="s">
        <v>4003</v>
      </c>
      <c r="B2957" t="s">
        <v>530</v>
      </c>
      <c r="C2957" s="1">
        <v>45645</v>
      </c>
      <c r="E2957" t="s">
        <v>39</v>
      </c>
      <c r="F2957">
        <v>8</v>
      </c>
      <c r="G2957" s="12">
        <v>392</v>
      </c>
      <c r="H2957" s="12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1047</v>
      </c>
      <c r="N2957" t="b">
        <v>1</v>
      </c>
    </row>
    <row r="2958" spans="1:14" x14ac:dyDescent="0.3">
      <c r="A2958" t="s">
        <v>4004</v>
      </c>
      <c r="B2958" t="s">
        <v>600</v>
      </c>
      <c r="C2958" s="1">
        <v>45556</v>
      </c>
      <c r="E2958" t="s">
        <v>32</v>
      </c>
      <c r="F2958">
        <v>14</v>
      </c>
      <c r="G2958" s="12">
        <v>0</v>
      </c>
      <c r="H2958" s="12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1050</v>
      </c>
      <c r="N2958" t="b">
        <v>1</v>
      </c>
    </row>
    <row r="2959" spans="1:14" x14ac:dyDescent="0.3">
      <c r="A2959" t="s">
        <v>4005</v>
      </c>
      <c r="B2959" t="s">
        <v>212</v>
      </c>
      <c r="C2959" s="1">
        <v>45333</v>
      </c>
      <c r="E2959" t="s">
        <v>39</v>
      </c>
      <c r="F2959">
        <v>48</v>
      </c>
      <c r="G2959" s="12">
        <v>2352</v>
      </c>
      <c r="H2959" s="12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1050</v>
      </c>
      <c r="N2959" t="b">
        <v>1</v>
      </c>
    </row>
    <row r="2960" spans="1:14" x14ac:dyDescent="0.3">
      <c r="A2960" t="s">
        <v>4006</v>
      </c>
      <c r="B2960" t="s">
        <v>818</v>
      </c>
      <c r="C2960" s="1">
        <v>45586</v>
      </c>
      <c r="E2960" t="s">
        <v>39</v>
      </c>
      <c r="F2960">
        <v>61</v>
      </c>
      <c r="G2960" s="12">
        <v>2989</v>
      </c>
      <c r="H2960" s="12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1050</v>
      </c>
      <c r="N2960" t="b">
        <v>1</v>
      </c>
    </row>
    <row r="2961" spans="1:14" x14ac:dyDescent="0.3">
      <c r="A2961" t="s">
        <v>4007</v>
      </c>
      <c r="B2961" t="s">
        <v>248</v>
      </c>
      <c r="C2961" s="1">
        <v>45609</v>
      </c>
      <c r="E2961" t="s">
        <v>32</v>
      </c>
      <c r="F2961">
        <v>18</v>
      </c>
      <c r="G2961" s="12">
        <v>3582</v>
      </c>
      <c r="H2961" s="12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1047</v>
      </c>
      <c r="N2961" t="b">
        <v>1</v>
      </c>
    </row>
    <row r="2962" spans="1:14" x14ac:dyDescent="0.3">
      <c r="A2962" t="s">
        <v>4008</v>
      </c>
      <c r="B2962" t="s">
        <v>420</v>
      </c>
      <c r="C2962" s="1">
        <v>45570</v>
      </c>
      <c r="E2962" t="s">
        <v>15</v>
      </c>
      <c r="F2962">
        <v>10</v>
      </c>
      <c r="G2962" s="12">
        <v>190</v>
      </c>
      <c r="H2962" s="1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1047</v>
      </c>
      <c r="N2962" t="b">
        <v>0</v>
      </c>
    </row>
    <row r="2963" spans="1:14" x14ac:dyDescent="0.3">
      <c r="A2963" t="s">
        <v>4009</v>
      </c>
      <c r="B2963" t="s">
        <v>230</v>
      </c>
      <c r="C2963" s="1">
        <v>45625</v>
      </c>
      <c r="E2963" t="s">
        <v>39</v>
      </c>
      <c r="F2963">
        <v>1</v>
      </c>
      <c r="G2963" s="12">
        <v>49</v>
      </c>
      <c r="H2963" s="12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1047</v>
      </c>
      <c r="N2963" t="b">
        <v>0</v>
      </c>
    </row>
    <row r="2964" spans="1:14" x14ac:dyDescent="0.3">
      <c r="A2964" t="s">
        <v>4010</v>
      </c>
      <c r="B2964" t="s">
        <v>21</v>
      </c>
      <c r="C2964" s="1">
        <v>45606</v>
      </c>
      <c r="E2964" t="s">
        <v>39</v>
      </c>
      <c r="F2964">
        <v>1</v>
      </c>
      <c r="G2964" s="12">
        <v>49</v>
      </c>
      <c r="H2964" s="12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1050</v>
      </c>
      <c r="N2964" t="b">
        <v>1</v>
      </c>
    </row>
    <row r="2965" spans="1:14" x14ac:dyDescent="0.3">
      <c r="A2965" t="s">
        <v>4011</v>
      </c>
      <c r="B2965" t="s">
        <v>126</v>
      </c>
      <c r="C2965" s="1">
        <v>45654</v>
      </c>
      <c r="E2965" t="s">
        <v>39</v>
      </c>
      <c r="F2965">
        <v>6</v>
      </c>
      <c r="G2965" s="12">
        <v>294</v>
      </c>
      <c r="H2965" s="12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1050</v>
      </c>
      <c r="N2965" t="b">
        <v>1</v>
      </c>
    </row>
    <row r="2966" spans="1:14" x14ac:dyDescent="0.3">
      <c r="A2966" t="s">
        <v>4012</v>
      </c>
      <c r="B2966" t="s">
        <v>544</v>
      </c>
      <c r="C2966" s="1">
        <v>45497</v>
      </c>
      <c r="E2966" t="s">
        <v>32</v>
      </c>
      <c r="F2966">
        <v>37</v>
      </c>
      <c r="G2966" s="12">
        <v>7363</v>
      </c>
      <c r="H2966" s="12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1050</v>
      </c>
      <c r="N2966" t="b">
        <v>1</v>
      </c>
    </row>
    <row r="2967" spans="1:14" x14ac:dyDescent="0.3">
      <c r="A2967" t="s">
        <v>4013</v>
      </c>
      <c r="B2967" t="s">
        <v>61</v>
      </c>
      <c r="C2967" s="1">
        <v>45492</v>
      </c>
      <c r="E2967" t="s">
        <v>39</v>
      </c>
      <c r="F2967">
        <v>29</v>
      </c>
      <c r="G2967" s="12">
        <v>1421</v>
      </c>
      <c r="H2967" s="12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1050</v>
      </c>
      <c r="N2967" t="b">
        <v>1</v>
      </c>
    </row>
    <row r="2968" spans="1:14" x14ac:dyDescent="0.3">
      <c r="A2968" t="s">
        <v>4014</v>
      </c>
      <c r="B2968" t="s">
        <v>436</v>
      </c>
      <c r="C2968" s="1">
        <v>45231</v>
      </c>
      <c r="E2968" t="s">
        <v>32</v>
      </c>
      <c r="F2968">
        <v>23</v>
      </c>
      <c r="G2968" s="12">
        <v>4577</v>
      </c>
      <c r="H2968" s="12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1050</v>
      </c>
      <c r="N2968" t="b">
        <v>1</v>
      </c>
    </row>
    <row r="2969" spans="1:14" x14ac:dyDescent="0.3">
      <c r="A2969" t="s">
        <v>4015</v>
      </c>
      <c r="B2969" t="s">
        <v>310</v>
      </c>
      <c r="C2969" s="1">
        <v>45602</v>
      </c>
      <c r="E2969" t="s">
        <v>15</v>
      </c>
      <c r="F2969">
        <v>117</v>
      </c>
      <c r="G2969" s="12">
        <v>2223</v>
      </c>
      <c r="H2969" s="12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1047</v>
      </c>
      <c r="N2969" t="b">
        <v>1</v>
      </c>
    </row>
    <row r="2970" spans="1:14" x14ac:dyDescent="0.3">
      <c r="A2970" t="s">
        <v>4016</v>
      </c>
      <c r="B2970" t="s">
        <v>912</v>
      </c>
      <c r="C2970" s="1">
        <v>45472</v>
      </c>
      <c r="E2970" t="s">
        <v>32</v>
      </c>
      <c r="F2970">
        <v>45</v>
      </c>
      <c r="G2970" s="12">
        <v>8955</v>
      </c>
      <c r="H2970" s="12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1050</v>
      </c>
      <c r="N2970" t="b">
        <v>1</v>
      </c>
    </row>
    <row r="2971" spans="1:14" x14ac:dyDescent="0.3">
      <c r="A2971" t="s">
        <v>4017</v>
      </c>
      <c r="B2971" t="s">
        <v>532</v>
      </c>
      <c r="C2971" s="1">
        <v>45638</v>
      </c>
      <c r="D2971" s="1">
        <v>45655</v>
      </c>
      <c r="E2971" t="s">
        <v>39</v>
      </c>
      <c r="F2971">
        <v>9</v>
      </c>
      <c r="G2971" s="12">
        <v>441</v>
      </c>
      <c r="H2971" s="12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1047</v>
      </c>
      <c r="N2971" t="b">
        <v>0</v>
      </c>
    </row>
    <row r="2972" spans="1:14" x14ac:dyDescent="0.3">
      <c r="A2972" t="s">
        <v>4018</v>
      </c>
      <c r="B2972" t="s">
        <v>66</v>
      </c>
      <c r="C2972" s="1">
        <v>45438</v>
      </c>
      <c r="E2972" t="s">
        <v>15</v>
      </c>
      <c r="F2972">
        <v>12</v>
      </c>
      <c r="G2972" s="12">
        <v>228</v>
      </c>
      <c r="H2972" s="1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1047</v>
      </c>
      <c r="N2972" t="b">
        <v>0</v>
      </c>
    </row>
    <row r="2973" spans="1:14" x14ac:dyDescent="0.3">
      <c r="A2973" t="s">
        <v>4019</v>
      </c>
      <c r="B2973" t="s">
        <v>752</v>
      </c>
      <c r="C2973" s="1">
        <v>45124</v>
      </c>
      <c r="D2973" s="1">
        <v>45208</v>
      </c>
      <c r="E2973" t="s">
        <v>15</v>
      </c>
      <c r="F2973">
        <v>42</v>
      </c>
      <c r="G2973" s="12">
        <v>798</v>
      </c>
      <c r="H2973" s="12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1050</v>
      </c>
      <c r="N2973" t="b">
        <v>0</v>
      </c>
    </row>
    <row r="2974" spans="1:14" x14ac:dyDescent="0.3">
      <c r="A2974" t="s">
        <v>4020</v>
      </c>
      <c r="B2974" t="s">
        <v>884</v>
      </c>
      <c r="C2974" s="1">
        <v>45370</v>
      </c>
      <c r="E2974" t="s">
        <v>15</v>
      </c>
      <c r="F2974">
        <v>24</v>
      </c>
      <c r="G2974" s="12">
        <v>456</v>
      </c>
      <c r="H2974" s="12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1050</v>
      </c>
      <c r="N2974" t="b">
        <v>1</v>
      </c>
    </row>
    <row r="2975" spans="1:14" x14ac:dyDescent="0.3">
      <c r="A2975" t="s">
        <v>4021</v>
      </c>
      <c r="B2975" t="s">
        <v>682</v>
      </c>
      <c r="C2975" s="1">
        <v>45631</v>
      </c>
      <c r="E2975" t="s">
        <v>15</v>
      </c>
      <c r="F2975">
        <v>17</v>
      </c>
      <c r="G2975" s="12">
        <v>323</v>
      </c>
      <c r="H2975" s="12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1050</v>
      </c>
      <c r="N2975" t="b">
        <v>1</v>
      </c>
    </row>
    <row r="2976" spans="1:14" x14ac:dyDescent="0.3">
      <c r="A2976" t="s">
        <v>4022</v>
      </c>
      <c r="B2976" t="s">
        <v>128</v>
      </c>
      <c r="C2976" s="1">
        <v>45620</v>
      </c>
      <c r="E2976" t="s">
        <v>32</v>
      </c>
      <c r="F2976">
        <v>13</v>
      </c>
      <c r="G2976" s="12">
        <v>2587</v>
      </c>
      <c r="H2976" s="12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1050</v>
      </c>
      <c r="N2976" t="b">
        <v>0</v>
      </c>
    </row>
    <row r="2977" spans="1:14" x14ac:dyDescent="0.3">
      <c r="A2977" t="s">
        <v>4023</v>
      </c>
      <c r="B2977" t="s">
        <v>902</v>
      </c>
      <c r="C2977" s="1">
        <v>45568</v>
      </c>
      <c r="D2977" s="1">
        <v>45646</v>
      </c>
      <c r="E2977" t="s">
        <v>32</v>
      </c>
      <c r="F2977">
        <v>8</v>
      </c>
      <c r="G2977" s="12">
        <v>0</v>
      </c>
      <c r="H2977" s="12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1047</v>
      </c>
      <c r="N2977" t="b">
        <v>0</v>
      </c>
    </row>
    <row r="2978" spans="1:14" x14ac:dyDescent="0.3">
      <c r="A2978" t="s">
        <v>4024</v>
      </c>
      <c r="B2978" t="s">
        <v>370</v>
      </c>
      <c r="C2978" s="1">
        <v>45646</v>
      </c>
      <c r="E2978" t="s">
        <v>39</v>
      </c>
      <c r="F2978">
        <v>26</v>
      </c>
      <c r="G2978" s="12">
        <v>1274</v>
      </c>
      <c r="H2978" s="12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1047</v>
      </c>
      <c r="N2978" t="b">
        <v>0</v>
      </c>
    </row>
    <row r="2979" spans="1:14" x14ac:dyDescent="0.3">
      <c r="A2979" t="s">
        <v>4025</v>
      </c>
      <c r="B2979" t="s">
        <v>956</v>
      </c>
      <c r="C2979" s="1">
        <v>45518</v>
      </c>
      <c r="E2979" t="s">
        <v>32</v>
      </c>
      <c r="F2979">
        <v>26</v>
      </c>
      <c r="G2979" s="12">
        <v>5174</v>
      </c>
      <c r="H2979" s="12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1050</v>
      </c>
      <c r="N2979" t="b">
        <v>1</v>
      </c>
    </row>
    <row r="2980" spans="1:14" x14ac:dyDescent="0.3">
      <c r="A2980" t="s">
        <v>4026</v>
      </c>
      <c r="B2980" t="s">
        <v>558</v>
      </c>
      <c r="C2980" s="1">
        <v>45445</v>
      </c>
      <c r="D2980" s="1">
        <v>45548</v>
      </c>
      <c r="E2980" t="s">
        <v>32</v>
      </c>
      <c r="F2980">
        <v>29</v>
      </c>
      <c r="G2980" s="12">
        <v>5771</v>
      </c>
      <c r="H2980" s="12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1050</v>
      </c>
      <c r="N2980" t="b">
        <v>1</v>
      </c>
    </row>
    <row r="2981" spans="1:14" x14ac:dyDescent="0.3">
      <c r="A2981" t="s">
        <v>4027</v>
      </c>
      <c r="B2981" t="s">
        <v>886</v>
      </c>
      <c r="C2981" s="1">
        <v>45192</v>
      </c>
      <c r="E2981" t="s">
        <v>15</v>
      </c>
      <c r="F2981">
        <v>24</v>
      </c>
      <c r="G2981" s="12">
        <v>456</v>
      </c>
      <c r="H2981" s="12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1047</v>
      </c>
      <c r="N2981" t="b">
        <v>1</v>
      </c>
    </row>
    <row r="2982" spans="1:14" x14ac:dyDescent="0.3">
      <c r="A2982" t="s">
        <v>4028</v>
      </c>
      <c r="B2982" t="s">
        <v>874</v>
      </c>
      <c r="C2982" s="1">
        <v>45624</v>
      </c>
      <c r="E2982" t="s">
        <v>15</v>
      </c>
      <c r="F2982">
        <v>17</v>
      </c>
      <c r="G2982" s="12">
        <v>0</v>
      </c>
      <c r="H2982" s="1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1050</v>
      </c>
      <c r="N2982" t="b">
        <v>0</v>
      </c>
    </row>
    <row r="2983" spans="1:14" x14ac:dyDescent="0.3">
      <c r="A2983" t="s">
        <v>4029</v>
      </c>
      <c r="B2983" t="s">
        <v>114</v>
      </c>
      <c r="C2983" s="1">
        <v>45175</v>
      </c>
      <c r="E2983" t="s">
        <v>39</v>
      </c>
      <c r="F2983">
        <v>34</v>
      </c>
      <c r="G2983" s="12">
        <v>1666</v>
      </c>
      <c r="H2983" s="12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1047</v>
      </c>
      <c r="N2983" t="b">
        <v>1</v>
      </c>
    </row>
    <row r="2984" spans="1:14" x14ac:dyDescent="0.3">
      <c r="A2984" t="s">
        <v>4030</v>
      </c>
      <c r="B2984" t="s">
        <v>312</v>
      </c>
      <c r="C2984" s="1">
        <v>45600</v>
      </c>
      <c r="E2984" t="s">
        <v>15</v>
      </c>
      <c r="F2984">
        <v>13</v>
      </c>
      <c r="G2984" s="12">
        <v>247</v>
      </c>
      <c r="H2984" s="12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1050</v>
      </c>
      <c r="N2984" t="b">
        <v>1</v>
      </c>
    </row>
    <row r="2985" spans="1:14" x14ac:dyDescent="0.3">
      <c r="A2985" t="s">
        <v>4031</v>
      </c>
      <c r="B2985" t="s">
        <v>206</v>
      </c>
      <c r="C2985" s="1">
        <v>45605</v>
      </c>
      <c r="E2985" t="s">
        <v>32</v>
      </c>
      <c r="F2985">
        <v>41</v>
      </c>
      <c r="G2985" s="12">
        <v>8159</v>
      </c>
      <c r="H2985" s="12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1047</v>
      </c>
      <c r="N2985" t="b">
        <v>1</v>
      </c>
    </row>
    <row r="2986" spans="1:14" x14ac:dyDescent="0.3">
      <c r="A2986" t="s">
        <v>4032</v>
      </c>
      <c r="B2986" t="s">
        <v>348</v>
      </c>
      <c r="C2986" s="1">
        <v>45396</v>
      </c>
      <c r="E2986" t="s">
        <v>32</v>
      </c>
      <c r="F2986">
        <v>30</v>
      </c>
      <c r="G2986" s="12">
        <v>5970</v>
      </c>
      <c r="H2986" s="12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1050</v>
      </c>
      <c r="N2986" t="b">
        <v>1</v>
      </c>
    </row>
    <row r="2987" spans="1:14" x14ac:dyDescent="0.3">
      <c r="A2987" t="s">
        <v>4033</v>
      </c>
      <c r="B2987" t="s">
        <v>150</v>
      </c>
      <c r="C2987" s="1">
        <v>45579</v>
      </c>
      <c r="E2987" t="s">
        <v>39</v>
      </c>
      <c r="F2987">
        <v>16</v>
      </c>
      <c r="G2987" s="12">
        <v>0</v>
      </c>
      <c r="H2987" s="12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1047</v>
      </c>
      <c r="N2987" t="b">
        <v>1</v>
      </c>
    </row>
    <row r="2988" spans="1:14" x14ac:dyDescent="0.3">
      <c r="A2988" t="s">
        <v>4034</v>
      </c>
      <c r="B2988" t="s">
        <v>608</v>
      </c>
      <c r="C2988" s="1">
        <v>45562</v>
      </c>
      <c r="E2988" t="s">
        <v>15</v>
      </c>
      <c r="F2988">
        <v>6</v>
      </c>
      <c r="G2988" s="12">
        <v>114</v>
      </c>
      <c r="H2988" s="12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1047</v>
      </c>
      <c r="N2988" t="b">
        <v>1</v>
      </c>
    </row>
    <row r="2989" spans="1:14" x14ac:dyDescent="0.3">
      <c r="A2989" t="s">
        <v>4035</v>
      </c>
      <c r="B2989" t="s">
        <v>970</v>
      </c>
      <c r="C2989" s="1">
        <v>45240</v>
      </c>
      <c r="E2989" t="s">
        <v>15</v>
      </c>
      <c r="F2989">
        <v>41</v>
      </c>
      <c r="G2989" s="12">
        <v>0</v>
      </c>
      <c r="H2989" s="12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1047</v>
      </c>
      <c r="N2989" t="b">
        <v>1</v>
      </c>
    </row>
    <row r="2990" spans="1:14" x14ac:dyDescent="0.3">
      <c r="A2990" t="s">
        <v>4036</v>
      </c>
      <c r="B2990" t="s">
        <v>220</v>
      </c>
      <c r="C2990" s="1">
        <v>45396</v>
      </c>
      <c r="E2990" t="s">
        <v>32</v>
      </c>
      <c r="F2990">
        <v>9</v>
      </c>
      <c r="G2990" s="12">
        <v>1791</v>
      </c>
      <c r="H2990" s="12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1047</v>
      </c>
      <c r="N2990" t="b">
        <v>1</v>
      </c>
    </row>
    <row r="2991" spans="1:14" x14ac:dyDescent="0.3">
      <c r="A2991" t="s">
        <v>4037</v>
      </c>
      <c r="B2991" t="s">
        <v>814</v>
      </c>
      <c r="C2991" s="1">
        <v>45126</v>
      </c>
      <c r="E2991" t="s">
        <v>15</v>
      </c>
      <c r="F2991">
        <v>30</v>
      </c>
      <c r="G2991" s="12">
        <v>570</v>
      </c>
      <c r="H2991" s="12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1047</v>
      </c>
      <c r="N2991" t="b">
        <v>0</v>
      </c>
    </row>
    <row r="2992" spans="1:14" x14ac:dyDescent="0.3">
      <c r="A2992" t="s">
        <v>4038</v>
      </c>
      <c r="B2992" t="s">
        <v>682</v>
      </c>
      <c r="C2992" s="1">
        <v>45459</v>
      </c>
      <c r="E2992" t="s">
        <v>39</v>
      </c>
      <c r="F2992">
        <v>14</v>
      </c>
      <c r="G2992" s="12">
        <v>686</v>
      </c>
      <c r="H2992" s="1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1047</v>
      </c>
      <c r="N2992" t="b">
        <v>1</v>
      </c>
    </row>
    <row r="2993" spans="1:14" x14ac:dyDescent="0.3">
      <c r="A2993" t="s">
        <v>4039</v>
      </c>
      <c r="B2993" t="s">
        <v>928</v>
      </c>
      <c r="C2993" s="1">
        <v>45650</v>
      </c>
      <c r="E2993" t="s">
        <v>15</v>
      </c>
      <c r="F2993">
        <v>52</v>
      </c>
      <c r="G2993" s="12">
        <v>988</v>
      </c>
      <c r="H2993" s="12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1050</v>
      </c>
      <c r="N2993" t="b">
        <v>1</v>
      </c>
    </row>
    <row r="2994" spans="1:14" x14ac:dyDescent="0.3">
      <c r="A2994" t="s">
        <v>4040</v>
      </c>
      <c r="B2994" t="s">
        <v>886</v>
      </c>
      <c r="C2994" s="1">
        <v>45325</v>
      </c>
      <c r="E2994" t="s">
        <v>32</v>
      </c>
      <c r="F2994">
        <v>11</v>
      </c>
      <c r="G2994" s="12">
        <v>2189</v>
      </c>
      <c r="H2994" s="12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1047</v>
      </c>
      <c r="N2994" t="b">
        <v>1</v>
      </c>
    </row>
    <row r="2995" spans="1:14" x14ac:dyDescent="0.3">
      <c r="A2995" t="s">
        <v>4041</v>
      </c>
      <c r="B2995" t="s">
        <v>346</v>
      </c>
      <c r="C2995" s="1">
        <v>45104</v>
      </c>
      <c r="E2995" t="s">
        <v>39</v>
      </c>
      <c r="F2995">
        <v>15</v>
      </c>
      <c r="G2995" s="12">
        <v>0</v>
      </c>
      <c r="H2995" s="12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1050</v>
      </c>
      <c r="N2995" t="b">
        <v>1</v>
      </c>
    </row>
    <row r="2996" spans="1:14" x14ac:dyDescent="0.3">
      <c r="A2996" t="s">
        <v>4042</v>
      </c>
      <c r="B2996" t="s">
        <v>212</v>
      </c>
      <c r="C2996" s="1">
        <v>45463</v>
      </c>
      <c r="E2996" t="s">
        <v>15</v>
      </c>
      <c r="F2996">
        <v>48</v>
      </c>
      <c r="G2996" s="12">
        <v>912</v>
      </c>
      <c r="H2996" s="12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1050</v>
      </c>
      <c r="N2996" t="b">
        <v>1</v>
      </c>
    </row>
    <row r="2997" spans="1:14" x14ac:dyDescent="0.3">
      <c r="A2997" t="s">
        <v>4043</v>
      </c>
      <c r="B2997" t="s">
        <v>452</v>
      </c>
      <c r="C2997" s="1">
        <v>45498</v>
      </c>
      <c r="E2997" t="s">
        <v>15</v>
      </c>
      <c r="F2997">
        <v>15</v>
      </c>
      <c r="G2997" s="12">
        <v>285</v>
      </c>
      <c r="H2997" s="12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1050</v>
      </c>
      <c r="N2997" t="b">
        <v>1</v>
      </c>
    </row>
    <row r="2998" spans="1:14" x14ac:dyDescent="0.3">
      <c r="A2998" t="s">
        <v>4044</v>
      </c>
      <c r="B2998" t="s">
        <v>934</v>
      </c>
      <c r="C2998" s="1">
        <v>45553</v>
      </c>
      <c r="E2998" t="s">
        <v>15</v>
      </c>
      <c r="F2998">
        <v>46</v>
      </c>
      <c r="G2998" s="12">
        <v>0</v>
      </c>
      <c r="H2998" s="12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1050</v>
      </c>
      <c r="N2998" t="b">
        <v>1</v>
      </c>
    </row>
    <row r="2999" spans="1:14" x14ac:dyDescent="0.3">
      <c r="A2999" t="s">
        <v>4045</v>
      </c>
      <c r="B2999" t="s">
        <v>294</v>
      </c>
      <c r="C2999" s="1">
        <v>45537</v>
      </c>
      <c r="E2999" t="s">
        <v>39</v>
      </c>
      <c r="F2999">
        <v>39</v>
      </c>
      <c r="G2999" s="12">
        <v>1911</v>
      </c>
      <c r="H2999" s="12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1050</v>
      </c>
      <c r="N2999" t="b">
        <v>1</v>
      </c>
    </row>
    <row r="3000" spans="1:14" x14ac:dyDescent="0.3">
      <c r="A3000" t="s">
        <v>4046</v>
      </c>
      <c r="B3000" t="s">
        <v>124</v>
      </c>
      <c r="C3000" s="1">
        <v>45597</v>
      </c>
      <c r="E3000" t="s">
        <v>39</v>
      </c>
      <c r="F3000">
        <v>14</v>
      </c>
      <c r="G3000" s="12">
        <v>686</v>
      </c>
      <c r="H3000" s="12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1050</v>
      </c>
      <c r="N3000" t="b">
        <v>1</v>
      </c>
    </row>
    <row r="3001" spans="1:14" x14ac:dyDescent="0.3">
      <c r="A3001" t="s">
        <v>4047</v>
      </c>
      <c r="B3001" t="s">
        <v>386</v>
      </c>
      <c r="C3001" s="1">
        <v>45645</v>
      </c>
      <c r="E3001" t="s">
        <v>32</v>
      </c>
      <c r="F3001">
        <v>29</v>
      </c>
      <c r="G3001" s="12">
        <v>5771</v>
      </c>
      <c r="H3001" s="12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1047</v>
      </c>
      <c r="N3001" t="b">
        <v>1</v>
      </c>
    </row>
    <row r="3002" spans="1:14" x14ac:dyDescent="0.3">
      <c r="A3002" t="s">
        <v>4048</v>
      </c>
      <c r="B3002" t="s">
        <v>63</v>
      </c>
      <c r="C3002" s="1">
        <v>45593</v>
      </c>
      <c r="E3002" t="s">
        <v>39</v>
      </c>
      <c r="F3002">
        <v>18</v>
      </c>
      <c r="G3002" s="12">
        <v>882</v>
      </c>
      <c r="H3002" s="1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1047</v>
      </c>
      <c r="N3002" t="b">
        <v>1</v>
      </c>
    </row>
    <row r="3003" spans="1:14" x14ac:dyDescent="0.3">
      <c r="A3003" t="s">
        <v>4049</v>
      </c>
      <c r="B3003" t="s">
        <v>580</v>
      </c>
      <c r="C3003" s="1">
        <v>45479</v>
      </c>
      <c r="E3003" t="s">
        <v>15</v>
      </c>
      <c r="F3003">
        <v>50</v>
      </c>
      <c r="G3003" s="12">
        <v>950</v>
      </c>
      <c r="H3003" s="12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1050</v>
      </c>
      <c r="N3003" t="b">
        <v>1</v>
      </c>
    </row>
    <row r="3004" spans="1:14" x14ac:dyDescent="0.3">
      <c r="A3004" t="s">
        <v>4050</v>
      </c>
      <c r="B3004" t="s">
        <v>384</v>
      </c>
      <c r="C3004" s="1">
        <v>45538</v>
      </c>
      <c r="E3004" t="s">
        <v>15</v>
      </c>
      <c r="F3004">
        <v>163</v>
      </c>
      <c r="G3004" s="12">
        <v>3097</v>
      </c>
      <c r="H3004" s="12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1050</v>
      </c>
      <c r="N3004" t="b">
        <v>1</v>
      </c>
    </row>
    <row r="3005" spans="1:14" x14ac:dyDescent="0.3">
      <c r="A3005" t="s">
        <v>4051</v>
      </c>
      <c r="B3005" t="s">
        <v>746</v>
      </c>
      <c r="C3005" s="1">
        <v>45553</v>
      </c>
      <c r="E3005" t="s">
        <v>32</v>
      </c>
      <c r="F3005">
        <v>87</v>
      </c>
      <c r="G3005" s="12">
        <v>17313</v>
      </c>
      <c r="H3005" s="12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1050</v>
      </c>
      <c r="N3005" t="b">
        <v>1</v>
      </c>
    </row>
    <row r="3006" spans="1:14" x14ac:dyDescent="0.3">
      <c r="A3006" t="s">
        <v>4052</v>
      </c>
      <c r="B3006" t="s">
        <v>122</v>
      </c>
      <c r="C3006" s="1">
        <v>45548</v>
      </c>
      <c r="E3006" t="s">
        <v>15</v>
      </c>
      <c r="F3006">
        <v>26</v>
      </c>
      <c r="G3006" s="12">
        <v>494</v>
      </c>
      <c r="H3006" s="12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1050</v>
      </c>
      <c r="N3006" t="b">
        <v>1</v>
      </c>
    </row>
    <row r="3007" spans="1:14" x14ac:dyDescent="0.3">
      <c r="A3007" t="s">
        <v>4053</v>
      </c>
      <c r="B3007" t="s">
        <v>252</v>
      </c>
      <c r="C3007" s="1">
        <v>45490</v>
      </c>
      <c r="E3007" t="s">
        <v>39</v>
      </c>
      <c r="F3007">
        <v>31</v>
      </c>
      <c r="G3007" s="12">
        <v>1519</v>
      </c>
      <c r="H3007" s="12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1047</v>
      </c>
      <c r="N3007" t="b">
        <v>1</v>
      </c>
    </row>
    <row r="3008" spans="1:14" x14ac:dyDescent="0.3">
      <c r="A3008" t="s">
        <v>4054</v>
      </c>
      <c r="B3008" t="s">
        <v>974</v>
      </c>
      <c r="C3008" s="1">
        <v>45603</v>
      </c>
      <c r="E3008" t="s">
        <v>32</v>
      </c>
      <c r="F3008">
        <v>13</v>
      </c>
      <c r="G3008" s="12">
        <v>2587</v>
      </c>
      <c r="H3008" s="12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1047</v>
      </c>
      <c r="N3008" t="b">
        <v>1</v>
      </c>
    </row>
    <row r="3009" spans="1:14" x14ac:dyDescent="0.3">
      <c r="A3009" t="s">
        <v>4055</v>
      </c>
      <c r="B3009" t="s">
        <v>516</v>
      </c>
      <c r="C3009" s="1">
        <v>45388</v>
      </c>
      <c r="E3009" t="s">
        <v>39</v>
      </c>
      <c r="F3009">
        <v>3</v>
      </c>
      <c r="G3009" s="12">
        <v>147</v>
      </c>
      <c r="H3009" s="12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1050</v>
      </c>
      <c r="N3009" t="b">
        <v>1</v>
      </c>
    </row>
    <row r="3010" spans="1:14" x14ac:dyDescent="0.3">
      <c r="A3010" t="s">
        <v>4056</v>
      </c>
      <c r="B3010" t="s">
        <v>410</v>
      </c>
      <c r="C3010" s="1">
        <v>45552</v>
      </c>
      <c r="E3010" t="s">
        <v>39</v>
      </c>
      <c r="F3010">
        <v>43</v>
      </c>
      <c r="G3010" s="12">
        <v>2107</v>
      </c>
      <c r="H3010" s="12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1047</v>
      </c>
      <c r="N3010" t="b">
        <v>1</v>
      </c>
    </row>
    <row r="3011" spans="1:14" x14ac:dyDescent="0.3">
      <c r="A3011" t="s">
        <v>4057</v>
      </c>
      <c r="B3011" t="s">
        <v>360</v>
      </c>
      <c r="C3011" s="1">
        <v>45586</v>
      </c>
      <c r="E3011" t="s">
        <v>15</v>
      </c>
      <c r="F3011">
        <v>53</v>
      </c>
      <c r="G3011" s="12">
        <v>1007</v>
      </c>
      <c r="H3011" s="12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1050</v>
      </c>
      <c r="N3011" t="b">
        <v>1</v>
      </c>
    </row>
    <row r="3012" spans="1:14" x14ac:dyDescent="0.3">
      <c r="A3012" t="s">
        <v>4058</v>
      </c>
      <c r="B3012" t="s">
        <v>920</v>
      </c>
      <c r="C3012" s="1">
        <v>45216</v>
      </c>
      <c r="E3012" t="s">
        <v>15</v>
      </c>
      <c r="F3012">
        <v>21</v>
      </c>
      <c r="G3012" s="12">
        <v>0</v>
      </c>
      <c r="H3012" s="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1050</v>
      </c>
      <c r="N3012" t="b">
        <v>0</v>
      </c>
    </row>
    <row r="3013" spans="1:14" x14ac:dyDescent="0.3">
      <c r="A3013" t="s">
        <v>4059</v>
      </c>
      <c r="B3013" t="s">
        <v>516</v>
      </c>
      <c r="C3013" s="1">
        <v>45488</v>
      </c>
      <c r="D3013" s="1">
        <v>45653</v>
      </c>
      <c r="E3013" t="s">
        <v>39</v>
      </c>
      <c r="F3013">
        <v>9</v>
      </c>
      <c r="G3013" s="12">
        <v>441</v>
      </c>
      <c r="H3013" s="12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1047</v>
      </c>
      <c r="N3013" t="b">
        <v>0</v>
      </c>
    </row>
    <row r="3014" spans="1:14" x14ac:dyDescent="0.3">
      <c r="A3014" t="s">
        <v>4060</v>
      </c>
      <c r="B3014" t="s">
        <v>220</v>
      </c>
      <c r="C3014" s="1">
        <v>45417</v>
      </c>
      <c r="E3014" t="s">
        <v>39</v>
      </c>
      <c r="F3014">
        <v>37</v>
      </c>
      <c r="G3014" s="12">
        <v>1813</v>
      </c>
      <c r="H3014" s="12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1047</v>
      </c>
      <c r="N3014" t="b">
        <v>1</v>
      </c>
    </row>
    <row r="3015" spans="1:14" x14ac:dyDescent="0.3">
      <c r="A3015" t="s">
        <v>4061</v>
      </c>
      <c r="B3015" t="s">
        <v>508</v>
      </c>
      <c r="C3015" s="1">
        <v>45508</v>
      </c>
      <c r="E3015" t="s">
        <v>15</v>
      </c>
      <c r="F3015">
        <v>67</v>
      </c>
      <c r="G3015" s="12">
        <v>1273</v>
      </c>
      <c r="H3015" s="12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1047</v>
      </c>
      <c r="N3015" t="b">
        <v>1</v>
      </c>
    </row>
    <row r="3016" spans="1:14" x14ac:dyDescent="0.3">
      <c r="A3016" t="s">
        <v>4062</v>
      </c>
      <c r="B3016" t="s">
        <v>478</v>
      </c>
      <c r="C3016" s="1">
        <v>45578</v>
      </c>
      <c r="E3016" t="s">
        <v>32</v>
      </c>
      <c r="F3016">
        <v>1</v>
      </c>
      <c r="G3016" s="12">
        <v>199</v>
      </c>
      <c r="H3016" s="12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1050</v>
      </c>
      <c r="N3016" t="b">
        <v>1</v>
      </c>
    </row>
    <row r="3017" spans="1:14" x14ac:dyDescent="0.3">
      <c r="A3017" t="s">
        <v>4063</v>
      </c>
      <c r="B3017" t="s">
        <v>636</v>
      </c>
      <c r="C3017" s="1">
        <v>45553</v>
      </c>
      <c r="E3017" t="s">
        <v>32</v>
      </c>
      <c r="F3017">
        <v>27</v>
      </c>
      <c r="G3017" s="12">
        <v>5373</v>
      </c>
      <c r="H3017" s="12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1050</v>
      </c>
      <c r="N3017" t="b">
        <v>1</v>
      </c>
    </row>
    <row r="3018" spans="1:14" x14ac:dyDescent="0.3">
      <c r="A3018" t="s">
        <v>4064</v>
      </c>
      <c r="B3018" t="s">
        <v>778</v>
      </c>
      <c r="C3018" s="1">
        <v>45628</v>
      </c>
      <c r="E3018" t="s">
        <v>39</v>
      </c>
      <c r="F3018">
        <v>123</v>
      </c>
      <c r="G3018" s="12">
        <v>6027</v>
      </c>
      <c r="H3018" s="12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1047</v>
      </c>
      <c r="N3018" t="b">
        <v>1</v>
      </c>
    </row>
    <row r="3019" spans="1:14" x14ac:dyDescent="0.3">
      <c r="A3019" t="s">
        <v>4065</v>
      </c>
      <c r="B3019" t="s">
        <v>288</v>
      </c>
      <c r="C3019" s="1">
        <v>45549</v>
      </c>
      <c r="E3019" t="s">
        <v>32</v>
      </c>
      <c r="F3019">
        <v>15</v>
      </c>
      <c r="G3019" s="12">
        <v>2985</v>
      </c>
      <c r="H3019" s="12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1050</v>
      </c>
      <c r="N3019" t="b">
        <v>1</v>
      </c>
    </row>
    <row r="3020" spans="1:14" x14ac:dyDescent="0.3">
      <c r="A3020" t="s">
        <v>4066</v>
      </c>
      <c r="B3020" t="s">
        <v>524</v>
      </c>
      <c r="C3020" s="1">
        <v>45585</v>
      </c>
      <c r="D3020" s="1">
        <v>45623</v>
      </c>
      <c r="E3020" t="s">
        <v>39</v>
      </c>
      <c r="F3020">
        <v>23</v>
      </c>
      <c r="G3020" s="12">
        <v>1127</v>
      </c>
      <c r="H3020" s="12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1047</v>
      </c>
      <c r="N3020" t="b">
        <v>1</v>
      </c>
    </row>
    <row r="3021" spans="1:14" x14ac:dyDescent="0.3">
      <c r="A3021" t="s">
        <v>4067</v>
      </c>
      <c r="B3021" t="s">
        <v>1024</v>
      </c>
      <c r="C3021" s="1">
        <v>45617</v>
      </c>
      <c r="E3021" t="s">
        <v>32</v>
      </c>
      <c r="F3021">
        <v>27</v>
      </c>
      <c r="G3021" s="12">
        <v>5373</v>
      </c>
      <c r="H3021" s="12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1047</v>
      </c>
      <c r="N3021" t="b">
        <v>1</v>
      </c>
    </row>
    <row r="3022" spans="1:14" x14ac:dyDescent="0.3">
      <c r="A3022" t="s">
        <v>4068</v>
      </c>
      <c r="B3022" t="s">
        <v>460</v>
      </c>
      <c r="C3022" s="1">
        <v>45445</v>
      </c>
      <c r="E3022" t="s">
        <v>39</v>
      </c>
      <c r="F3022">
        <v>44</v>
      </c>
      <c r="G3022" s="12">
        <v>2156</v>
      </c>
      <c r="H3022" s="1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1050</v>
      </c>
      <c r="N3022" t="b">
        <v>1</v>
      </c>
    </row>
    <row r="3023" spans="1:14" x14ac:dyDescent="0.3">
      <c r="A3023" t="s">
        <v>4069</v>
      </c>
      <c r="B3023" t="s">
        <v>636</v>
      </c>
      <c r="C3023" s="1">
        <v>45273</v>
      </c>
      <c r="E3023" t="s">
        <v>15</v>
      </c>
      <c r="F3023">
        <v>9</v>
      </c>
      <c r="G3023" s="12">
        <v>171</v>
      </c>
      <c r="H3023" s="12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1047</v>
      </c>
      <c r="N3023" t="b">
        <v>1</v>
      </c>
    </row>
    <row r="3024" spans="1:14" x14ac:dyDescent="0.3">
      <c r="A3024" t="s">
        <v>4070</v>
      </c>
      <c r="B3024" t="s">
        <v>974</v>
      </c>
      <c r="C3024" s="1">
        <v>45615</v>
      </c>
      <c r="E3024" t="s">
        <v>32</v>
      </c>
      <c r="F3024">
        <v>48</v>
      </c>
      <c r="G3024" s="12">
        <v>9552</v>
      </c>
      <c r="H3024" s="12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1047</v>
      </c>
      <c r="N3024" t="b">
        <v>1</v>
      </c>
    </row>
    <row r="3025" spans="1:14" x14ac:dyDescent="0.3">
      <c r="A3025" t="s">
        <v>4071</v>
      </c>
      <c r="B3025" t="s">
        <v>1004</v>
      </c>
      <c r="C3025" s="1">
        <v>45647</v>
      </c>
      <c r="E3025" t="s">
        <v>32</v>
      </c>
      <c r="F3025">
        <v>21</v>
      </c>
      <c r="G3025" s="12">
        <v>4179</v>
      </c>
      <c r="H3025" s="12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1047</v>
      </c>
      <c r="N3025" t="b">
        <v>1</v>
      </c>
    </row>
    <row r="3026" spans="1:14" x14ac:dyDescent="0.3">
      <c r="A3026" t="s">
        <v>4072</v>
      </c>
      <c r="B3026" t="s">
        <v>162</v>
      </c>
      <c r="C3026" s="1">
        <v>45566</v>
      </c>
      <c r="E3026" t="s">
        <v>15</v>
      </c>
      <c r="F3026">
        <v>43</v>
      </c>
      <c r="G3026" s="12">
        <v>817</v>
      </c>
      <c r="H3026" s="12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1047</v>
      </c>
      <c r="N3026" t="b">
        <v>1</v>
      </c>
    </row>
    <row r="3027" spans="1:14" x14ac:dyDescent="0.3">
      <c r="A3027" t="s">
        <v>4073</v>
      </c>
      <c r="B3027" t="s">
        <v>346</v>
      </c>
      <c r="C3027" s="1">
        <v>45194</v>
      </c>
      <c r="E3027" t="s">
        <v>39</v>
      </c>
      <c r="F3027">
        <v>15</v>
      </c>
      <c r="G3027" s="12">
        <v>735</v>
      </c>
      <c r="H3027" s="12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1050</v>
      </c>
      <c r="N3027" t="b">
        <v>1</v>
      </c>
    </row>
    <row r="3028" spans="1:14" x14ac:dyDescent="0.3">
      <c r="A3028" t="s">
        <v>4074</v>
      </c>
      <c r="B3028" t="s">
        <v>434</v>
      </c>
      <c r="C3028" s="1">
        <v>45291</v>
      </c>
      <c r="E3028" t="s">
        <v>39</v>
      </c>
      <c r="F3028">
        <v>11</v>
      </c>
      <c r="G3028" s="12">
        <v>539</v>
      </c>
      <c r="H3028" s="12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1047</v>
      </c>
      <c r="N3028" t="b">
        <v>1</v>
      </c>
    </row>
    <row r="3029" spans="1:14" x14ac:dyDescent="0.3">
      <c r="A3029" t="s">
        <v>4075</v>
      </c>
      <c r="B3029" t="s">
        <v>704</v>
      </c>
      <c r="C3029" s="1">
        <v>45570</v>
      </c>
      <c r="E3029" t="s">
        <v>15</v>
      </c>
      <c r="F3029">
        <v>87</v>
      </c>
      <c r="G3029" s="12">
        <v>1653</v>
      </c>
      <c r="H3029" s="12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1047</v>
      </c>
      <c r="N3029" t="b">
        <v>1</v>
      </c>
    </row>
    <row r="3030" spans="1:14" x14ac:dyDescent="0.3">
      <c r="A3030" t="s">
        <v>4076</v>
      </c>
      <c r="B3030" t="s">
        <v>338</v>
      </c>
      <c r="C3030" s="1">
        <v>45385</v>
      </c>
      <c r="E3030" t="s">
        <v>15</v>
      </c>
      <c r="F3030">
        <v>27</v>
      </c>
      <c r="G3030" s="12">
        <v>513</v>
      </c>
      <c r="H3030" s="12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1047</v>
      </c>
      <c r="N3030" t="b">
        <v>1</v>
      </c>
    </row>
    <row r="3031" spans="1:14" x14ac:dyDescent="0.3">
      <c r="A3031" t="s">
        <v>4077</v>
      </c>
      <c r="B3031" t="s">
        <v>270</v>
      </c>
      <c r="C3031" s="1">
        <v>45420</v>
      </c>
      <c r="E3031" t="s">
        <v>39</v>
      </c>
      <c r="F3031">
        <v>9</v>
      </c>
      <c r="G3031" s="12">
        <v>441</v>
      </c>
      <c r="H3031" s="12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1047</v>
      </c>
      <c r="N3031" t="b">
        <v>0</v>
      </c>
    </row>
    <row r="3032" spans="1:14" x14ac:dyDescent="0.3">
      <c r="A3032" t="s">
        <v>4078</v>
      </c>
      <c r="B3032" t="s">
        <v>770</v>
      </c>
      <c r="C3032" s="1">
        <v>45502</v>
      </c>
      <c r="E3032" t="s">
        <v>15</v>
      </c>
      <c r="F3032">
        <v>37</v>
      </c>
      <c r="G3032" s="12">
        <v>703</v>
      </c>
      <c r="H3032" s="1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1050</v>
      </c>
      <c r="N3032" t="b">
        <v>1</v>
      </c>
    </row>
    <row r="3033" spans="1:14" x14ac:dyDescent="0.3">
      <c r="A3033" t="s">
        <v>4079</v>
      </c>
      <c r="B3033" t="s">
        <v>21</v>
      </c>
      <c r="C3033" s="1">
        <v>45592</v>
      </c>
      <c r="E3033" t="s">
        <v>15</v>
      </c>
      <c r="F3033">
        <v>12</v>
      </c>
      <c r="G3033" s="12">
        <v>228</v>
      </c>
      <c r="H3033" s="12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1050</v>
      </c>
      <c r="N3033" t="b">
        <v>1</v>
      </c>
    </row>
    <row r="3034" spans="1:14" x14ac:dyDescent="0.3">
      <c r="A3034" t="s">
        <v>4080</v>
      </c>
      <c r="B3034" t="s">
        <v>132</v>
      </c>
      <c r="C3034" s="1">
        <v>45621</v>
      </c>
      <c r="E3034" t="s">
        <v>32</v>
      </c>
      <c r="F3034">
        <v>13</v>
      </c>
      <c r="G3034" s="12">
        <v>2587</v>
      </c>
      <c r="H3034" s="12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1050</v>
      </c>
      <c r="N3034" t="b">
        <v>1</v>
      </c>
    </row>
    <row r="3035" spans="1:14" x14ac:dyDescent="0.3">
      <c r="A3035" t="s">
        <v>4081</v>
      </c>
      <c r="B3035" t="s">
        <v>744</v>
      </c>
      <c r="C3035" s="1">
        <v>45281</v>
      </c>
      <c r="E3035" t="s">
        <v>39</v>
      </c>
      <c r="F3035">
        <v>5</v>
      </c>
      <c r="G3035" s="12">
        <v>245</v>
      </c>
      <c r="H3035" s="12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1050</v>
      </c>
      <c r="N3035" t="b">
        <v>1</v>
      </c>
    </row>
    <row r="3036" spans="1:14" x14ac:dyDescent="0.3">
      <c r="A3036" t="s">
        <v>4082</v>
      </c>
      <c r="B3036" t="s">
        <v>880</v>
      </c>
      <c r="C3036" s="1">
        <v>45561</v>
      </c>
      <c r="E3036" t="s">
        <v>32</v>
      </c>
      <c r="F3036">
        <v>76</v>
      </c>
      <c r="G3036" s="12">
        <v>15124</v>
      </c>
      <c r="H3036" s="12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1047</v>
      </c>
      <c r="N3036" t="b">
        <v>1</v>
      </c>
    </row>
    <row r="3037" spans="1:14" x14ac:dyDescent="0.3">
      <c r="A3037" t="s">
        <v>4083</v>
      </c>
      <c r="B3037" t="s">
        <v>810</v>
      </c>
      <c r="C3037" s="1">
        <v>45186</v>
      </c>
      <c r="E3037" t="s">
        <v>39</v>
      </c>
      <c r="F3037">
        <v>19</v>
      </c>
      <c r="G3037" s="12">
        <v>0</v>
      </c>
      <c r="H3037" s="12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1047</v>
      </c>
      <c r="N3037" t="b">
        <v>1</v>
      </c>
    </row>
    <row r="3038" spans="1:14" x14ac:dyDescent="0.3">
      <c r="A3038" t="s">
        <v>4084</v>
      </c>
      <c r="B3038" t="s">
        <v>354</v>
      </c>
      <c r="C3038" s="1">
        <v>45653</v>
      </c>
      <c r="E3038" t="s">
        <v>39</v>
      </c>
      <c r="F3038">
        <v>1</v>
      </c>
      <c r="G3038" s="12">
        <v>49</v>
      </c>
      <c r="H3038" s="12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1050</v>
      </c>
      <c r="N3038" t="b">
        <v>1</v>
      </c>
    </row>
    <row r="3039" spans="1:14" x14ac:dyDescent="0.3">
      <c r="A3039" t="s">
        <v>4085</v>
      </c>
      <c r="B3039" t="s">
        <v>948</v>
      </c>
      <c r="C3039" s="1">
        <v>45586</v>
      </c>
      <c r="E3039" t="s">
        <v>32</v>
      </c>
      <c r="F3039">
        <v>14</v>
      </c>
      <c r="G3039" s="12">
        <v>2786</v>
      </c>
      <c r="H3039" s="12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1050</v>
      </c>
      <c r="N3039" t="b">
        <v>1</v>
      </c>
    </row>
    <row r="3040" spans="1:14" x14ac:dyDescent="0.3">
      <c r="A3040" t="s">
        <v>4086</v>
      </c>
      <c r="B3040" t="s">
        <v>640</v>
      </c>
      <c r="C3040" s="1">
        <v>45574</v>
      </c>
      <c r="E3040" t="s">
        <v>32</v>
      </c>
      <c r="F3040">
        <v>29</v>
      </c>
      <c r="G3040" s="12">
        <v>5771</v>
      </c>
      <c r="H3040" s="12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1047</v>
      </c>
      <c r="N3040" t="b">
        <v>1</v>
      </c>
    </row>
    <row r="3041" spans="1:14" x14ac:dyDescent="0.3">
      <c r="A3041" t="s">
        <v>4087</v>
      </c>
      <c r="B3041" t="s">
        <v>384</v>
      </c>
      <c r="C3041" s="1">
        <v>45641</v>
      </c>
      <c r="E3041" t="s">
        <v>32</v>
      </c>
      <c r="F3041">
        <v>163</v>
      </c>
      <c r="G3041" s="12">
        <v>32437</v>
      </c>
      <c r="H3041" s="12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1047</v>
      </c>
      <c r="N3041" t="b">
        <v>1</v>
      </c>
    </row>
    <row r="3042" spans="1:14" x14ac:dyDescent="0.3">
      <c r="A3042" t="s">
        <v>4088</v>
      </c>
      <c r="B3042" t="s">
        <v>256</v>
      </c>
      <c r="C3042" s="1">
        <v>45645</v>
      </c>
      <c r="E3042" t="s">
        <v>32</v>
      </c>
      <c r="F3042">
        <v>10</v>
      </c>
      <c r="G3042" s="12">
        <v>1990</v>
      </c>
      <c r="H3042" s="1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1047</v>
      </c>
      <c r="N3042" t="b">
        <v>1</v>
      </c>
    </row>
    <row r="3043" spans="1:14" x14ac:dyDescent="0.3">
      <c r="A3043" t="s">
        <v>4089</v>
      </c>
      <c r="B3043" t="s">
        <v>816</v>
      </c>
      <c r="C3043" s="1">
        <v>45551</v>
      </c>
      <c r="E3043" t="s">
        <v>39</v>
      </c>
      <c r="F3043">
        <v>45</v>
      </c>
      <c r="G3043" s="12">
        <v>2205</v>
      </c>
      <c r="H3043" s="12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1050</v>
      </c>
      <c r="N3043" t="b">
        <v>1</v>
      </c>
    </row>
    <row r="3044" spans="1:14" x14ac:dyDescent="0.3">
      <c r="A3044" t="s">
        <v>4090</v>
      </c>
      <c r="B3044" t="s">
        <v>378</v>
      </c>
      <c r="C3044" s="1">
        <v>45428</v>
      </c>
      <c r="E3044" t="s">
        <v>15</v>
      </c>
      <c r="F3044">
        <v>70</v>
      </c>
      <c r="G3044" s="12">
        <v>1330</v>
      </c>
      <c r="H3044" s="12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1050</v>
      </c>
      <c r="N3044" t="b">
        <v>1</v>
      </c>
    </row>
    <row r="3045" spans="1:14" x14ac:dyDescent="0.3">
      <c r="A3045" t="s">
        <v>4091</v>
      </c>
      <c r="B3045" t="s">
        <v>966</v>
      </c>
      <c r="C3045" s="1">
        <v>45473</v>
      </c>
      <c r="E3045" t="s">
        <v>32</v>
      </c>
      <c r="F3045">
        <v>21</v>
      </c>
      <c r="G3045" s="12">
        <v>4179</v>
      </c>
      <c r="H3045" s="12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1047</v>
      </c>
      <c r="N3045" t="b">
        <v>1</v>
      </c>
    </row>
    <row r="3046" spans="1:14" x14ac:dyDescent="0.3">
      <c r="A3046" t="s">
        <v>4092</v>
      </c>
      <c r="B3046" t="s">
        <v>170</v>
      </c>
      <c r="C3046" s="1">
        <v>45641</v>
      </c>
      <c r="E3046" t="s">
        <v>15</v>
      </c>
      <c r="F3046">
        <v>15</v>
      </c>
      <c r="G3046" s="12">
        <v>285</v>
      </c>
      <c r="H3046" s="12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1047</v>
      </c>
      <c r="N3046" t="b">
        <v>1</v>
      </c>
    </row>
    <row r="3047" spans="1:14" x14ac:dyDescent="0.3">
      <c r="A3047" t="s">
        <v>4093</v>
      </c>
      <c r="B3047" t="s">
        <v>246</v>
      </c>
      <c r="C3047" s="1">
        <v>45305</v>
      </c>
      <c r="D3047" s="1">
        <v>45352</v>
      </c>
      <c r="E3047" t="s">
        <v>39</v>
      </c>
      <c r="F3047">
        <v>61</v>
      </c>
      <c r="G3047" s="12">
        <v>2989</v>
      </c>
      <c r="H3047" s="12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1050</v>
      </c>
      <c r="N3047" t="b">
        <v>1</v>
      </c>
    </row>
    <row r="3048" spans="1:14" x14ac:dyDescent="0.3">
      <c r="A3048" t="s">
        <v>4094</v>
      </c>
      <c r="B3048" t="s">
        <v>422</v>
      </c>
      <c r="C3048" s="1">
        <v>45555</v>
      </c>
      <c r="E3048" t="s">
        <v>15</v>
      </c>
      <c r="F3048">
        <v>9</v>
      </c>
      <c r="G3048" s="12">
        <v>171</v>
      </c>
      <c r="H3048" s="12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1050</v>
      </c>
      <c r="N3048" t="b">
        <v>1</v>
      </c>
    </row>
    <row r="3049" spans="1:14" x14ac:dyDescent="0.3">
      <c r="A3049" t="s">
        <v>4095</v>
      </c>
      <c r="B3049" t="s">
        <v>184</v>
      </c>
      <c r="C3049" s="1">
        <v>45332</v>
      </c>
      <c r="E3049" t="s">
        <v>39</v>
      </c>
      <c r="F3049">
        <v>13</v>
      </c>
      <c r="G3049" s="12">
        <v>0</v>
      </c>
      <c r="H3049" s="12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1050</v>
      </c>
      <c r="N3049" t="b">
        <v>1</v>
      </c>
    </row>
    <row r="3050" spans="1:14" x14ac:dyDescent="0.3">
      <c r="A3050" t="s">
        <v>4096</v>
      </c>
      <c r="B3050" t="s">
        <v>720</v>
      </c>
      <c r="C3050" s="1">
        <v>45574</v>
      </c>
      <c r="E3050" t="s">
        <v>39</v>
      </c>
      <c r="F3050">
        <v>44</v>
      </c>
      <c r="G3050" s="12">
        <v>2156</v>
      </c>
      <c r="H3050" s="12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1047</v>
      </c>
      <c r="N3050" t="b">
        <v>1</v>
      </c>
    </row>
    <row r="3051" spans="1:14" x14ac:dyDescent="0.3">
      <c r="A3051" t="s">
        <v>4097</v>
      </c>
      <c r="B3051" t="s">
        <v>296</v>
      </c>
      <c r="C3051" s="1">
        <v>45386</v>
      </c>
      <c r="E3051" t="s">
        <v>15</v>
      </c>
      <c r="F3051">
        <v>28</v>
      </c>
      <c r="G3051" s="12">
        <v>532</v>
      </c>
      <c r="H3051" s="12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1047</v>
      </c>
      <c r="N3051" t="b">
        <v>1</v>
      </c>
    </row>
    <row r="3052" spans="1:14" x14ac:dyDescent="0.3">
      <c r="A3052" t="s">
        <v>4098</v>
      </c>
      <c r="B3052" t="s">
        <v>436</v>
      </c>
      <c r="C3052" s="1">
        <v>45558</v>
      </c>
      <c r="E3052" t="s">
        <v>32</v>
      </c>
      <c r="F3052">
        <v>58</v>
      </c>
      <c r="G3052" s="12">
        <v>0</v>
      </c>
      <c r="H3052" s="1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1047</v>
      </c>
      <c r="N3052" t="b">
        <v>1</v>
      </c>
    </row>
    <row r="3053" spans="1:14" x14ac:dyDescent="0.3">
      <c r="A3053" t="s">
        <v>4099</v>
      </c>
      <c r="B3053" t="s">
        <v>506</v>
      </c>
      <c r="C3053" s="1">
        <v>45646</v>
      </c>
      <c r="E3053" t="s">
        <v>15</v>
      </c>
      <c r="F3053">
        <v>19</v>
      </c>
      <c r="G3053" s="12">
        <v>0</v>
      </c>
      <c r="H3053" s="12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1050</v>
      </c>
      <c r="N3053" t="b">
        <v>0</v>
      </c>
    </row>
    <row r="3054" spans="1:14" x14ac:dyDescent="0.3">
      <c r="A3054" t="s">
        <v>4100</v>
      </c>
      <c r="B3054" t="s">
        <v>732</v>
      </c>
      <c r="C3054" s="1">
        <v>45564</v>
      </c>
      <c r="E3054" t="s">
        <v>15</v>
      </c>
      <c r="F3054">
        <v>45</v>
      </c>
      <c r="G3054" s="12">
        <v>855</v>
      </c>
      <c r="H3054" s="12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1050</v>
      </c>
      <c r="N3054" t="b">
        <v>0</v>
      </c>
    </row>
    <row r="3055" spans="1:14" x14ac:dyDescent="0.3">
      <c r="A3055" t="s">
        <v>4101</v>
      </c>
      <c r="B3055" t="s">
        <v>852</v>
      </c>
      <c r="C3055" s="1">
        <v>45147</v>
      </c>
      <c r="E3055" t="s">
        <v>15</v>
      </c>
      <c r="F3055">
        <v>8</v>
      </c>
      <c r="G3055" s="12">
        <v>152</v>
      </c>
      <c r="H3055" s="12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1050</v>
      </c>
      <c r="N3055" t="b">
        <v>1</v>
      </c>
    </row>
    <row r="3056" spans="1:14" x14ac:dyDescent="0.3">
      <c r="A3056" t="s">
        <v>4102</v>
      </c>
      <c r="B3056" t="s">
        <v>160</v>
      </c>
      <c r="C3056" s="1">
        <v>45651</v>
      </c>
      <c r="E3056" t="s">
        <v>39</v>
      </c>
      <c r="F3056">
        <v>12</v>
      </c>
      <c r="G3056" s="12">
        <v>588</v>
      </c>
      <c r="H3056" s="12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1050</v>
      </c>
      <c r="N3056" t="b">
        <v>1</v>
      </c>
    </row>
    <row r="3057" spans="1:14" x14ac:dyDescent="0.3">
      <c r="A3057" t="s">
        <v>4103</v>
      </c>
      <c r="B3057" t="s">
        <v>33</v>
      </c>
      <c r="C3057" s="1">
        <v>45459</v>
      </c>
      <c r="E3057" t="s">
        <v>32</v>
      </c>
      <c r="F3057">
        <v>35</v>
      </c>
      <c r="G3057" s="12">
        <v>6965</v>
      </c>
      <c r="H3057" s="12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1050</v>
      </c>
      <c r="N3057" t="b">
        <v>1</v>
      </c>
    </row>
    <row r="3058" spans="1:14" x14ac:dyDescent="0.3">
      <c r="A3058" t="s">
        <v>4104</v>
      </c>
      <c r="B3058" t="s">
        <v>462</v>
      </c>
      <c r="C3058" s="1">
        <v>45645</v>
      </c>
      <c r="E3058" t="s">
        <v>15</v>
      </c>
      <c r="F3058">
        <v>31</v>
      </c>
      <c r="G3058" s="12">
        <v>589</v>
      </c>
      <c r="H3058" s="12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1050</v>
      </c>
      <c r="N3058" t="b">
        <v>1</v>
      </c>
    </row>
    <row r="3059" spans="1:14" x14ac:dyDescent="0.3">
      <c r="A3059" t="s">
        <v>4105</v>
      </c>
      <c r="B3059" t="s">
        <v>464</v>
      </c>
      <c r="C3059" s="1">
        <v>45261</v>
      </c>
      <c r="E3059" t="s">
        <v>32</v>
      </c>
      <c r="F3059">
        <v>29</v>
      </c>
      <c r="G3059" s="12">
        <v>5771</v>
      </c>
      <c r="H3059" s="12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1047</v>
      </c>
      <c r="N3059" t="b">
        <v>1</v>
      </c>
    </row>
    <row r="3060" spans="1:14" x14ac:dyDescent="0.3">
      <c r="A3060" t="s">
        <v>4106</v>
      </c>
      <c r="B3060" t="s">
        <v>648</v>
      </c>
      <c r="C3060" s="1">
        <v>45590</v>
      </c>
      <c r="E3060" t="s">
        <v>32</v>
      </c>
      <c r="F3060">
        <v>15</v>
      </c>
      <c r="G3060" s="12">
        <v>2985</v>
      </c>
      <c r="H3060" s="12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1050</v>
      </c>
      <c r="N3060" t="b">
        <v>1</v>
      </c>
    </row>
    <row r="3061" spans="1:14" x14ac:dyDescent="0.3">
      <c r="A3061" t="s">
        <v>4107</v>
      </c>
      <c r="B3061" t="s">
        <v>828</v>
      </c>
      <c r="C3061" s="1">
        <v>45578</v>
      </c>
      <c r="D3061" s="1">
        <v>45620</v>
      </c>
      <c r="E3061" t="s">
        <v>32</v>
      </c>
      <c r="F3061">
        <v>69</v>
      </c>
      <c r="G3061" s="12">
        <v>13731</v>
      </c>
      <c r="H3061" s="12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1050</v>
      </c>
      <c r="N3061" t="b">
        <v>1</v>
      </c>
    </row>
    <row r="3062" spans="1:14" x14ac:dyDescent="0.3">
      <c r="A3062" t="s">
        <v>4108</v>
      </c>
      <c r="B3062" t="s">
        <v>144</v>
      </c>
      <c r="C3062" s="1">
        <v>45527</v>
      </c>
      <c r="E3062" t="s">
        <v>39</v>
      </c>
      <c r="F3062">
        <v>26</v>
      </c>
      <c r="G3062" s="12">
        <v>1274</v>
      </c>
      <c r="H3062" s="1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1050</v>
      </c>
      <c r="N3062" t="b">
        <v>1</v>
      </c>
    </row>
    <row r="3063" spans="1:14" x14ac:dyDescent="0.3">
      <c r="A3063" t="s">
        <v>4109</v>
      </c>
      <c r="B3063" t="s">
        <v>920</v>
      </c>
      <c r="C3063" s="1">
        <v>45557</v>
      </c>
      <c r="E3063" t="s">
        <v>15</v>
      </c>
      <c r="F3063">
        <v>21</v>
      </c>
      <c r="G3063" s="12">
        <v>399</v>
      </c>
      <c r="H3063" s="12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1047</v>
      </c>
      <c r="N3063" t="b">
        <v>1</v>
      </c>
    </row>
    <row r="3064" spans="1:14" x14ac:dyDescent="0.3">
      <c r="A3064" t="s">
        <v>4110</v>
      </c>
      <c r="B3064" t="s">
        <v>25</v>
      </c>
      <c r="C3064" s="1">
        <v>45337</v>
      </c>
      <c r="E3064" t="s">
        <v>32</v>
      </c>
      <c r="F3064">
        <v>24</v>
      </c>
      <c r="G3064" s="12">
        <v>4776</v>
      </c>
      <c r="H3064" s="12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1050</v>
      </c>
      <c r="N3064" t="b">
        <v>1</v>
      </c>
    </row>
    <row r="3065" spans="1:14" x14ac:dyDescent="0.3">
      <c r="A3065" t="s">
        <v>4111</v>
      </c>
      <c r="B3065" t="s">
        <v>232</v>
      </c>
      <c r="C3065" s="1">
        <v>45610</v>
      </c>
      <c r="E3065" t="s">
        <v>39</v>
      </c>
      <c r="F3065">
        <v>20</v>
      </c>
      <c r="G3065" s="12">
        <v>0</v>
      </c>
      <c r="H3065" s="12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1047</v>
      </c>
      <c r="N3065" t="b">
        <v>1</v>
      </c>
    </row>
    <row r="3066" spans="1:14" x14ac:dyDescent="0.3">
      <c r="A3066" t="s">
        <v>4112</v>
      </c>
      <c r="B3066" t="s">
        <v>504</v>
      </c>
      <c r="C3066" s="1">
        <v>45350</v>
      </c>
      <c r="E3066" t="s">
        <v>15</v>
      </c>
      <c r="F3066">
        <v>18</v>
      </c>
      <c r="G3066" s="12">
        <v>342</v>
      </c>
      <c r="H3066" s="12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1047</v>
      </c>
      <c r="N3066" t="b">
        <v>0</v>
      </c>
    </row>
    <row r="3067" spans="1:14" x14ac:dyDescent="0.3">
      <c r="A3067" t="s">
        <v>4113</v>
      </c>
      <c r="B3067" t="s">
        <v>918</v>
      </c>
      <c r="C3067" s="1">
        <v>45655</v>
      </c>
      <c r="E3067" t="s">
        <v>39</v>
      </c>
      <c r="F3067">
        <v>5</v>
      </c>
      <c r="G3067" s="12">
        <v>0</v>
      </c>
      <c r="H3067" s="12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1050</v>
      </c>
      <c r="N3067" t="b">
        <v>1</v>
      </c>
    </row>
    <row r="3068" spans="1:14" x14ac:dyDescent="0.3">
      <c r="A3068" t="s">
        <v>4114</v>
      </c>
      <c r="B3068" t="s">
        <v>78</v>
      </c>
      <c r="C3068" s="1">
        <v>45605</v>
      </c>
      <c r="E3068" t="s">
        <v>32</v>
      </c>
      <c r="F3068">
        <v>26</v>
      </c>
      <c r="G3068" s="12">
        <v>5174</v>
      </c>
      <c r="H3068" s="12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1050</v>
      </c>
      <c r="N3068" t="b">
        <v>1</v>
      </c>
    </row>
    <row r="3069" spans="1:14" x14ac:dyDescent="0.3">
      <c r="A3069" t="s">
        <v>4115</v>
      </c>
      <c r="B3069" t="s">
        <v>288</v>
      </c>
      <c r="C3069" s="1">
        <v>45575</v>
      </c>
      <c r="D3069" s="1">
        <v>45612</v>
      </c>
      <c r="E3069" t="s">
        <v>39</v>
      </c>
      <c r="F3069">
        <v>3</v>
      </c>
      <c r="G3069" s="12">
        <v>0</v>
      </c>
      <c r="H3069" s="12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1047</v>
      </c>
      <c r="N3069" t="b">
        <v>1</v>
      </c>
    </row>
    <row r="3070" spans="1:14" x14ac:dyDescent="0.3">
      <c r="A3070" t="s">
        <v>4116</v>
      </c>
      <c r="B3070" t="s">
        <v>584</v>
      </c>
      <c r="C3070" s="1">
        <v>45444</v>
      </c>
      <c r="E3070" t="s">
        <v>15</v>
      </c>
      <c r="F3070">
        <v>40</v>
      </c>
      <c r="G3070" s="12">
        <v>760</v>
      </c>
      <c r="H3070" s="12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1050</v>
      </c>
      <c r="N3070" t="b">
        <v>1</v>
      </c>
    </row>
    <row r="3071" spans="1:14" x14ac:dyDescent="0.3">
      <c r="A3071" t="s">
        <v>4117</v>
      </c>
      <c r="B3071" t="s">
        <v>394</v>
      </c>
      <c r="C3071" s="1">
        <v>45451</v>
      </c>
      <c r="E3071" t="s">
        <v>15</v>
      </c>
      <c r="F3071">
        <v>2</v>
      </c>
      <c r="G3071" s="12">
        <v>38</v>
      </c>
      <c r="H3071" s="12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1050</v>
      </c>
      <c r="N3071" t="b">
        <v>0</v>
      </c>
    </row>
    <row r="3072" spans="1:14" x14ac:dyDescent="0.3">
      <c r="A3072" t="s">
        <v>4118</v>
      </c>
      <c r="B3072" t="s">
        <v>362</v>
      </c>
      <c r="C3072" s="1">
        <v>45337</v>
      </c>
      <c r="E3072" t="s">
        <v>32</v>
      </c>
      <c r="F3072">
        <v>73</v>
      </c>
      <c r="G3072" s="12">
        <v>14527</v>
      </c>
      <c r="H3072" s="1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1047</v>
      </c>
      <c r="N3072" t="b">
        <v>1</v>
      </c>
    </row>
    <row r="3073" spans="1:14" x14ac:dyDescent="0.3">
      <c r="A3073" t="s">
        <v>4119</v>
      </c>
      <c r="B3073" t="s">
        <v>640</v>
      </c>
      <c r="C3073" s="1">
        <v>45430</v>
      </c>
      <c r="E3073" t="s">
        <v>39</v>
      </c>
      <c r="F3073">
        <v>61</v>
      </c>
      <c r="G3073" s="12">
        <v>2989</v>
      </c>
      <c r="H3073" s="12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1047</v>
      </c>
      <c r="N3073" t="b">
        <v>1</v>
      </c>
    </row>
    <row r="3074" spans="1:14" x14ac:dyDescent="0.3">
      <c r="A3074" t="s">
        <v>4120</v>
      </c>
      <c r="B3074" t="s">
        <v>574</v>
      </c>
      <c r="C3074" s="1">
        <v>45643</v>
      </c>
      <c r="E3074" t="s">
        <v>15</v>
      </c>
      <c r="F3074">
        <v>17</v>
      </c>
      <c r="G3074" s="12">
        <v>323</v>
      </c>
      <c r="H3074" s="12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1047</v>
      </c>
      <c r="N3074" t="b">
        <v>0</v>
      </c>
    </row>
    <row r="3075" spans="1:14" x14ac:dyDescent="0.3">
      <c r="A3075" t="s">
        <v>4121</v>
      </c>
      <c r="B3075" t="s">
        <v>116</v>
      </c>
      <c r="C3075" s="1">
        <v>45546</v>
      </c>
      <c r="D3075" s="1">
        <v>45562</v>
      </c>
      <c r="E3075" t="s">
        <v>15</v>
      </c>
      <c r="F3075">
        <v>14</v>
      </c>
      <c r="G3075" s="12">
        <v>266</v>
      </c>
      <c r="H3075" s="12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1047</v>
      </c>
      <c r="N3075" t="b">
        <v>0</v>
      </c>
    </row>
    <row r="3076" spans="1:14" x14ac:dyDescent="0.3">
      <c r="A3076" t="s">
        <v>4122</v>
      </c>
      <c r="B3076" t="s">
        <v>678</v>
      </c>
      <c r="C3076" s="1">
        <v>45652</v>
      </c>
      <c r="E3076" t="s">
        <v>39</v>
      </c>
      <c r="F3076">
        <v>26</v>
      </c>
      <c r="G3076" s="12">
        <v>1274</v>
      </c>
      <c r="H3076" s="12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1050</v>
      </c>
      <c r="N3076" t="b">
        <v>1</v>
      </c>
    </row>
    <row r="3077" spans="1:14" x14ac:dyDescent="0.3">
      <c r="A3077" t="s">
        <v>4123</v>
      </c>
      <c r="B3077" t="s">
        <v>382</v>
      </c>
      <c r="C3077" s="1">
        <v>45429</v>
      </c>
      <c r="E3077" t="s">
        <v>32</v>
      </c>
      <c r="F3077">
        <v>14</v>
      </c>
      <c r="G3077" s="12">
        <v>2786</v>
      </c>
      <c r="H3077" s="12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1047</v>
      </c>
      <c r="N3077" t="b">
        <v>0</v>
      </c>
    </row>
    <row r="3078" spans="1:14" x14ac:dyDescent="0.3">
      <c r="A3078" t="s">
        <v>4124</v>
      </c>
      <c r="B3078" t="s">
        <v>970</v>
      </c>
      <c r="C3078" s="1">
        <v>45616</v>
      </c>
      <c r="E3078" t="s">
        <v>32</v>
      </c>
      <c r="F3078">
        <v>29</v>
      </c>
      <c r="G3078" s="12">
        <v>5771</v>
      </c>
      <c r="H3078" s="12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1050</v>
      </c>
      <c r="N3078" t="b">
        <v>1</v>
      </c>
    </row>
    <row r="3079" spans="1:14" x14ac:dyDescent="0.3">
      <c r="A3079" t="s">
        <v>4125</v>
      </c>
      <c r="B3079" t="s">
        <v>68</v>
      </c>
      <c r="C3079" s="1">
        <v>45435</v>
      </c>
      <c r="E3079" t="s">
        <v>39</v>
      </c>
      <c r="F3079">
        <v>23</v>
      </c>
      <c r="G3079" s="12">
        <v>1127</v>
      </c>
      <c r="H3079" s="12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1050</v>
      </c>
      <c r="N3079" t="b">
        <v>1</v>
      </c>
    </row>
    <row r="3080" spans="1:14" x14ac:dyDescent="0.3">
      <c r="A3080" t="s">
        <v>4126</v>
      </c>
      <c r="B3080" t="s">
        <v>66</v>
      </c>
      <c r="C3080" s="1">
        <v>45324</v>
      </c>
      <c r="E3080" t="s">
        <v>32</v>
      </c>
      <c r="F3080">
        <v>19</v>
      </c>
      <c r="G3080" s="12">
        <v>3781</v>
      </c>
      <c r="H3080" s="12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1047</v>
      </c>
      <c r="N3080" t="b">
        <v>0</v>
      </c>
    </row>
    <row r="3081" spans="1:14" x14ac:dyDescent="0.3">
      <c r="A3081" t="s">
        <v>4127</v>
      </c>
      <c r="B3081" t="s">
        <v>420</v>
      </c>
      <c r="C3081" s="1">
        <v>45641</v>
      </c>
      <c r="D3081" s="1">
        <v>45643</v>
      </c>
      <c r="E3081" t="s">
        <v>32</v>
      </c>
      <c r="F3081">
        <v>28</v>
      </c>
      <c r="G3081" s="12">
        <v>5572</v>
      </c>
      <c r="H3081" s="12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1050</v>
      </c>
      <c r="N3081" t="b">
        <v>1</v>
      </c>
    </row>
    <row r="3082" spans="1:14" x14ac:dyDescent="0.3">
      <c r="A3082" t="s">
        <v>4128</v>
      </c>
      <c r="B3082" t="s">
        <v>978</v>
      </c>
      <c r="C3082" s="1">
        <v>45604</v>
      </c>
      <c r="E3082" t="s">
        <v>32</v>
      </c>
      <c r="F3082">
        <v>44</v>
      </c>
      <c r="G3082" s="12">
        <v>8756</v>
      </c>
      <c r="H3082" s="1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1050</v>
      </c>
      <c r="N3082" t="b">
        <v>0</v>
      </c>
    </row>
    <row r="3083" spans="1:14" x14ac:dyDescent="0.3">
      <c r="A3083" t="s">
        <v>4129</v>
      </c>
      <c r="B3083" t="s">
        <v>462</v>
      </c>
      <c r="C3083" s="1">
        <v>45456</v>
      </c>
      <c r="E3083" t="s">
        <v>15</v>
      </c>
      <c r="F3083">
        <v>31</v>
      </c>
      <c r="G3083" s="12">
        <v>589</v>
      </c>
      <c r="H3083" s="12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1047</v>
      </c>
      <c r="N3083" t="b">
        <v>1</v>
      </c>
    </row>
    <row r="3084" spans="1:14" x14ac:dyDescent="0.3">
      <c r="A3084" t="s">
        <v>4130</v>
      </c>
      <c r="B3084" t="s">
        <v>1002</v>
      </c>
      <c r="C3084" s="1">
        <v>45212</v>
      </c>
      <c r="E3084" t="s">
        <v>32</v>
      </c>
      <c r="F3084">
        <v>4</v>
      </c>
      <c r="G3084" s="12">
        <v>796</v>
      </c>
      <c r="H3084" s="12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1047</v>
      </c>
      <c r="N3084" t="b">
        <v>1</v>
      </c>
    </row>
    <row r="3085" spans="1:14" x14ac:dyDescent="0.3">
      <c r="A3085" t="s">
        <v>4131</v>
      </c>
      <c r="B3085" t="s">
        <v>886</v>
      </c>
      <c r="C3085" s="1">
        <v>45573</v>
      </c>
      <c r="E3085" t="s">
        <v>15</v>
      </c>
      <c r="F3085">
        <v>11</v>
      </c>
      <c r="G3085" s="12">
        <v>209</v>
      </c>
      <c r="H3085" s="12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1047</v>
      </c>
      <c r="N3085" t="b">
        <v>1</v>
      </c>
    </row>
    <row r="3086" spans="1:14" x14ac:dyDescent="0.3">
      <c r="A3086" t="s">
        <v>4132</v>
      </c>
      <c r="B3086" t="s">
        <v>614</v>
      </c>
      <c r="C3086" s="1">
        <v>45620</v>
      </c>
      <c r="E3086" t="s">
        <v>39</v>
      </c>
      <c r="F3086">
        <v>25</v>
      </c>
      <c r="G3086" s="12">
        <v>1225</v>
      </c>
      <c r="H3086" s="12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1047</v>
      </c>
      <c r="N3086" t="b">
        <v>1</v>
      </c>
    </row>
    <row r="3087" spans="1:14" x14ac:dyDescent="0.3">
      <c r="A3087" t="s">
        <v>4133</v>
      </c>
      <c r="B3087" t="s">
        <v>740</v>
      </c>
      <c r="C3087" s="1">
        <v>45487</v>
      </c>
      <c r="E3087" t="s">
        <v>39</v>
      </c>
      <c r="F3087">
        <v>26</v>
      </c>
      <c r="G3087" s="12">
        <v>0</v>
      </c>
      <c r="H3087" s="12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1050</v>
      </c>
      <c r="N3087" t="b">
        <v>0</v>
      </c>
    </row>
    <row r="3088" spans="1:14" x14ac:dyDescent="0.3">
      <c r="A3088" t="s">
        <v>4134</v>
      </c>
      <c r="B3088" t="s">
        <v>250</v>
      </c>
      <c r="C3088" s="1">
        <v>45510</v>
      </c>
      <c r="E3088" t="s">
        <v>39</v>
      </c>
      <c r="F3088">
        <v>27</v>
      </c>
      <c r="G3088" s="12">
        <v>1323</v>
      </c>
      <c r="H3088" s="12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1047</v>
      </c>
      <c r="N3088" t="b">
        <v>1</v>
      </c>
    </row>
    <row r="3089" spans="1:14" x14ac:dyDescent="0.3">
      <c r="A3089" t="s">
        <v>4135</v>
      </c>
      <c r="B3089" t="s">
        <v>312</v>
      </c>
      <c r="C3089" s="1">
        <v>45573</v>
      </c>
      <c r="E3089" t="s">
        <v>32</v>
      </c>
      <c r="F3089">
        <v>13</v>
      </c>
      <c r="G3089" s="12">
        <v>2587</v>
      </c>
      <c r="H3089" s="12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1047</v>
      </c>
      <c r="N3089" t="b">
        <v>1</v>
      </c>
    </row>
    <row r="3090" spans="1:14" x14ac:dyDescent="0.3">
      <c r="A3090" t="s">
        <v>4136</v>
      </c>
      <c r="B3090" t="s">
        <v>648</v>
      </c>
      <c r="C3090" s="1">
        <v>45537</v>
      </c>
      <c r="E3090" t="s">
        <v>15</v>
      </c>
      <c r="F3090">
        <v>15</v>
      </c>
      <c r="G3090" s="12">
        <v>0</v>
      </c>
      <c r="H3090" s="12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1050</v>
      </c>
      <c r="N3090" t="b">
        <v>1</v>
      </c>
    </row>
    <row r="3091" spans="1:14" x14ac:dyDescent="0.3">
      <c r="A3091" t="s">
        <v>4137</v>
      </c>
      <c r="B3091" t="s">
        <v>308</v>
      </c>
      <c r="C3091" s="1">
        <v>45541</v>
      </c>
      <c r="E3091" t="s">
        <v>39</v>
      </c>
      <c r="F3091">
        <v>7</v>
      </c>
      <c r="G3091" s="12">
        <v>343</v>
      </c>
      <c r="H3091" s="12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1047</v>
      </c>
      <c r="N3091" t="b">
        <v>1</v>
      </c>
    </row>
    <row r="3092" spans="1:14" x14ac:dyDescent="0.3">
      <c r="A3092" t="s">
        <v>4138</v>
      </c>
      <c r="B3092" t="s">
        <v>45</v>
      </c>
      <c r="C3092" s="1">
        <v>45478</v>
      </c>
      <c r="E3092" t="s">
        <v>32</v>
      </c>
      <c r="F3092">
        <v>14</v>
      </c>
      <c r="G3092" s="12">
        <v>2786</v>
      </c>
      <c r="H3092" s="1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1047</v>
      </c>
      <c r="N3092" t="b">
        <v>0</v>
      </c>
    </row>
    <row r="3093" spans="1:14" x14ac:dyDescent="0.3">
      <c r="A3093" t="s">
        <v>4139</v>
      </c>
      <c r="B3093" t="s">
        <v>310</v>
      </c>
      <c r="C3093" s="1">
        <v>45418</v>
      </c>
      <c r="E3093" t="s">
        <v>39</v>
      </c>
      <c r="F3093">
        <v>31</v>
      </c>
      <c r="G3093" s="12">
        <v>1519</v>
      </c>
      <c r="H3093" s="12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1050</v>
      </c>
      <c r="N3093" t="b">
        <v>1</v>
      </c>
    </row>
    <row r="3094" spans="1:14" x14ac:dyDescent="0.3">
      <c r="A3094" t="s">
        <v>4140</v>
      </c>
      <c r="B3094" t="s">
        <v>128</v>
      </c>
      <c r="C3094" s="1">
        <v>45294</v>
      </c>
      <c r="E3094" t="s">
        <v>15</v>
      </c>
      <c r="F3094">
        <v>16</v>
      </c>
      <c r="G3094" s="12">
        <v>304</v>
      </c>
      <c r="H3094" s="12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1047</v>
      </c>
      <c r="N3094" t="b">
        <v>1</v>
      </c>
    </row>
    <row r="3095" spans="1:14" x14ac:dyDescent="0.3">
      <c r="A3095" t="s">
        <v>4141</v>
      </c>
      <c r="B3095" t="s">
        <v>756</v>
      </c>
      <c r="C3095" s="1">
        <v>45304</v>
      </c>
      <c r="E3095" t="s">
        <v>15</v>
      </c>
      <c r="F3095">
        <v>48</v>
      </c>
      <c r="G3095" s="12">
        <v>912</v>
      </c>
      <c r="H3095" s="12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1047</v>
      </c>
      <c r="N3095" t="b">
        <v>1</v>
      </c>
    </row>
    <row r="3096" spans="1:14" x14ac:dyDescent="0.3">
      <c r="A3096" t="s">
        <v>4142</v>
      </c>
      <c r="B3096" t="s">
        <v>656</v>
      </c>
      <c r="C3096" s="1">
        <v>45526</v>
      </c>
      <c r="E3096" t="s">
        <v>32</v>
      </c>
      <c r="F3096">
        <v>50</v>
      </c>
      <c r="G3096" s="12">
        <v>9950</v>
      </c>
      <c r="H3096" s="12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1050</v>
      </c>
      <c r="N3096" t="b">
        <v>1</v>
      </c>
    </row>
    <row r="3097" spans="1:14" x14ac:dyDescent="0.3">
      <c r="A3097" t="s">
        <v>4143</v>
      </c>
      <c r="B3097" t="s">
        <v>632</v>
      </c>
      <c r="C3097" s="1">
        <v>45462</v>
      </c>
      <c r="E3097" t="s">
        <v>32</v>
      </c>
      <c r="F3097">
        <v>17</v>
      </c>
      <c r="G3097" s="12">
        <v>3383</v>
      </c>
      <c r="H3097" s="12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1050</v>
      </c>
      <c r="N3097" t="b">
        <v>1</v>
      </c>
    </row>
    <row r="3098" spans="1:14" x14ac:dyDescent="0.3">
      <c r="A3098" t="s">
        <v>4144</v>
      </c>
      <c r="B3098" t="s">
        <v>584</v>
      </c>
      <c r="C3098" s="1">
        <v>45507</v>
      </c>
      <c r="E3098" t="s">
        <v>39</v>
      </c>
      <c r="F3098">
        <v>12</v>
      </c>
      <c r="G3098" s="12">
        <v>588</v>
      </c>
      <c r="H3098" s="12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1047</v>
      </c>
      <c r="N3098" t="b">
        <v>1</v>
      </c>
    </row>
    <row r="3099" spans="1:14" x14ac:dyDescent="0.3">
      <c r="A3099" t="s">
        <v>4145</v>
      </c>
      <c r="B3099" t="s">
        <v>380</v>
      </c>
      <c r="C3099" s="1">
        <v>45519</v>
      </c>
      <c r="D3099" s="1">
        <v>45607</v>
      </c>
      <c r="E3099" t="s">
        <v>39</v>
      </c>
      <c r="F3099">
        <v>12</v>
      </c>
      <c r="G3099" s="12">
        <v>588</v>
      </c>
      <c r="H3099" s="12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1050</v>
      </c>
      <c r="N3099" t="b">
        <v>1</v>
      </c>
    </row>
    <row r="3100" spans="1:14" x14ac:dyDescent="0.3">
      <c r="A3100" t="s">
        <v>4146</v>
      </c>
      <c r="B3100" t="s">
        <v>184</v>
      </c>
      <c r="C3100" s="1">
        <v>45514</v>
      </c>
      <c r="E3100" t="s">
        <v>32</v>
      </c>
      <c r="F3100">
        <v>13</v>
      </c>
      <c r="G3100" s="12">
        <v>2587</v>
      </c>
      <c r="H3100" s="12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1050</v>
      </c>
      <c r="N3100" t="b">
        <v>1</v>
      </c>
    </row>
    <row r="3101" spans="1:14" x14ac:dyDescent="0.3">
      <c r="A3101" t="s">
        <v>4147</v>
      </c>
      <c r="B3101" t="s">
        <v>244</v>
      </c>
      <c r="C3101" s="1">
        <v>45632</v>
      </c>
      <c r="E3101" t="s">
        <v>32</v>
      </c>
      <c r="F3101">
        <v>25</v>
      </c>
      <c r="G3101" s="12">
        <v>4975</v>
      </c>
      <c r="H3101" s="12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1047</v>
      </c>
      <c r="N3101" t="b">
        <v>1</v>
      </c>
    </row>
    <row r="3102" spans="1:14" x14ac:dyDescent="0.3">
      <c r="A3102" t="s">
        <v>4148</v>
      </c>
      <c r="B3102" t="s">
        <v>718</v>
      </c>
      <c r="C3102" s="1">
        <v>45586</v>
      </c>
      <c r="E3102" t="s">
        <v>39</v>
      </c>
      <c r="F3102">
        <v>47</v>
      </c>
      <c r="G3102" s="12">
        <v>0</v>
      </c>
      <c r="H3102" s="1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1050</v>
      </c>
      <c r="N3102" t="b">
        <v>1</v>
      </c>
    </row>
    <row r="3103" spans="1:14" x14ac:dyDescent="0.3">
      <c r="A3103" t="s">
        <v>4149</v>
      </c>
      <c r="B3103" t="s">
        <v>59</v>
      </c>
      <c r="C3103" s="1">
        <v>45652</v>
      </c>
      <c r="E3103" t="s">
        <v>32</v>
      </c>
      <c r="F3103">
        <v>42</v>
      </c>
      <c r="G3103" s="12">
        <v>8358</v>
      </c>
      <c r="H3103" s="12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1047</v>
      </c>
      <c r="N3103" t="b">
        <v>0</v>
      </c>
    </row>
    <row r="3104" spans="1:14" x14ac:dyDescent="0.3">
      <c r="A3104" t="s">
        <v>4150</v>
      </c>
      <c r="B3104" t="s">
        <v>676</v>
      </c>
      <c r="C3104" s="1">
        <v>45594</v>
      </c>
      <c r="E3104" t="s">
        <v>32</v>
      </c>
      <c r="F3104">
        <v>13</v>
      </c>
      <c r="G3104" s="12">
        <v>2587</v>
      </c>
      <c r="H3104" s="12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1050</v>
      </c>
      <c r="N3104" t="b">
        <v>1</v>
      </c>
    </row>
    <row r="3105" spans="1:14" x14ac:dyDescent="0.3">
      <c r="A3105" t="s">
        <v>4151</v>
      </c>
      <c r="B3105" t="s">
        <v>114</v>
      </c>
      <c r="C3105" s="1">
        <v>45211</v>
      </c>
      <c r="E3105" t="s">
        <v>32</v>
      </c>
      <c r="F3105">
        <v>34</v>
      </c>
      <c r="G3105" s="12">
        <v>6766</v>
      </c>
      <c r="H3105" s="12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1050</v>
      </c>
      <c r="N3105" t="b">
        <v>1</v>
      </c>
    </row>
    <row r="3106" spans="1:14" x14ac:dyDescent="0.3">
      <c r="A3106" t="s">
        <v>4152</v>
      </c>
      <c r="B3106" t="s">
        <v>340</v>
      </c>
      <c r="C3106" s="1">
        <v>45624</v>
      </c>
      <c r="E3106" t="s">
        <v>39</v>
      </c>
      <c r="F3106">
        <v>18</v>
      </c>
      <c r="G3106" s="12">
        <v>882</v>
      </c>
      <c r="H3106" s="12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1050</v>
      </c>
      <c r="N3106" t="b">
        <v>1</v>
      </c>
    </row>
    <row r="3107" spans="1:14" x14ac:dyDescent="0.3">
      <c r="A3107" t="s">
        <v>4153</v>
      </c>
      <c r="B3107" t="s">
        <v>720</v>
      </c>
      <c r="C3107" s="1">
        <v>45393</v>
      </c>
      <c r="E3107" t="s">
        <v>15</v>
      </c>
      <c r="F3107">
        <v>23</v>
      </c>
      <c r="G3107" s="12">
        <v>0</v>
      </c>
      <c r="H3107" s="12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1047</v>
      </c>
      <c r="N3107" t="b">
        <v>1</v>
      </c>
    </row>
    <row r="3108" spans="1:14" x14ac:dyDescent="0.3">
      <c r="A3108" t="s">
        <v>4154</v>
      </c>
      <c r="B3108" t="s">
        <v>668</v>
      </c>
      <c r="C3108" s="1">
        <v>45251</v>
      </c>
      <c r="E3108" t="s">
        <v>32</v>
      </c>
      <c r="F3108">
        <v>5</v>
      </c>
      <c r="G3108" s="12">
        <v>995</v>
      </c>
      <c r="H3108" s="12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1050</v>
      </c>
      <c r="N3108" t="b">
        <v>1</v>
      </c>
    </row>
    <row r="3109" spans="1:14" x14ac:dyDescent="0.3">
      <c r="A3109" t="s">
        <v>4155</v>
      </c>
      <c r="B3109" t="s">
        <v>608</v>
      </c>
      <c r="C3109" s="1">
        <v>45529</v>
      </c>
      <c r="E3109" t="s">
        <v>39</v>
      </c>
      <c r="F3109">
        <v>13</v>
      </c>
      <c r="G3109" s="12">
        <v>637</v>
      </c>
      <c r="H3109" s="12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1047</v>
      </c>
      <c r="N3109" t="b">
        <v>1</v>
      </c>
    </row>
    <row r="3110" spans="1:14" x14ac:dyDescent="0.3">
      <c r="A3110" t="s">
        <v>4156</v>
      </c>
      <c r="B3110" t="s">
        <v>798</v>
      </c>
      <c r="C3110" s="1">
        <v>45243</v>
      </c>
      <c r="D3110" s="1">
        <v>45623</v>
      </c>
      <c r="E3110" t="s">
        <v>32</v>
      </c>
      <c r="F3110">
        <v>23</v>
      </c>
      <c r="G3110" s="12">
        <v>4577</v>
      </c>
      <c r="H3110" s="12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1050</v>
      </c>
      <c r="N3110" t="b">
        <v>1</v>
      </c>
    </row>
    <row r="3111" spans="1:14" x14ac:dyDescent="0.3">
      <c r="A3111" t="s">
        <v>4157</v>
      </c>
      <c r="B3111" t="s">
        <v>270</v>
      </c>
      <c r="C3111" s="1">
        <v>45508</v>
      </c>
      <c r="E3111" t="s">
        <v>32</v>
      </c>
      <c r="F3111">
        <v>9</v>
      </c>
      <c r="G3111" s="12">
        <v>1791</v>
      </c>
      <c r="H3111" s="12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1047</v>
      </c>
      <c r="N3111" t="b">
        <v>1</v>
      </c>
    </row>
    <row r="3112" spans="1:14" x14ac:dyDescent="0.3">
      <c r="A3112" t="s">
        <v>4158</v>
      </c>
      <c r="B3112" t="s">
        <v>416</v>
      </c>
      <c r="C3112" s="1">
        <v>45549</v>
      </c>
      <c r="E3112" t="s">
        <v>15</v>
      </c>
      <c r="F3112">
        <v>19</v>
      </c>
      <c r="G3112" s="12">
        <v>361</v>
      </c>
      <c r="H3112" s="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1047</v>
      </c>
      <c r="N3112" t="b">
        <v>1</v>
      </c>
    </row>
    <row r="3113" spans="1:14" x14ac:dyDescent="0.3">
      <c r="A3113" t="s">
        <v>4159</v>
      </c>
      <c r="B3113" t="s">
        <v>434</v>
      </c>
      <c r="C3113" s="1">
        <v>45345</v>
      </c>
      <c r="E3113" t="s">
        <v>15</v>
      </c>
      <c r="F3113">
        <v>12</v>
      </c>
      <c r="G3113" s="12">
        <v>228</v>
      </c>
      <c r="H3113" s="12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1047</v>
      </c>
      <c r="N3113" t="b">
        <v>1</v>
      </c>
    </row>
    <row r="3114" spans="1:14" x14ac:dyDescent="0.3">
      <c r="A3114" t="s">
        <v>4160</v>
      </c>
      <c r="B3114" t="s">
        <v>614</v>
      </c>
      <c r="C3114" s="1">
        <v>45622</v>
      </c>
      <c r="E3114" t="s">
        <v>15</v>
      </c>
      <c r="F3114">
        <v>25</v>
      </c>
      <c r="G3114" s="12">
        <v>0</v>
      </c>
      <c r="H3114" s="12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1047</v>
      </c>
      <c r="N3114" t="b">
        <v>1</v>
      </c>
    </row>
    <row r="3115" spans="1:14" x14ac:dyDescent="0.3">
      <c r="A3115" t="s">
        <v>4161</v>
      </c>
      <c r="B3115" t="s">
        <v>814</v>
      </c>
      <c r="C3115" s="1">
        <v>45363</v>
      </c>
      <c r="E3115" t="s">
        <v>32</v>
      </c>
      <c r="F3115">
        <v>30</v>
      </c>
      <c r="G3115" s="12">
        <v>5970</v>
      </c>
      <c r="H3115" s="12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1050</v>
      </c>
      <c r="N3115" t="b">
        <v>0</v>
      </c>
    </row>
    <row r="3116" spans="1:14" x14ac:dyDescent="0.3">
      <c r="A3116" t="s">
        <v>4162</v>
      </c>
      <c r="B3116" t="s">
        <v>390</v>
      </c>
      <c r="C3116" s="1">
        <v>45210</v>
      </c>
      <c r="E3116" t="s">
        <v>39</v>
      </c>
      <c r="F3116">
        <v>61</v>
      </c>
      <c r="G3116" s="12">
        <v>2989</v>
      </c>
      <c r="H3116" s="12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1050</v>
      </c>
      <c r="N3116" t="b">
        <v>1</v>
      </c>
    </row>
    <row r="3117" spans="1:14" x14ac:dyDescent="0.3">
      <c r="A3117" t="s">
        <v>4163</v>
      </c>
      <c r="B3117" t="s">
        <v>356</v>
      </c>
      <c r="C3117" s="1">
        <v>45585</v>
      </c>
      <c r="E3117" t="s">
        <v>32</v>
      </c>
      <c r="F3117">
        <v>44</v>
      </c>
      <c r="G3117" s="12">
        <v>8756</v>
      </c>
      <c r="H3117" s="12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1047</v>
      </c>
      <c r="N3117" t="b">
        <v>0</v>
      </c>
    </row>
    <row r="3118" spans="1:14" x14ac:dyDescent="0.3">
      <c r="A3118" t="s">
        <v>4164</v>
      </c>
      <c r="B3118" t="s">
        <v>710</v>
      </c>
      <c r="C3118" s="1">
        <v>45642</v>
      </c>
      <c r="E3118" t="s">
        <v>32</v>
      </c>
      <c r="F3118">
        <v>23</v>
      </c>
      <c r="G3118" s="12">
        <v>0</v>
      </c>
      <c r="H3118" s="12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1050</v>
      </c>
      <c r="N3118" t="b">
        <v>1</v>
      </c>
    </row>
    <row r="3119" spans="1:14" x14ac:dyDescent="0.3">
      <c r="A3119" t="s">
        <v>4165</v>
      </c>
      <c r="B3119" t="s">
        <v>544</v>
      </c>
      <c r="C3119" s="1">
        <v>45631</v>
      </c>
      <c r="E3119" t="s">
        <v>32</v>
      </c>
      <c r="F3119">
        <v>37</v>
      </c>
      <c r="G3119" s="12">
        <v>0</v>
      </c>
      <c r="H3119" s="12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1050</v>
      </c>
      <c r="N3119" t="b">
        <v>1</v>
      </c>
    </row>
    <row r="3120" spans="1:14" x14ac:dyDescent="0.3">
      <c r="A3120" t="s">
        <v>4166</v>
      </c>
      <c r="B3120" t="s">
        <v>260</v>
      </c>
      <c r="C3120" s="1">
        <v>45425</v>
      </c>
      <c r="E3120" t="s">
        <v>39</v>
      </c>
      <c r="F3120">
        <v>19</v>
      </c>
      <c r="G3120" s="12">
        <v>931</v>
      </c>
      <c r="H3120" s="12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1050</v>
      </c>
      <c r="N3120" t="b">
        <v>1</v>
      </c>
    </row>
    <row r="3121" spans="1:14" x14ac:dyDescent="0.3">
      <c r="A3121" t="s">
        <v>4167</v>
      </c>
      <c r="B3121" t="s">
        <v>322</v>
      </c>
      <c r="C3121" s="1">
        <v>45487</v>
      </c>
      <c r="E3121" t="s">
        <v>15</v>
      </c>
      <c r="F3121">
        <v>35</v>
      </c>
      <c r="G3121" s="12">
        <v>665</v>
      </c>
      <c r="H3121" s="12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1047</v>
      </c>
      <c r="N3121" t="b">
        <v>0</v>
      </c>
    </row>
    <row r="3122" spans="1:14" x14ac:dyDescent="0.3">
      <c r="A3122" t="s">
        <v>4168</v>
      </c>
      <c r="B3122" t="s">
        <v>438</v>
      </c>
      <c r="C3122" s="1">
        <v>45224</v>
      </c>
      <c r="E3122" t="s">
        <v>15</v>
      </c>
      <c r="F3122">
        <v>19</v>
      </c>
      <c r="G3122" s="12">
        <v>361</v>
      </c>
      <c r="H3122" s="1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1050</v>
      </c>
      <c r="N3122" t="b">
        <v>1</v>
      </c>
    </row>
    <row r="3123" spans="1:14" x14ac:dyDescent="0.3">
      <c r="A3123" t="s">
        <v>4169</v>
      </c>
      <c r="B3123" t="s">
        <v>810</v>
      </c>
      <c r="C3123" s="1">
        <v>45563</v>
      </c>
      <c r="E3123" t="s">
        <v>32</v>
      </c>
      <c r="F3123">
        <v>19</v>
      </c>
      <c r="G3123" s="12">
        <v>0</v>
      </c>
      <c r="H3123" s="12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1047</v>
      </c>
      <c r="N3123" t="b">
        <v>1</v>
      </c>
    </row>
    <row r="3124" spans="1:14" x14ac:dyDescent="0.3">
      <c r="A3124" t="s">
        <v>4170</v>
      </c>
      <c r="B3124" t="s">
        <v>728</v>
      </c>
      <c r="C3124" s="1">
        <v>45270</v>
      </c>
      <c r="E3124" t="s">
        <v>39</v>
      </c>
      <c r="F3124">
        <v>35</v>
      </c>
      <c r="G3124" s="12">
        <v>1715</v>
      </c>
      <c r="H3124" s="12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1050</v>
      </c>
      <c r="N3124" t="b">
        <v>0</v>
      </c>
    </row>
    <row r="3125" spans="1:14" x14ac:dyDescent="0.3">
      <c r="A3125" t="s">
        <v>4171</v>
      </c>
      <c r="B3125" t="s">
        <v>1026</v>
      </c>
      <c r="C3125" s="1">
        <v>45566</v>
      </c>
      <c r="E3125" t="s">
        <v>39</v>
      </c>
      <c r="F3125">
        <v>36</v>
      </c>
      <c r="G3125" s="12">
        <v>1764</v>
      </c>
      <c r="H3125" s="12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1047</v>
      </c>
      <c r="N3125" t="b">
        <v>1</v>
      </c>
    </row>
    <row r="3126" spans="1:14" x14ac:dyDescent="0.3">
      <c r="A3126" t="s">
        <v>4172</v>
      </c>
      <c r="B3126" t="s">
        <v>680</v>
      </c>
      <c r="C3126" s="1">
        <v>45622</v>
      </c>
      <c r="E3126" t="s">
        <v>32</v>
      </c>
      <c r="F3126">
        <v>18</v>
      </c>
      <c r="G3126" s="12">
        <v>3582</v>
      </c>
      <c r="H3126" s="12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1047</v>
      </c>
      <c r="N3126" t="b">
        <v>1</v>
      </c>
    </row>
    <row r="3127" spans="1:14" x14ac:dyDescent="0.3">
      <c r="A3127" t="s">
        <v>4173</v>
      </c>
      <c r="B3127" t="s">
        <v>170</v>
      </c>
      <c r="C3127" s="1">
        <v>45649</v>
      </c>
      <c r="E3127" t="s">
        <v>32</v>
      </c>
      <c r="F3127">
        <v>35</v>
      </c>
      <c r="G3127" s="12">
        <v>6965</v>
      </c>
      <c r="H3127" s="12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1047</v>
      </c>
      <c r="N3127" t="b">
        <v>1</v>
      </c>
    </row>
    <row r="3128" spans="1:14" x14ac:dyDescent="0.3">
      <c r="A3128" t="s">
        <v>4174</v>
      </c>
      <c r="B3128" t="s">
        <v>642</v>
      </c>
      <c r="C3128" s="1">
        <v>45536</v>
      </c>
      <c r="E3128" t="s">
        <v>32</v>
      </c>
      <c r="F3128">
        <v>28</v>
      </c>
      <c r="G3128" s="12">
        <v>5572</v>
      </c>
      <c r="H3128" s="12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1050</v>
      </c>
      <c r="N3128" t="b">
        <v>0</v>
      </c>
    </row>
    <row r="3129" spans="1:14" x14ac:dyDescent="0.3">
      <c r="A3129" t="s">
        <v>4175</v>
      </c>
      <c r="B3129" t="s">
        <v>998</v>
      </c>
      <c r="C3129" s="1">
        <v>45006</v>
      </c>
      <c r="D3129" s="1">
        <v>45630</v>
      </c>
      <c r="E3129" t="s">
        <v>39</v>
      </c>
      <c r="F3129">
        <v>40</v>
      </c>
      <c r="G3129" s="12">
        <v>1960</v>
      </c>
      <c r="H3129" s="12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1047</v>
      </c>
      <c r="N3129" t="b">
        <v>1</v>
      </c>
    </row>
    <row r="3130" spans="1:14" x14ac:dyDescent="0.3">
      <c r="A3130" t="s">
        <v>4176</v>
      </c>
      <c r="B3130" t="s">
        <v>200</v>
      </c>
      <c r="C3130" s="1">
        <v>45530</v>
      </c>
      <c r="E3130" t="s">
        <v>32</v>
      </c>
      <c r="F3130">
        <v>16</v>
      </c>
      <c r="G3130" s="12">
        <v>3184</v>
      </c>
      <c r="H3130" s="12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1050</v>
      </c>
      <c r="N3130" t="b">
        <v>0</v>
      </c>
    </row>
    <row r="3131" spans="1:14" x14ac:dyDescent="0.3">
      <c r="A3131" t="s">
        <v>4177</v>
      </c>
      <c r="B3131" t="s">
        <v>730</v>
      </c>
      <c r="C3131" s="1">
        <v>45430</v>
      </c>
      <c r="E3131" t="s">
        <v>39</v>
      </c>
      <c r="F3131">
        <v>41</v>
      </c>
      <c r="G3131" s="12">
        <v>2009</v>
      </c>
      <c r="H3131" s="12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1047</v>
      </c>
      <c r="N3131" t="b">
        <v>1</v>
      </c>
    </row>
    <row r="3132" spans="1:14" x14ac:dyDescent="0.3">
      <c r="A3132" t="s">
        <v>4178</v>
      </c>
      <c r="B3132" t="s">
        <v>790</v>
      </c>
      <c r="C3132" s="1">
        <v>45636</v>
      </c>
      <c r="E3132" t="s">
        <v>32</v>
      </c>
      <c r="F3132">
        <v>34</v>
      </c>
      <c r="G3132" s="12">
        <v>6766</v>
      </c>
      <c r="H3132" s="1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1047</v>
      </c>
      <c r="N3132" t="b">
        <v>0</v>
      </c>
    </row>
    <row r="3133" spans="1:14" x14ac:dyDescent="0.3">
      <c r="A3133" t="s">
        <v>4179</v>
      </c>
      <c r="B3133" t="s">
        <v>900</v>
      </c>
      <c r="C3133" s="1">
        <v>45636</v>
      </c>
      <c r="E3133" t="s">
        <v>39</v>
      </c>
      <c r="F3133">
        <v>44</v>
      </c>
      <c r="G3133" s="12">
        <v>2156</v>
      </c>
      <c r="H3133" s="12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1050</v>
      </c>
      <c r="N3133" t="b">
        <v>0</v>
      </c>
    </row>
    <row r="3134" spans="1:14" x14ac:dyDescent="0.3">
      <c r="A3134" t="s">
        <v>4180</v>
      </c>
      <c r="B3134" t="s">
        <v>770</v>
      </c>
      <c r="C3134" s="1">
        <v>45499</v>
      </c>
      <c r="E3134" t="s">
        <v>15</v>
      </c>
      <c r="F3134">
        <v>33</v>
      </c>
      <c r="G3134" s="12">
        <v>627</v>
      </c>
      <c r="H3134" s="12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1050</v>
      </c>
      <c r="N3134" t="b">
        <v>1</v>
      </c>
    </row>
    <row r="3135" spans="1:14" x14ac:dyDescent="0.3">
      <c r="A3135" t="s">
        <v>4181</v>
      </c>
      <c r="B3135" t="s">
        <v>988</v>
      </c>
      <c r="C3135" s="1">
        <v>45647</v>
      </c>
      <c r="E3135" t="s">
        <v>15</v>
      </c>
      <c r="F3135">
        <v>38</v>
      </c>
      <c r="G3135" s="12">
        <v>0</v>
      </c>
      <c r="H3135" s="12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1050</v>
      </c>
      <c r="N3135" t="b">
        <v>1</v>
      </c>
    </row>
    <row r="3136" spans="1:14" x14ac:dyDescent="0.3">
      <c r="A3136" t="s">
        <v>4182</v>
      </c>
      <c r="B3136" t="s">
        <v>164</v>
      </c>
      <c r="C3136" s="1">
        <v>45552</v>
      </c>
      <c r="E3136" t="s">
        <v>15</v>
      </c>
      <c r="F3136">
        <v>18</v>
      </c>
      <c r="G3136" s="12">
        <v>342</v>
      </c>
      <c r="H3136" s="12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1047</v>
      </c>
      <c r="N3136" t="b">
        <v>0</v>
      </c>
    </row>
    <row r="3137" spans="1:14" x14ac:dyDescent="0.3">
      <c r="A3137" t="s">
        <v>4183</v>
      </c>
      <c r="B3137" t="s">
        <v>240</v>
      </c>
      <c r="C3137" s="1">
        <v>45592</v>
      </c>
      <c r="E3137" t="s">
        <v>39</v>
      </c>
      <c r="F3137">
        <v>23</v>
      </c>
      <c r="G3137" s="12">
        <v>1127</v>
      </c>
      <c r="H3137" s="12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1050</v>
      </c>
      <c r="N3137" t="b">
        <v>1</v>
      </c>
    </row>
    <row r="3138" spans="1:14" x14ac:dyDescent="0.3">
      <c r="A3138" t="s">
        <v>4184</v>
      </c>
      <c r="B3138" t="s">
        <v>280</v>
      </c>
      <c r="C3138" s="1">
        <v>45654</v>
      </c>
      <c r="E3138" t="s">
        <v>32</v>
      </c>
      <c r="F3138">
        <v>30</v>
      </c>
      <c r="G3138" s="12">
        <v>5970</v>
      </c>
      <c r="H3138" s="12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1050</v>
      </c>
      <c r="N3138" t="b">
        <v>1</v>
      </c>
    </row>
    <row r="3139" spans="1:14" x14ac:dyDescent="0.3">
      <c r="A3139" t="s">
        <v>4185</v>
      </c>
      <c r="B3139" t="s">
        <v>276</v>
      </c>
      <c r="C3139" s="1">
        <v>45137</v>
      </c>
      <c r="E3139" t="s">
        <v>39</v>
      </c>
      <c r="F3139">
        <v>9</v>
      </c>
      <c r="G3139" s="12">
        <v>441</v>
      </c>
      <c r="H3139" s="12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1047</v>
      </c>
      <c r="N3139" t="b">
        <v>1</v>
      </c>
    </row>
    <row r="3140" spans="1:14" x14ac:dyDescent="0.3">
      <c r="A3140" t="s">
        <v>4186</v>
      </c>
      <c r="B3140" t="s">
        <v>852</v>
      </c>
      <c r="C3140" s="1">
        <v>45474</v>
      </c>
      <c r="E3140" t="s">
        <v>15</v>
      </c>
      <c r="F3140">
        <v>18</v>
      </c>
      <c r="G3140" s="12">
        <v>342</v>
      </c>
      <c r="H3140" s="12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1047</v>
      </c>
      <c r="N3140" t="b">
        <v>1</v>
      </c>
    </row>
    <row r="3141" spans="1:14" x14ac:dyDescent="0.3">
      <c r="A3141" t="s">
        <v>4187</v>
      </c>
      <c r="B3141" t="s">
        <v>502</v>
      </c>
      <c r="C3141" s="1">
        <v>45598</v>
      </c>
      <c r="E3141" t="s">
        <v>15</v>
      </c>
      <c r="F3141">
        <v>32</v>
      </c>
      <c r="G3141" s="12">
        <v>608</v>
      </c>
      <c r="H3141" s="12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1047</v>
      </c>
      <c r="N3141" t="b">
        <v>0</v>
      </c>
    </row>
    <row r="3142" spans="1:14" x14ac:dyDescent="0.3">
      <c r="A3142" t="s">
        <v>4188</v>
      </c>
      <c r="B3142" t="s">
        <v>796</v>
      </c>
      <c r="C3142" s="1">
        <v>45350</v>
      </c>
      <c r="E3142" t="s">
        <v>32</v>
      </c>
      <c r="F3142">
        <v>79</v>
      </c>
      <c r="G3142" s="12">
        <v>15721</v>
      </c>
      <c r="H3142" s="1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1050</v>
      </c>
      <c r="N3142" t="b">
        <v>1</v>
      </c>
    </row>
    <row r="3143" spans="1:14" x14ac:dyDescent="0.3">
      <c r="A3143" t="s">
        <v>4189</v>
      </c>
      <c r="B3143" t="s">
        <v>916</v>
      </c>
      <c r="C3143" s="1">
        <v>45637</v>
      </c>
      <c r="E3143" t="s">
        <v>39</v>
      </c>
      <c r="F3143">
        <v>13</v>
      </c>
      <c r="G3143" s="12">
        <v>0</v>
      </c>
      <c r="H3143" s="12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1047</v>
      </c>
      <c r="N3143" t="b">
        <v>1</v>
      </c>
    </row>
    <row r="3144" spans="1:14" x14ac:dyDescent="0.3">
      <c r="A3144" t="s">
        <v>4190</v>
      </c>
      <c r="B3144" t="s">
        <v>830</v>
      </c>
      <c r="C3144" s="1">
        <v>45656</v>
      </c>
      <c r="E3144" t="s">
        <v>39</v>
      </c>
      <c r="F3144">
        <v>28</v>
      </c>
      <c r="G3144" s="12">
        <v>1372</v>
      </c>
      <c r="H3144" s="12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1047</v>
      </c>
      <c r="N3144" t="b">
        <v>0</v>
      </c>
    </row>
    <row r="3145" spans="1:14" x14ac:dyDescent="0.3">
      <c r="A3145" t="s">
        <v>4191</v>
      </c>
      <c r="B3145" t="s">
        <v>762</v>
      </c>
      <c r="C3145" s="1">
        <v>45590</v>
      </c>
      <c r="E3145" t="s">
        <v>32</v>
      </c>
      <c r="F3145">
        <v>30</v>
      </c>
      <c r="G3145" s="12">
        <v>5970</v>
      </c>
      <c r="H3145" s="12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1047</v>
      </c>
      <c r="N3145" t="b">
        <v>0</v>
      </c>
    </row>
    <row r="3146" spans="1:14" x14ac:dyDescent="0.3">
      <c r="A3146" t="s">
        <v>4192</v>
      </c>
      <c r="B3146" t="s">
        <v>478</v>
      </c>
      <c r="C3146" s="1">
        <v>45410</v>
      </c>
      <c r="E3146" t="s">
        <v>32</v>
      </c>
      <c r="F3146">
        <v>2</v>
      </c>
      <c r="G3146" s="12">
        <v>398</v>
      </c>
      <c r="H3146" s="12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1047</v>
      </c>
      <c r="N3146" t="b">
        <v>1</v>
      </c>
    </row>
    <row r="3147" spans="1:14" x14ac:dyDescent="0.3">
      <c r="A3147" t="s">
        <v>4193</v>
      </c>
      <c r="B3147" t="s">
        <v>328</v>
      </c>
      <c r="C3147" s="1">
        <v>45520</v>
      </c>
      <c r="E3147" t="s">
        <v>32</v>
      </c>
      <c r="F3147">
        <v>27</v>
      </c>
      <c r="G3147" s="12">
        <v>5373</v>
      </c>
      <c r="H3147" s="12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1047</v>
      </c>
      <c r="N3147" t="b">
        <v>1</v>
      </c>
    </row>
    <row r="3148" spans="1:14" x14ac:dyDescent="0.3">
      <c r="A3148" t="s">
        <v>4194</v>
      </c>
      <c r="B3148" t="s">
        <v>402</v>
      </c>
      <c r="C3148" s="1">
        <v>45406</v>
      </c>
      <c r="E3148" t="s">
        <v>32</v>
      </c>
      <c r="F3148">
        <v>28</v>
      </c>
      <c r="G3148" s="12">
        <v>5572</v>
      </c>
      <c r="H3148" s="12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1050</v>
      </c>
      <c r="N3148" t="b">
        <v>1</v>
      </c>
    </row>
    <row r="3149" spans="1:14" x14ac:dyDescent="0.3">
      <c r="A3149" t="s">
        <v>4195</v>
      </c>
      <c r="B3149" t="s">
        <v>468</v>
      </c>
      <c r="C3149" s="1">
        <v>45224</v>
      </c>
      <c r="E3149" t="s">
        <v>15</v>
      </c>
      <c r="F3149">
        <v>9</v>
      </c>
      <c r="G3149" s="12">
        <v>171</v>
      </c>
      <c r="H3149" s="12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1047</v>
      </c>
      <c r="N3149" t="b">
        <v>1</v>
      </c>
    </row>
    <row r="3150" spans="1:14" x14ac:dyDescent="0.3">
      <c r="A3150" t="s">
        <v>4196</v>
      </c>
      <c r="B3150" t="s">
        <v>896</v>
      </c>
      <c r="C3150" s="1">
        <v>45495</v>
      </c>
      <c r="E3150" t="s">
        <v>32</v>
      </c>
      <c r="F3150">
        <v>50</v>
      </c>
      <c r="G3150" s="12">
        <v>0</v>
      </c>
      <c r="H3150" s="12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1047</v>
      </c>
      <c r="N3150" t="b">
        <v>0</v>
      </c>
    </row>
    <row r="3151" spans="1:14" x14ac:dyDescent="0.3">
      <c r="A3151" t="s">
        <v>4197</v>
      </c>
      <c r="B3151" t="s">
        <v>768</v>
      </c>
      <c r="C3151" s="1">
        <v>45227</v>
      </c>
      <c r="E3151" t="s">
        <v>39</v>
      </c>
      <c r="F3151">
        <v>28</v>
      </c>
      <c r="G3151" s="12">
        <v>1372</v>
      </c>
      <c r="H3151" s="12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1050</v>
      </c>
      <c r="N3151" t="b">
        <v>1</v>
      </c>
    </row>
    <row r="3152" spans="1:14" x14ac:dyDescent="0.3">
      <c r="A3152" t="s">
        <v>4198</v>
      </c>
      <c r="B3152" t="s">
        <v>702</v>
      </c>
      <c r="C3152" s="1">
        <v>45548</v>
      </c>
      <c r="E3152" t="s">
        <v>15</v>
      </c>
      <c r="F3152">
        <v>26</v>
      </c>
      <c r="G3152" s="12">
        <v>494</v>
      </c>
      <c r="H3152" s="1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1047</v>
      </c>
      <c r="N3152" t="b">
        <v>1</v>
      </c>
    </row>
    <row r="3153" spans="1:14" x14ac:dyDescent="0.3">
      <c r="A3153" t="s">
        <v>4199</v>
      </c>
      <c r="B3153" t="s">
        <v>844</v>
      </c>
      <c r="C3153" s="1">
        <v>45600</v>
      </c>
      <c r="E3153" t="s">
        <v>15</v>
      </c>
      <c r="F3153">
        <v>50</v>
      </c>
      <c r="G3153" s="12">
        <v>950</v>
      </c>
      <c r="H3153" s="12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1050</v>
      </c>
      <c r="N3153" t="b">
        <v>1</v>
      </c>
    </row>
    <row r="3154" spans="1:14" x14ac:dyDescent="0.3">
      <c r="A3154" t="s">
        <v>4200</v>
      </c>
      <c r="B3154" t="s">
        <v>128</v>
      </c>
      <c r="C3154" s="1">
        <v>45349</v>
      </c>
      <c r="E3154" t="s">
        <v>32</v>
      </c>
      <c r="F3154">
        <v>18</v>
      </c>
      <c r="G3154" s="12">
        <v>3582</v>
      </c>
      <c r="H3154" s="12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1047</v>
      </c>
      <c r="N3154" t="b">
        <v>0</v>
      </c>
    </row>
    <row r="3155" spans="1:14" x14ac:dyDescent="0.3">
      <c r="A3155" t="s">
        <v>4201</v>
      </c>
      <c r="B3155" t="s">
        <v>498</v>
      </c>
      <c r="C3155" s="1">
        <v>45643</v>
      </c>
      <c r="E3155" t="s">
        <v>32</v>
      </c>
      <c r="F3155">
        <v>44</v>
      </c>
      <c r="G3155" s="12">
        <v>8756</v>
      </c>
      <c r="H3155" s="12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1050</v>
      </c>
      <c r="N3155" t="b">
        <v>1</v>
      </c>
    </row>
    <row r="3156" spans="1:14" x14ac:dyDescent="0.3">
      <c r="A3156" t="s">
        <v>4202</v>
      </c>
      <c r="B3156" t="s">
        <v>800</v>
      </c>
      <c r="C3156" s="1">
        <v>45297</v>
      </c>
      <c r="E3156" t="s">
        <v>39</v>
      </c>
      <c r="F3156">
        <v>52</v>
      </c>
      <c r="G3156" s="12">
        <v>2548</v>
      </c>
      <c r="H3156" s="12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1050</v>
      </c>
      <c r="N3156" t="b">
        <v>1</v>
      </c>
    </row>
    <row r="3157" spans="1:14" x14ac:dyDescent="0.3">
      <c r="A3157" t="s">
        <v>4203</v>
      </c>
      <c r="B3157" t="s">
        <v>332</v>
      </c>
      <c r="C3157" s="1">
        <v>45642</v>
      </c>
      <c r="E3157" t="s">
        <v>39</v>
      </c>
      <c r="F3157">
        <v>48</v>
      </c>
      <c r="G3157" s="12">
        <v>2352</v>
      </c>
      <c r="H3157" s="12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1050</v>
      </c>
      <c r="N3157" t="b">
        <v>1</v>
      </c>
    </row>
    <row r="3158" spans="1:14" x14ac:dyDescent="0.3">
      <c r="A3158" t="s">
        <v>4204</v>
      </c>
      <c r="B3158" t="s">
        <v>836</v>
      </c>
      <c r="C3158" s="1">
        <v>45640</v>
      </c>
      <c r="E3158" t="s">
        <v>32</v>
      </c>
      <c r="F3158">
        <v>117</v>
      </c>
      <c r="G3158" s="12">
        <v>23283</v>
      </c>
      <c r="H3158" s="12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1050</v>
      </c>
      <c r="N3158" t="b">
        <v>1</v>
      </c>
    </row>
    <row r="3159" spans="1:14" x14ac:dyDescent="0.3">
      <c r="A3159" t="s">
        <v>4205</v>
      </c>
      <c r="B3159" t="s">
        <v>610</v>
      </c>
      <c r="C3159" s="1">
        <v>45572</v>
      </c>
      <c r="E3159" t="s">
        <v>32</v>
      </c>
      <c r="F3159">
        <v>9</v>
      </c>
      <c r="G3159" s="12">
        <v>1791</v>
      </c>
      <c r="H3159" s="12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1047</v>
      </c>
      <c r="N3159" t="b">
        <v>1</v>
      </c>
    </row>
    <row r="3160" spans="1:14" x14ac:dyDescent="0.3">
      <c r="A3160" t="s">
        <v>4206</v>
      </c>
      <c r="B3160" t="s">
        <v>808</v>
      </c>
      <c r="C3160" s="1">
        <v>45353</v>
      </c>
      <c r="E3160" t="s">
        <v>15</v>
      </c>
      <c r="F3160">
        <v>14</v>
      </c>
      <c r="G3160" s="12">
        <v>266</v>
      </c>
      <c r="H3160" s="12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1050</v>
      </c>
      <c r="N3160" t="b">
        <v>1</v>
      </c>
    </row>
    <row r="3161" spans="1:14" x14ac:dyDescent="0.3">
      <c r="A3161" t="s">
        <v>4207</v>
      </c>
      <c r="B3161" t="s">
        <v>53</v>
      </c>
      <c r="C3161" s="1">
        <v>45419</v>
      </c>
      <c r="E3161" t="s">
        <v>39</v>
      </c>
      <c r="F3161">
        <v>19</v>
      </c>
      <c r="G3161" s="12">
        <v>931</v>
      </c>
      <c r="H3161" s="12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1050</v>
      </c>
      <c r="N3161" t="b">
        <v>1</v>
      </c>
    </row>
    <row r="3162" spans="1:14" x14ac:dyDescent="0.3">
      <c r="A3162" t="s">
        <v>4208</v>
      </c>
      <c r="B3162" t="s">
        <v>760</v>
      </c>
      <c r="C3162" s="1">
        <v>45544</v>
      </c>
      <c r="E3162" t="s">
        <v>39</v>
      </c>
      <c r="F3162">
        <v>14</v>
      </c>
      <c r="G3162" s="12">
        <v>0</v>
      </c>
      <c r="H3162" s="1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1047</v>
      </c>
      <c r="N3162" t="b">
        <v>1</v>
      </c>
    </row>
    <row r="3163" spans="1:14" x14ac:dyDescent="0.3">
      <c r="A3163" t="s">
        <v>4209</v>
      </c>
      <c r="B3163" t="s">
        <v>610</v>
      </c>
      <c r="C3163" s="1">
        <v>45618</v>
      </c>
      <c r="E3163" t="s">
        <v>39</v>
      </c>
      <c r="F3163">
        <v>9</v>
      </c>
      <c r="G3163" s="12">
        <v>441</v>
      </c>
      <c r="H3163" s="12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1050</v>
      </c>
      <c r="N3163" t="b">
        <v>1</v>
      </c>
    </row>
    <row r="3164" spans="1:14" x14ac:dyDescent="0.3">
      <c r="A3164" t="s">
        <v>4210</v>
      </c>
      <c r="B3164" t="s">
        <v>760</v>
      </c>
      <c r="C3164" s="1">
        <v>45620</v>
      </c>
      <c r="E3164" t="s">
        <v>32</v>
      </c>
      <c r="F3164">
        <v>4</v>
      </c>
      <c r="G3164" s="12">
        <v>0</v>
      </c>
      <c r="H3164" s="12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1050</v>
      </c>
      <c r="N3164" t="b">
        <v>1</v>
      </c>
    </row>
    <row r="3165" spans="1:14" x14ac:dyDescent="0.3">
      <c r="A3165" t="s">
        <v>4211</v>
      </c>
      <c r="B3165" t="s">
        <v>188</v>
      </c>
      <c r="C3165" s="1">
        <v>45188</v>
      </c>
      <c r="E3165" t="s">
        <v>15</v>
      </c>
      <c r="F3165">
        <v>4</v>
      </c>
      <c r="G3165" s="12">
        <v>76</v>
      </c>
      <c r="H3165" s="12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1050</v>
      </c>
      <c r="N3165" t="b">
        <v>1</v>
      </c>
    </row>
    <row r="3166" spans="1:14" x14ac:dyDescent="0.3">
      <c r="A3166" t="s">
        <v>4212</v>
      </c>
      <c r="B3166" t="s">
        <v>908</v>
      </c>
      <c r="C3166" s="1">
        <v>45339</v>
      </c>
      <c r="E3166" t="s">
        <v>39</v>
      </c>
      <c r="F3166">
        <v>36</v>
      </c>
      <c r="G3166" s="12">
        <v>1764</v>
      </c>
      <c r="H3166" s="12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1047</v>
      </c>
      <c r="N3166" t="b">
        <v>1</v>
      </c>
    </row>
    <row r="3167" spans="1:14" x14ac:dyDescent="0.3">
      <c r="A3167" t="s">
        <v>4213</v>
      </c>
      <c r="B3167" t="s">
        <v>55</v>
      </c>
      <c r="C3167" s="1">
        <v>45639</v>
      </c>
      <c r="D3167" s="1">
        <v>45648</v>
      </c>
      <c r="E3167" t="s">
        <v>32</v>
      </c>
      <c r="F3167">
        <v>72</v>
      </c>
      <c r="G3167" s="12">
        <v>0</v>
      </c>
      <c r="H3167" s="12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1047</v>
      </c>
      <c r="N3167" t="b">
        <v>0</v>
      </c>
    </row>
    <row r="3168" spans="1:14" x14ac:dyDescent="0.3">
      <c r="A3168" t="s">
        <v>4214</v>
      </c>
      <c r="B3168" t="s">
        <v>628</v>
      </c>
      <c r="C3168" s="1">
        <v>45168</v>
      </c>
      <c r="E3168" t="s">
        <v>39</v>
      </c>
      <c r="F3168">
        <v>45</v>
      </c>
      <c r="G3168" s="12">
        <v>0</v>
      </c>
      <c r="H3168" s="12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1050</v>
      </c>
      <c r="N3168" t="b">
        <v>1</v>
      </c>
    </row>
    <row r="3169" spans="1:14" x14ac:dyDescent="0.3">
      <c r="A3169" t="s">
        <v>4215</v>
      </c>
      <c r="B3169" t="s">
        <v>768</v>
      </c>
      <c r="C3169" s="1">
        <v>45574</v>
      </c>
      <c r="E3169" t="s">
        <v>32</v>
      </c>
      <c r="F3169">
        <v>28</v>
      </c>
      <c r="G3169" s="12">
        <v>5572</v>
      </c>
      <c r="H3169" s="12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1050</v>
      </c>
      <c r="N3169" t="b">
        <v>1</v>
      </c>
    </row>
    <row r="3170" spans="1:14" x14ac:dyDescent="0.3">
      <c r="A3170" t="s">
        <v>4216</v>
      </c>
      <c r="B3170" t="s">
        <v>518</v>
      </c>
      <c r="C3170" s="1">
        <v>45585</v>
      </c>
      <c r="E3170" t="s">
        <v>15</v>
      </c>
      <c r="F3170">
        <v>21</v>
      </c>
      <c r="G3170" s="12">
        <v>399</v>
      </c>
      <c r="H3170" s="12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1050</v>
      </c>
      <c r="N3170" t="b">
        <v>1</v>
      </c>
    </row>
    <row r="3171" spans="1:14" x14ac:dyDescent="0.3">
      <c r="A3171" t="s">
        <v>4217</v>
      </c>
      <c r="B3171" t="s">
        <v>688</v>
      </c>
      <c r="C3171" s="1">
        <v>45622</v>
      </c>
      <c r="E3171" t="s">
        <v>32</v>
      </c>
      <c r="F3171">
        <v>18</v>
      </c>
      <c r="G3171" s="12">
        <v>3582</v>
      </c>
      <c r="H3171" s="12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1050</v>
      </c>
      <c r="N3171" t="b">
        <v>1</v>
      </c>
    </row>
    <row r="3172" spans="1:14" x14ac:dyDescent="0.3">
      <c r="A3172" t="s">
        <v>4218</v>
      </c>
      <c r="B3172" t="s">
        <v>564</v>
      </c>
      <c r="C3172" s="1">
        <v>45657</v>
      </c>
      <c r="E3172" t="s">
        <v>39</v>
      </c>
      <c r="F3172">
        <v>6</v>
      </c>
      <c r="G3172" s="12">
        <v>294</v>
      </c>
      <c r="H3172" s="1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1050</v>
      </c>
      <c r="N3172" t="b">
        <v>1</v>
      </c>
    </row>
    <row r="3173" spans="1:14" x14ac:dyDescent="0.3">
      <c r="A3173" t="s">
        <v>4219</v>
      </c>
      <c r="B3173" t="s">
        <v>692</v>
      </c>
      <c r="C3173" s="1">
        <v>45362</v>
      </c>
      <c r="E3173" t="s">
        <v>32</v>
      </c>
      <c r="F3173">
        <v>75</v>
      </c>
      <c r="G3173" s="12">
        <v>14925</v>
      </c>
      <c r="H3173" s="12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1050</v>
      </c>
      <c r="N3173" t="b">
        <v>1</v>
      </c>
    </row>
    <row r="3174" spans="1:14" x14ac:dyDescent="0.3">
      <c r="A3174" t="s">
        <v>4220</v>
      </c>
      <c r="B3174" t="s">
        <v>208</v>
      </c>
      <c r="C3174" s="1">
        <v>45644</v>
      </c>
      <c r="E3174" t="s">
        <v>39</v>
      </c>
      <c r="F3174">
        <v>24</v>
      </c>
      <c r="G3174" s="12">
        <v>1176</v>
      </c>
      <c r="H3174" s="12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1047</v>
      </c>
      <c r="N3174" t="b">
        <v>1</v>
      </c>
    </row>
    <row r="3175" spans="1:14" x14ac:dyDescent="0.3">
      <c r="A3175" t="s">
        <v>4221</v>
      </c>
      <c r="B3175" t="s">
        <v>714</v>
      </c>
      <c r="C3175" s="1">
        <v>45435</v>
      </c>
      <c r="E3175" t="s">
        <v>39</v>
      </c>
      <c r="F3175">
        <v>39</v>
      </c>
      <c r="G3175" s="12">
        <v>1911</v>
      </c>
      <c r="H3175" s="12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1047</v>
      </c>
      <c r="N3175" t="b">
        <v>1</v>
      </c>
    </row>
    <row r="3176" spans="1:14" x14ac:dyDescent="0.3">
      <c r="A3176" t="s">
        <v>4222</v>
      </c>
      <c r="B3176" t="s">
        <v>346</v>
      </c>
      <c r="C3176" s="1">
        <v>45261</v>
      </c>
      <c r="E3176" t="s">
        <v>15</v>
      </c>
      <c r="F3176">
        <v>17</v>
      </c>
      <c r="G3176" s="12">
        <v>323</v>
      </c>
      <c r="H3176" s="12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1047</v>
      </c>
      <c r="N3176" t="b">
        <v>0</v>
      </c>
    </row>
    <row r="3177" spans="1:14" x14ac:dyDescent="0.3">
      <c r="A3177" t="s">
        <v>4223</v>
      </c>
      <c r="B3177" t="s">
        <v>314</v>
      </c>
      <c r="C3177" s="1">
        <v>45157</v>
      </c>
      <c r="D3177" s="1">
        <v>45257</v>
      </c>
      <c r="E3177" t="s">
        <v>32</v>
      </c>
      <c r="F3177">
        <v>16</v>
      </c>
      <c r="G3177" s="12">
        <v>3184</v>
      </c>
      <c r="H3177" s="12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1050</v>
      </c>
      <c r="N3177" t="b">
        <v>1</v>
      </c>
    </row>
    <row r="3178" spans="1:14" x14ac:dyDescent="0.3">
      <c r="A3178" t="s">
        <v>4224</v>
      </c>
      <c r="B3178" t="s">
        <v>540</v>
      </c>
      <c r="C3178" s="1">
        <v>45639</v>
      </c>
      <c r="E3178" t="s">
        <v>32</v>
      </c>
      <c r="F3178">
        <v>16</v>
      </c>
      <c r="G3178" s="12">
        <v>3184</v>
      </c>
      <c r="H3178" s="12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1047</v>
      </c>
      <c r="N3178" t="b">
        <v>1</v>
      </c>
    </row>
    <row r="3179" spans="1:14" x14ac:dyDescent="0.3">
      <c r="A3179" t="s">
        <v>4225</v>
      </c>
      <c r="B3179" t="s">
        <v>890</v>
      </c>
      <c r="C3179" s="1">
        <v>45649</v>
      </c>
      <c r="E3179" t="s">
        <v>32</v>
      </c>
      <c r="F3179">
        <v>15</v>
      </c>
      <c r="G3179" s="12">
        <v>2985</v>
      </c>
      <c r="H3179" s="12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1047</v>
      </c>
      <c r="N3179" t="b">
        <v>1</v>
      </c>
    </row>
    <row r="3180" spans="1:14" x14ac:dyDescent="0.3">
      <c r="A3180" t="s">
        <v>4226</v>
      </c>
      <c r="B3180" t="s">
        <v>788</v>
      </c>
      <c r="C3180" s="1">
        <v>45633</v>
      </c>
      <c r="E3180" t="s">
        <v>39</v>
      </c>
      <c r="F3180">
        <v>13</v>
      </c>
      <c r="G3180" s="12">
        <v>637</v>
      </c>
      <c r="H3180" s="12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1047</v>
      </c>
      <c r="N3180" t="b">
        <v>1</v>
      </c>
    </row>
    <row r="3181" spans="1:14" x14ac:dyDescent="0.3">
      <c r="A3181" t="s">
        <v>4227</v>
      </c>
      <c r="B3181" t="s">
        <v>438</v>
      </c>
      <c r="C3181" s="1">
        <v>45570</v>
      </c>
      <c r="E3181" t="s">
        <v>15</v>
      </c>
      <c r="F3181">
        <v>57</v>
      </c>
      <c r="G3181" s="12">
        <v>1083</v>
      </c>
      <c r="H3181" s="12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1050</v>
      </c>
      <c r="N3181" t="b">
        <v>1</v>
      </c>
    </row>
    <row r="3182" spans="1:14" x14ac:dyDescent="0.3">
      <c r="A3182" t="s">
        <v>4228</v>
      </c>
      <c r="B3182" t="s">
        <v>548</v>
      </c>
      <c r="C3182" s="1">
        <v>45497</v>
      </c>
      <c r="E3182" t="s">
        <v>39</v>
      </c>
      <c r="F3182">
        <v>34</v>
      </c>
      <c r="G3182" s="12">
        <v>1666</v>
      </c>
      <c r="H3182" s="1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1047</v>
      </c>
      <c r="N3182" t="b">
        <v>0</v>
      </c>
    </row>
    <row r="3183" spans="1:14" x14ac:dyDescent="0.3">
      <c r="A3183" t="s">
        <v>4229</v>
      </c>
      <c r="B3183" t="s">
        <v>1022</v>
      </c>
      <c r="C3183" s="1">
        <v>45309</v>
      </c>
      <c r="E3183" t="s">
        <v>39</v>
      </c>
      <c r="F3183">
        <v>9</v>
      </c>
      <c r="G3183" s="12">
        <v>441</v>
      </c>
      <c r="H3183" s="12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1047</v>
      </c>
      <c r="N3183" t="b">
        <v>0</v>
      </c>
    </row>
    <row r="3184" spans="1:14" x14ac:dyDescent="0.3">
      <c r="A3184" t="s">
        <v>4230</v>
      </c>
      <c r="B3184" t="s">
        <v>280</v>
      </c>
      <c r="C3184" s="1">
        <v>45216</v>
      </c>
      <c r="D3184" s="1">
        <v>45309</v>
      </c>
      <c r="E3184" t="s">
        <v>32</v>
      </c>
      <c r="F3184">
        <v>13</v>
      </c>
      <c r="G3184" s="12">
        <v>2587</v>
      </c>
      <c r="H3184" s="12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1047</v>
      </c>
      <c r="N3184" t="b">
        <v>1</v>
      </c>
    </row>
    <row r="3185" spans="1:14" x14ac:dyDescent="0.3">
      <c r="A3185" t="s">
        <v>4231</v>
      </c>
      <c r="B3185" t="s">
        <v>262</v>
      </c>
      <c r="C3185" s="1">
        <v>45476</v>
      </c>
      <c r="E3185" t="s">
        <v>15</v>
      </c>
      <c r="F3185">
        <v>67</v>
      </c>
      <c r="G3185" s="12">
        <v>1273</v>
      </c>
      <c r="H3185" s="12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1047</v>
      </c>
      <c r="N3185" t="b">
        <v>1</v>
      </c>
    </row>
    <row r="3186" spans="1:14" x14ac:dyDescent="0.3">
      <c r="A3186" t="s">
        <v>4232</v>
      </c>
      <c r="B3186" t="s">
        <v>652</v>
      </c>
      <c r="C3186" s="1">
        <v>45522</v>
      </c>
      <c r="D3186" s="1">
        <v>45593</v>
      </c>
      <c r="E3186" t="s">
        <v>32</v>
      </c>
      <c r="F3186">
        <v>14</v>
      </c>
      <c r="G3186" s="12">
        <v>2786</v>
      </c>
      <c r="H3186" s="12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1047</v>
      </c>
      <c r="N3186" t="b">
        <v>1</v>
      </c>
    </row>
    <row r="3187" spans="1:14" x14ac:dyDescent="0.3">
      <c r="A3187" t="s">
        <v>4233</v>
      </c>
      <c r="B3187" t="s">
        <v>790</v>
      </c>
      <c r="C3187" s="1">
        <v>45611</v>
      </c>
      <c r="E3187" t="s">
        <v>32</v>
      </c>
      <c r="F3187">
        <v>34</v>
      </c>
      <c r="G3187" s="12">
        <v>6766</v>
      </c>
      <c r="H3187" s="12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1047</v>
      </c>
      <c r="N3187" t="b">
        <v>1</v>
      </c>
    </row>
    <row r="3188" spans="1:14" x14ac:dyDescent="0.3">
      <c r="A3188" t="s">
        <v>4234</v>
      </c>
      <c r="B3188" t="s">
        <v>956</v>
      </c>
      <c r="C3188" s="1">
        <v>45285</v>
      </c>
      <c r="E3188" t="s">
        <v>32</v>
      </c>
      <c r="F3188">
        <v>12</v>
      </c>
      <c r="G3188" s="12">
        <v>2388</v>
      </c>
      <c r="H3188" s="12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1050</v>
      </c>
      <c r="N3188" t="b">
        <v>0</v>
      </c>
    </row>
    <row r="3189" spans="1:14" x14ac:dyDescent="0.3">
      <c r="A3189" t="s">
        <v>4235</v>
      </c>
      <c r="B3189" t="s">
        <v>91</v>
      </c>
      <c r="C3189" s="1">
        <v>45342</v>
      </c>
      <c r="E3189" t="s">
        <v>15</v>
      </c>
      <c r="F3189">
        <v>18</v>
      </c>
      <c r="G3189" s="12">
        <v>342</v>
      </c>
      <c r="H3189" s="12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1047</v>
      </c>
      <c r="N3189" t="b">
        <v>0</v>
      </c>
    </row>
    <row r="3190" spans="1:14" x14ac:dyDescent="0.3">
      <c r="A3190" t="s">
        <v>4236</v>
      </c>
      <c r="B3190" t="s">
        <v>628</v>
      </c>
      <c r="C3190" s="1">
        <v>45551</v>
      </c>
      <c r="E3190" t="s">
        <v>32</v>
      </c>
      <c r="F3190">
        <v>59</v>
      </c>
      <c r="G3190" s="12">
        <v>11741</v>
      </c>
      <c r="H3190" s="12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1050</v>
      </c>
      <c r="N3190" t="b">
        <v>1</v>
      </c>
    </row>
    <row r="3191" spans="1:14" x14ac:dyDescent="0.3">
      <c r="A3191" t="s">
        <v>4237</v>
      </c>
      <c r="B3191" t="s">
        <v>504</v>
      </c>
      <c r="C3191" s="1">
        <v>45162</v>
      </c>
      <c r="E3191" t="s">
        <v>32</v>
      </c>
      <c r="F3191">
        <v>18</v>
      </c>
      <c r="G3191" s="12">
        <v>3582</v>
      </c>
      <c r="H3191" s="12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1047</v>
      </c>
      <c r="N3191" t="b">
        <v>1</v>
      </c>
    </row>
    <row r="3192" spans="1:14" x14ac:dyDescent="0.3">
      <c r="A3192" t="s">
        <v>4238</v>
      </c>
      <c r="B3192" t="s">
        <v>356</v>
      </c>
      <c r="C3192" s="1">
        <v>45655</v>
      </c>
      <c r="D3192" s="1">
        <v>45655</v>
      </c>
      <c r="E3192" t="s">
        <v>15</v>
      </c>
      <c r="F3192">
        <v>44</v>
      </c>
      <c r="G3192" s="12">
        <v>836</v>
      </c>
      <c r="H3192" s="1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1050</v>
      </c>
      <c r="N3192" t="b">
        <v>0</v>
      </c>
    </row>
    <row r="3193" spans="1:14" x14ac:dyDescent="0.3">
      <c r="A3193" t="s">
        <v>4239</v>
      </c>
      <c r="B3193" t="s">
        <v>148</v>
      </c>
      <c r="C3193" s="1">
        <v>45437</v>
      </c>
      <c r="D3193" s="1">
        <v>45558</v>
      </c>
      <c r="E3193" t="s">
        <v>15</v>
      </c>
      <c r="F3193">
        <v>9</v>
      </c>
      <c r="G3193" s="12">
        <v>171</v>
      </c>
      <c r="H3193" s="12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1047</v>
      </c>
      <c r="N3193" t="b">
        <v>1</v>
      </c>
    </row>
    <row r="3194" spans="1:14" x14ac:dyDescent="0.3">
      <c r="A3194" t="s">
        <v>4240</v>
      </c>
      <c r="B3194" t="s">
        <v>132</v>
      </c>
      <c r="C3194" s="1">
        <v>45657</v>
      </c>
      <c r="E3194" t="s">
        <v>32</v>
      </c>
      <c r="F3194">
        <v>13</v>
      </c>
      <c r="G3194" s="12">
        <v>2587</v>
      </c>
      <c r="H3194" s="12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1047</v>
      </c>
      <c r="N3194" t="b">
        <v>1</v>
      </c>
    </row>
    <row r="3195" spans="1:14" x14ac:dyDescent="0.3">
      <c r="A3195" t="s">
        <v>4241</v>
      </c>
      <c r="B3195" t="s">
        <v>642</v>
      </c>
      <c r="C3195" s="1">
        <v>45493</v>
      </c>
      <c r="E3195" t="s">
        <v>39</v>
      </c>
      <c r="F3195">
        <v>28</v>
      </c>
      <c r="G3195" s="12">
        <v>1372</v>
      </c>
      <c r="H3195" s="12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1047</v>
      </c>
      <c r="N3195" t="b">
        <v>1</v>
      </c>
    </row>
    <row r="3196" spans="1:14" x14ac:dyDescent="0.3">
      <c r="A3196" t="s">
        <v>4242</v>
      </c>
      <c r="B3196" t="s">
        <v>624</v>
      </c>
      <c r="C3196" s="1">
        <v>45408</v>
      </c>
      <c r="E3196" t="s">
        <v>15</v>
      </c>
      <c r="F3196">
        <v>68</v>
      </c>
      <c r="G3196" s="12">
        <v>1292</v>
      </c>
      <c r="H3196" s="12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1050</v>
      </c>
      <c r="N3196" t="b">
        <v>1</v>
      </c>
    </row>
    <row r="3197" spans="1:14" x14ac:dyDescent="0.3">
      <c r="A3197" t="s">
        <v>4243</v>
      </c>
      <c r="B3197" t="s">
        <v>826</v>
      </c>
      <c r="C3197" s="1">
        <v>45469</v>
      </c>
      <c r="E3197" t="s">
        <v>32</v>
      </c>
      <c r="F3197">
        <v>1</v>
      </c>
      <c r="G3197" s="12">
        <v>199</v>
      </c>
      <c r="H3197" s="12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1050</v>
      </c>
      <c r="N3197" t="b">
        <v>1</v>
      </c>
    </row>
    <row r="3198" spans="1:14" x14ac:dyDescent="0.3">
      <c r="A3198" t="s">
        <v>4244</v>
      </c>
      <c r="B3198" t="s">
        <v>10</v>
      </c>
      <c r="C3198" s="1">
        <v>45613</v>
      </c>
      <c r="E3198" t="s">
        <v>39</v>
      </c>
      <c r="F3198">
        <v>9</v>
      </c>
      <c r="G3198" s="12">
        <v>0</v>
      </c>
      <c r="H3198" s="12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1050</v>
      </c>
      <c r="N3198" t="b">
        <v>1</v>
      </c>
    </row>
    <row r="3199" spans="1:14" x14ac:dyDescent="0.3">
      <c r="A3199" t="s">
        <v>4245</v>
      </c>
      <c r="B3199" t="s">
        <v>534</v>
      </c>
      <c r="C3199" s="1">
        <v>45621</v>
      </c>
      <c r="E3199" t="s">
        <v>15</v>
      </c>
      <c r="F3199">
        <v>19</v>
      </c>
      <c r="G3199" s="12">
        <v>361</v>
      </c>
      <c r="H3199" s="12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1050</v>
      </c>
      <c r="N3199" t="b">
        <v>1</v>
      </c>
    </row>
    <row r="3200" spans="1:14" x14ac:dyDescent="0.3">
      <c r="A3200" t="s">
        <v>4246</v>
      </c>
      <c r="B3200" t="s">
        <v>548</v>
      </c>
      <c r="C3200" s="1">
        <v>45603</v>
      </c>
      <c r="E3200" t="s">
        <v>32</v>
      </c>
      <c r="F3200">
        <v>35</v>
      </c>
      <c r="G3200" s="12">
        <v>6965</v>
      </c>
      <c r="H3200" s="12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1050</v>
      </c>
      <c r="N3200" t="b">
        <v>0</v>
      </c>
    </row>
    <row r="3201" spans="1:14" x14ac:dyDescent="0.3">
      <c r="A3201" t="s">
        <v>4247</v>
      </c>
      <c r="B3201" t="s">
        <v>1004</v>
      </c>
      <c r="C3201" s="1">
        <v>45480</v>
      </c>
      <c r="E3201" t="s">
        <v>39</v>
      </c>
      <c r="F3201">
        <v>23</v>
      </c>
      <c r="G3201" s="12">
        <v>1127</v>
      </c>
      <c r="H3201" s="12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1050</v>
      </c>
      <c r="N3201" t="b">
        <v>1</v>
      </c>
    </row>
    <row r="3202" spans="1:14" x14ac:dyDescent="0.3">
      <c r="A3202" t="s">
        <v>4248</v>
      </c>
      <c r="B3202" t="s">
        <v>918</v>
      </c>
      <c r="C3202" s="1">
        <v>45639</v>
      </c>
      <c r="E3202" t="s">
        <v>39</v>
      </c>
      <c r="F3202">
        <v>42</v>
      </c>
      <c r="G3202" s="12">
        <v>2058</v>
      </c>
      <c r="H3202" s="1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1050</v>
      </c>
      <c r="N3202" t="b">
        <v>0</v>
      </c>
    </row>
    <row r="3203" spans="1:14" x14ac:dyDescent="0.3">
      <c r="A3203" t="s">
        <v>4249</v>
      </c>
      <c r="B3203" t="s">
        <v>724</v>
      </c>
      <c r="C3203" s="1">
        <v>45584</v>
      </c>
      <c r="E3203" t="s">
        <v>32</v>
      </c>
      <c r="F3203">
        <v>31</v>
      </c>
      <c r="G3203" s="12">
        <v>6169</v>
      </c>
      <c r="H3203" s="12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1050</v>
      </c>
      <c r="N3203" t="b">
        <v>1</v>
      </c>
    </row>
    <row r="3204" spans="1:14" x14ac:dyDescent="0.3">
      <c r="A3204" t="s">
        <v>4250</v>
      </c>
      <c r="B3204" t="s">
        <v>670</v>
      </c>
      <c r="C3204" s="1">
        <v>45463</v>
      </c>
      <c r="D3204" s="1">
        <v>45656</v>
      </c>
      <c r="E3204" t="s">
        <v>15</v>
      </c>
      <c r="F3204">
        <v>11</v>
      </c>
      <c r="G3204" s="12">
        <v>209</v>
      </c>
      <c r="H3204" s="12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1047</v>
      </c>
      <c r="N3204" t="b">
        <v>1</v>
      </c>
    </row>
    <row r="3205" spans="1:14" x14ac:dyDescent="0.3">
      <c r="A3205" t="s">
        <v>4251</v>
      </c>
      <c r="B3205" t="s">
        <v>528</v>
      </c>
      <c r="C3205" s="1">
        <v>45529</v>
      </c>
      <c r="E3205" t="s">
        <v>39</v>
      </c>
      <c r="F3205">
        <v>32</v>
      </c>
      <c r="G3205" s="12">
        <v>1568</v>
      </c>
      <c r="H3205" s="12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1050</v>
      </c>
      <c r="N3205" t="b">
        <v>1</v>
      </c>
    </row>
    <row r="3206" spans="1:14" x14ac:dyDescent="0.3">
      <c r="A3206" t="s">
        <v>4252</v>
      </c>
      <c r="B3206" t="s">
        <v>536</v>
      </c>
      <c r="C3206" s="1">
        <v>45607</v>
      </c>
      <c r="E3206" t="s">
        <v>15</v>
      </c>
      <c r="F3206">
        <v>31</v>
      </c>
      <c r="G3206" s="12">
        <v>589</v>
      </c>
      <c r="H3206" s="12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1047</v>
      </c>
      <c r="N3206" t="b">
        <v>1</v>
      </c>
    </row>
    <row r="3207" spans="1:14" x14ac:dyDescent="0.3">
      <c r="A3207" t="s">
        <v>4253</v>
      </c>
      <c r="B3207" t="s">
        <v>808</v>
      </c>
      <c r="C3207" s="1">
        <v>45503</v>
      </c>
      <c r="E3207" t="s">
        <v>32</v>
      </c>
      <c r="F3207">
        <v>60</v>
      </c>
      <c r="G3207" s="12">
        <v>11940</v>
      </c>
      <c r="H3207" s="12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1050</v>
      </c>
      <c r="N3207" t="b">
        <v>1</v>
      </c>
    </row>
    <row r="3208" spans="1:14" x14ac:dyDescent="0.3">
      <c r="A3208" t="s">
        <v>4254</v>
      </c>
      <c r="B3208" t="s">
        <v>126</v>
      </c>
      <c r="C3208" s="1">
        <v>45655</v>
      </c>
      <c r="E3208" t="s">
        <v>39</v>
      </c>
      <c r="F3208">
        <v>12</v>
      </c>
      <c r="G3208" s="12">
        <v>0</v>
      </c>
      <c r="H3208" s="12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1050</v>
      </c>
      <c r="N3208" t="b">
        <v>1</v>
      </c>
    </row>
    <row r="3209" spans="1:14" x14ac:dyDescent="0.3">
      <c r="A3209" t="s">
        <v>4255</v>
      </c>
      <c r="B3209" t="s">
        <v>682</v>
      </c>
      <c r="C3209" s="1">
        <v>45619</v>
      </c>
      <c r="E3209" t="s">
        <v>32</v>
      </c>
      <c r="F3209">
        <v>28</v>
      </c>
      <c r="G3209" s="12">
        <v>5572</v>
      </c>
      <c r="H3209" s="12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1047</v>
      </c>
      <c r="N3209" t="b">
        <v>1</v>
      </c>
    </row>
    <row r="3210" spans="1:14" x14ac:dyDescent="0.3">
      <c r="A3210" t="s">
        <v>4256</v>
      </c>
      <c r="B3210" t="s">
        <v>228</v>
      </c>
      <c r="C3210" s="1">
        <v>45618</v>
      </c>
      <c r="E3210" t="s">
        <v>15</v>
      </c>
      <c r="F3210">
        <v>10</v>
      </c>
      <c r="G3210" s="12">
        <v>190</v>
      </c>
      <c r="H3210" s="12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1047</v>
      </c>
      <c r="N3210" t="b">
        <v>1</v>
      </c>
    </row>
    <row r="3211" spans="1:14" x14ac:dyDescent="0.3">
      <c r="A3211" t="s">
        <v>4257</v>
      </c>
      <c r="B3211" t="s">
        <v>248</v>
      </c>
      <c r="C3211" s="1">
        <v>45292</v>
      </c>
      <c r="E3211" t="s">
        <v>32</v>
      </c>
      <c r="F3211">
        <v>18</v>
      </c>
      <c r="G3211" s="12">
        <v>3582</v>
      </c>
      <c r="H3211" s="12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1050</v>
      </c>
      <c r="N3211" t="b">
        <v>1</v>
      </c>
    </row>
    <row r="3212" spans="1:14" x14ac:dyDescent="0.3">
      <c r="A3212" t="s">
        <v>4258</v>
      </c>
      <c r="B3212" t="s">
        <v>356</v>
      </c>
      <c r="C3212" s="1">
        <v>45628</v>
      </c>
      <c r="E3212" t="s">
        <v>39</v>
      </c>
      <c r="F3212">
        <v>44</v>
      </c>
      <c r="G3212" s="12">
        <v>0</v>
      </c>
      <c r="H3212" s="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1047</v>
      </c>
      <c r="N3212" t="b">
        <v>1</v>
      </c>
    </row>
    <row r="3213" spans="1:14" x14ac:dyDescent="0.3">
      <c r="A3213" t="s">
        <v>4259</v>
      </c>
      <c r="B3213" t="s">
        <v>730</v>
      </c>
      <c r="C3213" s="1">
        <v>45483</v>
      </c>
      <c r="E3213" t="s">
        <v>32</v>
      </c>
      <c r="F3213">
        <v>53</v>
      </c>
      <c r="G3213" s="12">
        <v>10547</v>
      </c>
      <c r="H3213" s="12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1047</v>
      </c>
      <c r="N3213" t="b">
        <v>1</v>
      </c>
    </row>
    <row r="3214" spans="1:14" x14ac:dyDescent="0.3">
      <c r="A3214" t="s">
        <v>4260</v>
      </c>
      <c r="B3214" t="s">
        <v>614</v>
      </c>
      <c r="C3214" s="1">
        <v>45647</v>
      </c>
      <c r="E3214" t="s">
        <v>15</v>
      </c>
      <c r="F3214">
        <v>25</v>
      </c>
      <c r="G3214" s="12">
        <v>0</v>
      </c>
      <c r="H3214" s="12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1050</v>
      </c>
      <c r="N3214" t="b">
        <v>1</v>
      </c>
    </row>
    <row r="3215" spans="1:14" x14ac:dyDescent="0.3">
      <c r="A3215" t="s">
        <v>4261</v>
      </c>
      <c r="B3215" t="s">
        <v>190</v>
      </c>
      <c r="C3215" s="1">
        <v>45338</v>
      </c>
      <c r="E3215" t="s">
        <v>39</v>
      </c>
      <c r="F3215">
        <v>56</v>
      </c>
      <c r="G3215" s="12">
        <v>2744</v>
      </c>
      <c r="H3215" s="12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1047</v>
      </c>
      <c r="N3215" t="b">
        <v>1</v>
      </c>
    </row>
    <row r="3216" spans="1:14" x14ac:dyDescent="0.3">
      <c r="A3216" t="s">
        <v>4262</v>
      </c>
      <c r="B3216" t="s">
        <v>902</v>
      </c>
      <c r="C3216" s="1">
        <v>45559</v>
      </c>
      <c r="E3216" t="s">
        <v>32</v>
      </c>
      <c r="F3216">
        <v>23</v>
      </c>
      <c r="G3216" s="12">
        <v>0</v>
      </c>
      <c r="H3216" s="12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1047</v>
      </c>
      <c r="N3216" t="b">
        <v>0</v>
      </c>
    </row>
    <row r="3217" spans="1:14" x14ac:dyDescent="0.3">
      <c r="A3217" t="s">
        <v>4263</v>
      </c>
      <c r="B3217" t="s">
        <v>362</v>
      </c>
      <c r="C3217" s="1">
        <v>45449</v>
      </c>
      <c r="E3217" t="s">
        <v>39</v>
      </c>
      <c r="F3217">
        <v>73</v>
      </c>
      <c r="G3217" s="12">
        <v>3577</v>
      </c>
      <c r="H3217" s="12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1050</v>
      </c>
      <c r="N3217" t="b">
        <v>1</v>
      </c>
    </row>
    <row r="3218" spans="1:14" x14ac:dyDescent="0.3">
      <c r="A3218" t="s">
        <v>4264</v>
      </c>
      <c r="B3218" t="s">
        <v>828</v>
      </c>
      <c r="C3218" s="1">
        <v>45642</v>
      </c>
      <c r="E3218" t="s">
        <v>39</v>
      </c>
      <c r="F3218">
        <v>69</v>
      </c>
      <c r="G3218" s="12">
        <v>3381</v>
      </c>
      <c r="H3218" s="12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1047</v>
      </c>
      <c r="N3218" t="b">
        <v>0</v>
      </c>
    </row>
    <row r="3219" spans="1:14" x14ac:dyDescent="0.3">
      <c r="A3219" t="s">
        <v>4265</v>
      </c>
      <c r="B3219" t="s">
        <v>984</v>
      </c>
      <c r="C3219" s="1">
        <v>45486</v>
      </c>
      <c r="E3219" t="s">
        <v>39</v>
      </c>
      <c r="F3219">
        <v>14</v>
      </c>
      <c r="G3219" s="12">
        <v>686</v>
      </c>
      <c r="H3219" s="12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1050</v>
      </c>
      <c r="N3219" t="b">
        <v>1</v>
      </c>
    </row>
    <row r="3220" spans="1:14" x14ac:dyDescent="0.3">
      <c r="A3220" t="s">
        <v>4266</v>
      </c>
      <c r="B3220" t="s">
        <v>408</v>
      </c>
      <c r="C3220" s="1">
        <v>45419</v>
      </c>
      <c r="E3220" t="s">
        <v>39</v>
      </c>
      <c r="F3220">
        <v>12</v>
      </c>
      <c r="G3220" s="12">
        <v>588</v>
      </c>
      <c r="H3220" s="12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1050</v>
      </c>
      <c r="N3220" t="b">
        <v>1</v>
      </c>
    </row>
    <row r="3221" spans="1:14" x14ac:dyDescent="0.3">
      <c r="A3221" t="s">
        <v>4267</v>
      </c>
      <c r="B3221" t="s">
        <v>774</v>
      </c>
      <c r="C3221" s="1">
        <v>45373</v>
      </c>
      <c r="E3221" t="s">
        <v>32</v>
      </c>
      <c r="F3221">
        <v>2</v>
      </c>
      <c r="G3221" s="12">
        <v>398</v>
      </c>
      <c r="H3221" s="12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1050</v>
      </c>
      <c r="N3221" t="b">
        <v>1</v>
      </c>
    </row>
    <row r="3222" spans="1:14" x14ac:dyDescent="0.3">
      <c r="A3222" t="s">
        <v>4268</v>
      </c>
      <c r="B3222" t="s">
        <v>490</v>
      </c>
      <c r="C3222" s="1">
        <v>45593</v>
      </c>
      <c r="E3222" t="s">
        <v>39</v>
      </c>
      <c r="F3222">
        <v>51</v>
      </c>
      <c r="G3222" s="12">
        <v>0</v>
      </c>
      <c r="H3222" s="1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1050</v>
      </c>
      <c r="N3222" t="b">
        <v>1</v>
      </c>
    </row>
    <row r="3223" spans="1:14" x14ac:dyDescent="0.3">
      <c r="A3223" t="s">
        <v>4269</v>
      </c>
      <c r="B3223" t="s">
        <v>810</v>
      </c>
      <c r="C3223" s="1">
        <v>45515</v>
      </c>
      <c r="E3223" t="s">
        <v>15</v>
      </c>
      <c r="F3223">
        <v>68</v>
      </c>
      <c r="G3223" s="12">
        <v>1292</v>
      </c>
      <c r="H3223" s="12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1050</v>
      </c>
      <c r="N3223" t="b">
        <v>1</v>
      </c>
    </row>
    <row r="3224" spans="1:14" x14ac:dyDescent="0.3">
      <c r="A3224" t="s">
        <v>4270</v>
      </c>
      <c r="B3224" t="s">
        <v>85</v>
      </c>
      <c r="C3224" s="1">
        <v>45436</v>
      </c>
      <c r="E3224" t="s">
        <v>39</v>
      </c>
      <c r="F3224">
        <v>92</v>
      </c>
      <c r="G3224" s="12">
        <v>4508</v>
      </c>
      <c r="H3224" s="12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1047</v>
      </c>
      <c r="N3224" t="b">
        <v>1</v>
      </c>
    </row>
    <row r="3225" spans="1:14" x14ac:dyDescent="0.3">
      <c r="A3225" t="s">
        <v>4271</v>
      </c>
      <c r="B3225" t="s">
        <v>1028</v>
      </c>
      <c r="C3225" s="1">
        <v>45597</v>
      </c>
      <c r="D3225" s="1">
        <v>45598</v>
      </c>
      <c r="E3225" t="s">
        <v>39</v>
      </c>
      <c r="F3225">
        <v>28</v>
      </c>
      <c r="G3225" s="12">
        <v>1372</v>
      </c>
      <c r="H3225" s="12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1047</v>
      </c>
      <c r="N3225" t="b">
        <v>0</v>
      </c>
    </row>
    <row r="3226" spans="1:14" x14ac:dyDescent="0.3">
      <c r="A3226" t="s">
        <v>4272</v>
      </c>
      <c r="B3226" t="s">
        <v>242</v>
      </c>
      <c r="C3226" s="1">
        <v>45648</v>
      </c>
      <c r="E3226" t="s">
        <v>39</v>
      </c>
      <c r="F3226">
        <v>61</v>
      </c>
      <c r="G3226" s="12">
        <v>2989</v>
      </c>
      <c r="H3226" s="12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1050</v>
      </c>
      <c r="N3226" t="b">
        <v>1</v>
      </c>
    </row>
    <row r="3227" spans="1:14" x14ac:dyDescent="0.3">
      <c r="A3227" t="s">
        <v>4273</v>
      </c>
      <c r="B3227" t="s">
        <v>51</v>
      </c>
      <c r="C3227" s="1">
        <v>45359</v>
      </c>
      <c r="D3227" s="1">
        <v>45554</v>
      </c>
      <c r="E3227" t="s">
        <v>39</v>
      </c>
      <c r="F3227">
        <v>7</v>
      </c>
      <c r="G3227" s="12">
        <v>343</v>
      </c>
      <c r="H3227" s="12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1050</v>
      </c>
      <c r="N3227" t="b">
        <v>1</v>
      </c>
    </row>
    <row r="3228" spans="1:14" x14ac:dyDescent="0.3">
      <c r="A3228" t="s">
        <v>4274</v>
      </c>
      <c r="B3228" t="s">
        <v>600</v>
      </c>
      <c r="C3228" s="1">
        <v>45315</v>
      </c>
      <c r="E3228" t="s">
        <v>15</v>
      </c>
      <c r="F3228">
        <v>14</v>
      </c>
      <c r="G3228" s="12">
        <v>266</v>
      </c>
      <c r="H3228" s="12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1050</v>
      </c>
      <c r="N3228" t="b">
        <v>1</v>
      </c>
    </row>
    <row r="3229" spans="1:14" x14ac:dyDescent="0.3">
      <c r="A3229" t="s">
        <v>4275</v>
      </c>
      <c r="B3229" t="s">
        <v>906</v>
      </c>
      <c r="C3229" s="1">
        <v>45358</v>
      </c>
      <c r="E3229" t="s">
        <v>15</v>
      </c>
      <c r="F3229">
        <v>12</v>
      </c>
      <c r="G3229" s="12">
        <v>228</v>
      </c>
      <c r="H3229" s="12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1047</v>
      </c>
      <c r="N3229" t="b">
        <v>0</v>
      </c>
    </row>
    <row r="3230" spans="1:14" x14ac:dyDescent="0.3">
      <c r="A3230" t="s">
        <v>4276</v>
      </c>
      <c r="B3230" t="s">
        <v>278</v>
      </c>
      <c r="C3230" s="1">
        <v>45260</v>
      </c>
      <c r="E3230" t="s">
        <v>39</v>
      </c>
      <c r="F3230">
        <v>41</v>
      </c>
      <c r="G3230" s="12">
        <v>2009</v>
      </c>
      <c r="H3230" s="12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1050</v>
      </c>
      <c r="N3230" t="b">
        <v>1</v>
      </c>
    </row>
    <row r="3231" spans="1:14" x14ac:dyDescent="0.3">
      <c r="A3231" t="s">
        <v>4277</v>
      </c>
      <c r="B3231" t="s">
        <v>994</v>
      </c>
      <c r="C3231" s="1">
        <v>45643</v>
      </c>
      <c r="E3231" t="s">
        <v>32</v>
      </c>
      <c r="F3231">
        <v>23</v>
      </c>
      <c r="G3231" s="12">
        <v>4577</v>
      </c>
      <c r="H3231" s="12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1050</v>
      </c>
      <c r="N3231" t="b">
        <v>1</v>
      </c>
    </row>
    <row r="3232" spans="1:14" x14ac:dyDescent="0.3">
      <c r="A3232" t="s">
        <v>4278</v>
      </c>
      <c r="B3232" t="s">
        <v>1004</v>
      </c>
      <c r="C3232" s="1">
        <v>45647</v>
      </c>
      <c r="E3232" t="s">
        <v>15</v>
      </c>
      <c r="F3232">
        <v>21</v>
      </c>
      <c r="G3232" s="12">
        <v>399</v>
      </c>
      <c r="H3232" s="1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1050</v>
      </c>
      <c r="N3232" t="b">
        <v>1</v>
      </c>
    </row>
    <row r="3233" spans="1:14" x14ac:dyDescent="0.3">
      <c r="A3233" t="s">
        <v>4279</v>
      </c>
      <c r="B3233" t="s">
        <v>734</v>
      </c>
      <c r="C3233" s="1">
        <v>45640</v>
      </c>
      <c r="E3233" t="s">
        <v>39</v>
      </c>
      <c r="F3233">
        <v>51</v>
      </c>
      <c r="G3233" s="12">
        <v>2499</v>
      </c>
      <c r="H3233" s="12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1047</v>
      </c>
      <c r="N3233" t="b">
        <v>1</v>
      </c>
    </row>
    <row r="3234" spans="1:14" x14ac:dyDescent="0.3">
      <c r="A3234" t="s">
        <v>4280</v>
      </c>
      <c r="B3234" t="s">
        <v>316</v>
      </c>
      <c r="C3234" s="1">
        <v>45467</v>
      </c>
      <c r="E3234" t="s">
        <v>15</v>
      </c>
      <c r="F3234">
        <v>3</v>
      </c>
      <c r="G3234" s="12">
        <v>57</v>
      </c>
      <c r="H3234" s="12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1047</v>
      </c>
      <c r="N3234" t="b">
        <v>1</v>
      </c>
    </row>
    <row r="3235" spans="1:14" x14ac:dyDescent="0.3">
      <c r="A3235" t="s">
        <v>4281</v>
      </c>
      <c r="B3235" t="s">
        <v>85</v>
      </c>
      <c r="C3235" s="1">
        <v>45554</v>
      </c>
      <c r="E3235" t="s">
        <v>39</v>
      </c>
      <c r="F3235">
        <v>7</v>
      </c>
      <c r="G3235" s="12">
        <v>343</v>
      </c>
      <c r="H3235" s="12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1050</v>
      </c>
      <c r="N3235" t="b">
        <v>1</v>
      </c>
    </row>
    <row r="3236" spans="1:14" x14ac:dyDescent="0.3">
      <c r="A3236" t="s">
        <v>4282</v>
      </c>
      <c r="B3236" t="s">
        <v>580</v>
      </c>
      <c r="C3236" s="1">
        <v>45377</v>
      </c>
      <c r="E3236" t="s">
        <v>39</v>
      </c>
      <c r="F3236">
        <v>50</v>
      </c>
      <c r="G3236" s="12">
        <v>2450</v>
      </c>
      <c r="H3236" s="12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1050</v>
      </c>
      <c r="N3236" t="b">
        <v>1</v>
      </c>
    </row>
    <row r="3237" spans="1:14" x14ac:dyDescent="0.3">
      <c r="A3237" t="s">
        <v>4283</v>
      </c>
      <c r="B3237" t="s">
        <v>142</v>
      </c>
      <c r="C3237" s="1">
        <v>45604</v>
      </c>
      <c r="E3237" t="s">
        <v>15</v>
      </c>
      <c r="F3237">
        <v>24</v>
      </c>
      <c r="G3237" s="12">
        <v>456</v>
      </c>
      <c r="H3237" s="12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1047</v>
      </c>
      <c r="N3237" t="b">
        <v>1</v>
      </c>
    </row>
    <row r="3238" spans="1:14" x14ac:dyDescent="0.3">
      <c r="A3238" t="s">
        <v>4284</v>
      </c>
      <c r="B3238" t="s">
        <v>362</v>
      </c>
      <c r="C3238" s="1">
        <v>45581</v>
      </c>
      <c r="E3238" t="s">
        <v>32</v>
      </c>
      <c r="F3238">
        <v>73</v>
      </c>
      <c r="G3238" s="12">
        <v>14527</v>
      </c>
      <c r="H3238" s="12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1050</v>
      </c>
      <c r="N3238" t="b">
        <v>1</v>
      </c>
    </row>
    <row r="3239" spans="1:14" x14ac:dyDescent="0.3">
      <c r="A3239" t="s">
        <v>4285</v>
      </c>
      <c r="B3239" t="s">
        <v>874</v>
      </c>
      <c r="C3239" s="1">
        <v>45445</v>
      </c>
      <c r="E3239" t="s">
        <v>15</v>
      </c>
      <c r="F3239">
        <v>9</v>
      </c>
      <c r="G3239" s="12">
        <v>171</v>
      </c>
      <c r="H3239" s="12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1050</v>
      </c>
      <c r="N3239" t="b">
        <v>1</v>
      </c>
    </row>
    <row r="3240" spans="1:14" x14ac:dyDescent="0.3">
      <c r="A3240" t="s">
        <v>4286</v>
      </c>
      <c r="B3240" t="s">
        <v>616</v>
      </c>
      <c r="C3240" s="1">
        <v>45308</v>
      </c>
      <c r="E3240" t="s">
        <v>32</v>
      </c>
      <c r="F3240">
        <v>5</v>
      </c>
      <c r="G3240" s="12">
        <v>995</v>
      </c>
      <c r="H3240" s="12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1047</v>
      </c>
      <c r="N3240" t="b">
        <v>1</v>
      </c>
    </row>
    <row r="3241" spans="1:14" x14ac:dyDescent="0.3">
      <c r="A3241" t="s">
        <v>4287</v>
      </c>
      <c r="B3241" t="s">
        <v>478</v>
      </c>
      <c r="C3241" s="1">
        <v>45289</v>
      </c>
      <c r="E3241" t="s">
        <v>39</v>
      </c>
      <c r="F3241">
        <v>1</v>
      </c>
      <c r="G3241" s="12">
        <v>0</v>
      </c>
      <c r="H3241" s="12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1050</v>
      </c>
      <c r="N3241" t="b">
        <v>1</v>
      </c>
    </row>
    <row r="3242" spans="1:14" x14ac:dyDescent="0.3">
      <c r="A3242" t="s">
        <v>4288</v>
      </c>
      <c r="B3242" t="s">
        <v>600</v>
      </c>
      <c r="C3242" s="1">
        <v>45654</v>
      </c>
      <c r="E3242" t="s">
        <v>39</v>
      </c>
      <c r="F3242">
        <v>33</v>
      </c>
      <c r="G3242" s="12">
        <v>1617</v>
      </c>
      <c r="H3242" s="1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1047</v>
      </c>
      <c r="N3242" t="b">
        <v>1</v>
      </c>
    </row>
    <row r="3243" spans="1:14" x14ac:dyDescent="0.3">
      <c r="A3243" t="s">
        <v>4289</v>
      </c>
      <c r="B3243" t="s">
        <v>172</v>
      </c>
      <c r="C3243" s="1">
        <v>45592</v>
      </c>
      <c r="E3243" t="s">
        <v>15</v>
      </c>
      <c r="F3243">
        <v>99</v>
      </c>
      <c r="G3243" s="12">
        <v>1881</v>
      </c>
      <c r="H3243" s="12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1050</v>
      </c>
      <c r="N3243" t="b">
        <v>0</v>
      </c>
    </row>
    <row r="3244" spans="1:14" x14ac:dyDescent="0.3">
      <c r="A3244" t="s">
        <v>4290</v>
      </c>
      <c r="B3244" t="s">
        <v>1010</v>
      </c>
      <c r="C3244" s="1">
        <v>45629</v>
      </c>
      <c r="E3244" t="s">
        <v>39</v>
      </c>
      <c r="F3244">
        <v>31</v>
      </c>
      <c r="G3244" s="12">
        <v>1519</v>
      </c>
      <c r="H3244" s="12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1047</v>
      </c>
      <c r="N3244" t="b">
        <v>0</v>
      </c>
    </row>
    <row r="3245" spans="1:14" x14ac:dyDescent="0.3">
      <c r="A3245" t="s">
        <v>4291</v>
      </c>
      <c r="B3245" t="s">
        <v>218</v>
      </c>
      <c r="C3245" s="1">
        <v>45429</v>
      </c>
      <c r="E3245" t="s">
        <v>39</v>
      </c>
      <c r="F3245">
        <v>9</v>
      </c>
      <c r="G3245" s="12">
        <v>441</v>
      </c>
      <c r="H3245" s="12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1047</v>
      </c>
      <c r="N3245" t="b">
        <v>1</v>
      </c>
    </row>
    <row r="3246" spans="1:14" x14ac:dyDescent="0.3">
      <c r="A3246" t="s">
        <v>4292</v>
      </c>
      <c r="B3246" t="s">
        <v>500</v>
      </c>
      <c r="C3246" s="1">
        <v>45563</v>
      </c>
      <c r="E3246" t="s">
        <v>39</v>
      </c>
      <c r="F3246">
        <v>92</v>
      </c>
      <c r="G3246" s="12">
        <v>4508</v>
      </c>
      <c r="H3246" s="12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1047</v>
      </c>
      <c r="N3246" t="b">
        <v>1</v>
      </c>
    </row>
    <row r="3247" spans="1:14" x14ac:dyDescent="0.3">
      <c r="A3247" t="s">
        <v>4293</v>
      </c>
      <c r="B3247" t="s">
        <v>722</v>
      </c>
      <c r="C3247" s="1">
        <v>45246</v>
      </c>
      <c r="E3247" t="s">
        <v>39</v>
      </c>
      <c r="F3247">
        <v>68</v>
      </c>
      <c r="G3247" s="12">
        <v>3332</v>
      </c>
      <c r="H3247" s="12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1047</v>
      </c>
      <c r="N3247" t="b">
        <v>1</v>
      </c>
    </row>
    <row r="3248" spans="1:14" x14ac:dyDescent="0.3">
      <c r="A3248" t="s">
        <v>4294</v>
      </c>
      <c r="B3248" t="s">
        <v>172</v>
      </c>
      <c r="C3248" s="1">
        <v>45258</v>
      </c>
      <c r="E3248" t="s">
        <v>32</v>
      </c>
      <c r="F3248">
        <v>5</v>
      </c>
      <c r="G3248" s="12">
        <v>995</v>
      </c>
      <c r="H3248" s="12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1050</v>
      </c>
      <c r="N3248" t="b">
        <v>0</v>
      </c>
    </row>
    <row r="3249" spans="1:14" x14ac:dyDescent="0.3">
      <c r="A3249" t="s">
        <v>4295</v>
      </c>
      <c r="B3249" t="s">
        <v>466</v>
      </c>
      <c r="C3249" s="1">
        <v>45424</v>
      </c>
      <c r="E3249" t="s">
        <v>39</v>
      </c>
      <c r="F3249">
        <v>11</v>
      </c>
      <c r="G3249" s="12">
        <v>539</v>
      </c>
      <c r="H3249" s="12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1047</v>
      </c>
      <c r="N3249" t="b">
        <v>1</v>
      </c>
    </row>
    <row r="3250" spans="1:14" x14ac:dyDescent="0.3">
      <c r="A3250" t="s">
        <v>4296</v>
      </c>
      <c r="B3250" t="s">
        <v>880</v>
      </c>
      <c r="C3250" s="1">
        <v>45578</v>
      </c>
      <c r="E3250" t="s">
        <v>15</v>
      </c>
      <c r="F3250">
        <v>22</v>
      </c>
      <c r="G3250" s="12">
        <v>418</v>
      </c>
      <c r="H3250" s="12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1050</v>
      </c>
      <c r="N3250" t="b">
        <v>1</v>
      </c>
    </row>
    <row r="3251" spans="1:14" x14ac:dyDescent="0.3">
      <c r="A3251" t="s">
        <v>4297</v>
      </c>
      <c r="B3251" t="s">
        <v>42</v>
      </c>
      <c r="C3251" s="1">
        <v>45617</v>
      </c>
      <c r="E3251" t="s">
        <v>39</v>
      </c>
      <c r="F3251">
        <v>12</v>
      </c>
      <c r="G3251" s="12">
        <v>588</v>
      </c>
      <c r="H3251" s="12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1047</v>
      </c>
      <c r="N3251" t="b">
        <v>1</v>
      </c>
    </row>
    <row r="3252" spans="1:14" x14ac:dyDescent="0.3">
      <c r="A3252" t="s">
        <v>4298</v>
      </c>
      <c r="B3252" t="s">
        <v>1012</v>
      </c>
      <c r="C3252" s="1">
        <v>45571</v>
      </c>
      <c r="E3252" t="s">
        <v>39</v>
      </c>
      <c r="F3252">
        <v>29</v>
      </c>
      <c r="G3252" s="12">
        <v>1421</v>
      </c>
      <c r="H3252" s="1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1050</v>
      </c>
      <c r="N3252" t="b">
        <v>1</v>
      </c>
    </row>
    <row r="3253" spans="1:14" x14ac:dyDescent="0.3">
      <c r="A3253" t="s">
        <v>4299</v>
      </c>
      <c r="B3253" t="s">
        <v>318</v>
      </c>
      <c r="C3253" s="1">
        <v>45497</v>
      </c>
      <c r="D3253" s="1">
        <v>45514</v>
      </c>
      <c r="E3253" t="s">
        <v>39</v>
      </c>
      <c r="F3253">
        <v>58</v>
      </c>
      <c r="G3253" s="12">
        <v>0</v>
      </c>
      <c r="H3253" s="12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1047</v>
      </c>
      <c r="N3253" t="b">
        <v>1</v>
      </c>
    </row>
    <row r="3254" spans="1:14" x14ac:dyDescent="0.3">
      <c r="A3254" t="s">
        <v>4300</v>
      </c>
      <c r="B3254" t="s">
        <v>608</v>
      </c>
      <c r="C3254" s="1">
        <v>45182</v>
      </c>
      <c r="E3254" t="s">
        <v>32</v>
      </c>
      <c r="F3254">
        <v>34</v>
      </c>
      <c r="G3254" s="12">
        <v>0</v>
      </c>
      <c r="H3254" s="12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1047</v>
      </c>
      <c r="N3254" t="b">
        <v>1</v>
      </c>
    </row>
    <row r="3255" spans="1:14" x14ac:dyDescent="0.3">
      <c r="A3255" t="s">
        <v>4301</v>
      </c>
      <c r="B3255" t="s">
        <v>574</v>
      </c>
      <c r="C3255" s="1">
        <v>45613</v>
      </c>
      <c r="E3255" t="s">
        <v>32</v>
      </c>
      <c r="F3255">
        <v>17</v>
      </c>
      <c r="G3255" s="12">
        <v>3383</v>
      </c>
      <c r="H3255" s="12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1047</v>
      </c>
      <c r="N3255" t="b">
        <v>1</v>
      </c>
    </row>
    <row r="3256" spans="1:14" x14ac:dyDescent="0.3">
      <c r="A3256" t="s">
        <v>4302</v>
      </c>
      <c r="B3256" t="s">
        <v>616</v>
      </c>
      <c r="C3256" s="1">
        <v>45445</v>
      </c>
      <c r="E3256" t="s">
        <v>32</v>
      </c>
      <c r="F3256">
        <v>37</v>
      </c>
      <c r="G3256" s="12">
        <v>7363</v>
      </c>
      <c r="H3256" s="12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1047</v>
      </c>
      <c r="N3256" t="b">
        <v>1</v>
      </c>
    </row>
    <row r="3257" spans="1:14" x14ac:dyDescent="0.3">
      <c r="A3257" t="s">
        <v>4303</v>
      </c>
      <c r="B3257" t="s">
        <v>798</v>
      </c>
      <c r="C3257" s="1">
        <v>45027</v>
      </c>
      <c r="E3257" t="s">
        <v>32</v>
      </c>
      <c r="F3257">
        <v>23</v>
      </c>
      <c r="G3257" s="12">
        <v>4577</v>
      </c>
      <c r="H3257" s="12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1050</v>
      </c>
      <c r="N3257" t="b">
        <v>1</v>
      </c>
    </row>
    <row r="3258" spans="1:14" x14ac:dyDescent="0.3">
      <c r="A3258" t="s">
        <v>4304</v>
      </c>
      <c r="B3258" t="s">
        <v>866</v>
      </c>
      <c r="C3258" s="1">
        <v>45475</v>
      </c>
      <c r="E3258" t="s">
        <v>39</v>
      </c>
      <c r="F3258">
        <v>23</v>
      </c>
      <c r="G3258" s="12">
        <v>1127</v>
      </c>
      <c r="H3258" s="12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1050</v>
      </c>
      <c r="N3258" t="b">
        <v>1</v>
      </c>
    </row>
    <row r="3259" spans="1:14" x14ac:dyDescent="0.3">
      <c r="A3259" t="s">
        <v>4305</v>
      </c>
      <c r="B3259" t="s">
        <v>940</v>
      </c>
      <c r="C3259" s="1">
        <v>45635</v>
      </c>
      <c r="E3259" t="s">
        <v>32</v>
      </c>
      <c r="F3259">
        <v>85</v>
      </c>
      <c r="G3259" s="12">
        <v>16915</v>
      </c>
      <c r="H3259" s="12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1047</v>
      </c>
      <c r="N3259" t="b">
        <v>1</v>
      </c>
    </row>
    <row r="3260" spans="1:14" x14ac:dyDescent="0.3">
      <c r="A3260" t="s">
        <v>4306</v>
      </c>
      <c r="B3260" t="s">
        <v>696</v>
      </c>
      <c r="C3260" s="1">
        <v>45563</v>
      </c>
      <c r="E3260" t="s">
        <v>15</v>
      </c>
      <c r="F3260">
        <v>62</v>
      </c>
      <c r="G3260" s="12">
        <v>0</v>
      </c>
      <c r="H3260" s="12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1047</v>
      </c>
      <c r="N3260" t="b">
        <v>1</v>
      </c>
    </row>
    <row r="3261" spans="1:14" x14ac:dyDescent="0.3">
      <c r="A3261" t="s">
        <v>4307</v>
      </c>
      <c r="B3261" t="s">
        <v>692</v>
      </c>
      <c r="C3261" s="1">
        <v>45570</v>
      </c>
      <c r="E3261" t="s">
        <v>39</v>
      </c>
      <c r="F3261">
        <v>17</v>
      </c>
      <c r="G3261" s="12">
        <v>833</v>
      </c>
      <c r="H3261" s="12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1050</v>
      </c>
      <c r="N3261" t="b">
        <v>1</v>
      </c>
    </row>
    <row r="3262" spans="1:14" x14ac:dyDescent="0.3">
      <c r="A3262" t="s">
        <v>4308</v>
      </c>
      <c r="B3262" t="s">
        <v>570</v>
      </c>
      <c r="C3262" s="1">
        <v>45637</v>
      </c>
      <c r="E3262" t="s">
        <v>32</v>
      </c>
      <c r="F3262">
        <v>83</v>
      </c>
      <c r="G3262" s="12">
        <v>16517</v>
      </c>
      <c r="H3262" s="1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1050</v>
      </c>
      <c r="N3262" t="b">
        <v>1</v>
      </c>
    </row>
    <row r="3263" spans="1:14" x14ac:dyDescent="0.3">
      <c r="A3263" t="s">
        <v>4309</v>
      </c>
      <c r="B3263" t="s">
        <v>940</v>
      </c>
      <c r="C3263" s="1">
        <v>45415</v>
      </c>
      <c r="E3263" t="s">
        <v>39</v>
      </c>
      <c r="F3263">
        <v>20</v>
      </c>
      <c r="G3263" s="12">
        <v>980</v>
      </c>
      <c r="H3263" s="12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1050</v>
      </c>
      <c r="N3263" t="b">
        <v>1</v>
      </c>
    </row>
    <row r="3264" spans="1:14" x14ac:dyDescent="0.3">
      <c r="A3264" t="s">
        <v>4310</v>
      </c>
      <c r="B3264" t="s">
        <v>25</v>
      </c>
      <c r="C3264" s="1">
        <v>45484</v>
      </c>
      <c r="E3264" t="s">
        <v>39</v>
      </c>
      <c r="F3264">
        <v>24</v>
      </c>
      <c r="G3264" s="12">
        <v>0</v>
      </c>
      <c r="H3264" s="12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1047</v>
      </c>
      <c r="N3264" t="b">
        <v>1</v>
      </c>
    </row>
    <row r="3265" spans="1:14" x14ac:dyDescent="0.3">
      <c r="A3265" t="s">
        <v>4311</v>
      </c>
      <c r="B3265" t="s">
        <v>29</v>
      </c>
      <c r="C3265" s="1">
        <v>45620</v>
      </c>
      <c r="E3265" t="s">
        <v>39</v>
      </c>
      <c r="F3265">
        <v>35</v>
      </c>
      <c r="G3265" s="12">
        <v>1715</v>
      </c>
      <c r="H3265" s="12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1050</v>
      </c>
      <c r="N3265" t="b">
        <v>0</v>
      </c>
    </row>
    <row r="3266" spans="1:14" x14ac:dyDescent="0.3">
      <c r="A3266" t="s">
        <v>4312</v>
      </c>
      <c r="B3266" t="s">
        <v>184</v>
      </c>
      <c r="C3266" s="1">
        <v>45306</v>
      </c>
      <c r="E3266" t="s">
        <v>15</v>
      </c>
      <c r="F3266">
        <v>13</v>
      </c>
      <c r="G3266" s="12">
        <v>0</v>
      </c>
      <c r="H3266" s="12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1050</v>
      </c>
      <c r="N3266" t="b">
        <v>1</v>
      </c>
    </row>
    <row r="3267" spans="1:14" x14ac:dyDescent="0.3">
      <c r="A3267" t="s">
        <v>4313</v>
      </c>
      <c r="B3267" t="s">
        <v>574</v>
      </c>
      <c r="C3267" s="1">
        <v>45651</v>
      </c>
      <c r="E3267" t="s">
        <v>32</v>
      </c>
      <c r="F3267">
        <v>22</v>
      </c>
      <c r="G3267" s="12">
        <v>4378</v>
      </c>
      <c r="H3267" s="12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1047</v>
      </c>
      <c r="N3267" t="b">
        <v>1</v>
      </c>
    </row>
    <row r="3268" spans="1:14" x14ac:dyDescent="0.3">
      <c r="A3268" t="s">
        <v>4314</v>
      </c>
      <c r="B3268" t="s">
        <v>818</v>
      </c>
      <c r="C3268" s="1">
        <v>45537</v>
      </c>
      <c r="E3268" t="s">
        <v>39</v>
      </c>
      <c r="F3268">
        <v>30</v>
      </c>
      <c r="G3268" s="12">
        <v>0</v>
      </c>
      <c r="H3268" s="12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1047</v>
      </c>
      <c r="N3268" t="b">
        <v>1</v>
      </c>
    </row>
    <row r="3269" spans="1:14" x14ac:dyDescent="0.3">
      <c r="A3269" t="s">
        <v>4315</v>
      </c>
      <c r="B3269" t="s">
        <v>222</v>
      </c>
      <c r="C3269" s="1">
        <v>45414</v>
      </c>
      <c r="D3269" s="1">
        <v>45492</v>
      </c>
      <c r="E3269" t="s">
        <v>15</v>
      </c>
      <c r="F3269">
        <v>10</v>
      </c>
      <c r="G3269" s="12">
        <v>190</v>
      </c>
      <c r="H3269" s="12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1047</v>
      </c>
      <c r="N3269" t="b">
        <v>1</v>
      </c>
    </row>
    <row r="3270" spans="1:14" x14ac:dyDescent="0.3">
      <c r="A3270" t="s">
        <v>4316</v>
      </c>
      <c r="B3270" t="s">
        <v>132</v>
      </c>
      <c r="C3270" s="1">
        <v>45393</v>
      </c>
      <c r="E3270" t="s">
        <v>32</v>
      </c>
      <c r="F3270">
        <v>13</v>
      </c>
      <c r="G3270" s="12">
        <v>2587</v>
      </c>
      <c r="H3270" s="12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1047</v>
      </c>
      <c r="N3270" t="b">
        <v>1</v>
      </c>
    </row>
    <row r="3271" spans="1:14" x14ac:dyDescent="0.3">
      <c r="A3271" t="s">
        <v>4317</v>
      </c>
      <c r="B3271" t="s">
        <v>828</v>
      </c>
      <c r="C3271" s="1">
        <v>45489</v>
      </c>
      <c r="E3271" t="s">
        <v>32</v>
      </c>
      <c r="F3271">
        <v>69</v>
      </c>
      <c r="G3271" s="12">
        <v>13731</v>
      </c>
      <c r="H3271" s="12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1050</v>
      </c>
      <c r="N3271" t="b">
        <v>1</v>
      </c>
    </row>
    <row r="3272" spans="1:14" x14ac:dyDescent="0.3">
      <c r="A3272" t="s">
        <v>4318</v>
      </c>
      <c r="B3272" t="s">
        <v>1006</v>
      </c>
      <c r="C3272" s="1">
        <v>45645</v>
      </c>
      <c r="E3272" t="s">
        <v>39</v>
      </c>
      <c r="F3272">
        <v>148</v>
      </c>
      <c r="G3272" s="12">
        <v>7252</v>
      </c>
      <c r="H3272" s="1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1050</v>
      </c>
      <c r="N3272" t="b">
        <v>0</v>
      </c>
    </row>
    <row r="3273" spans="1:14" x14ac:dyDescent="0.3">
      <c r="A3273" t="s">
        <v>4319</v>
      </c>
      <c r="B3273" t="s">
        <v>980</v>
      </c>
      <c r="C3273" s="1">
        <v>45585</v>
      </c>
      <c r="E3273" t="s">
        <v>32</v>
      </c>
      <c r="F3273">
        <v>67</v>
      </c>
      <c r="G3273" s="12">
        <v>13333</v>
      </c>
      <c r="H3273" s="12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1047</v>
      </c>
      <c r="N3273" t="b">
        <v>1</v>
      </c>
    </row>
    <row r="3274" spans="1:14" x14ac:dyDescent="0.3">
      <c r="A3274" t="s">
        <v>4320</v>
      </c>
      <c r="B3274" t="s">
        <v>236</v>
      </c>
      <c r="C3274" s="1">
        <v>45332</v>
      </c>
      <c r="E3274" t="s">
        <v>15</v>
      </c>
      <c r="F3274">
        <v>11</v>
      </c>
      <c r="G3274" s="12">
        <v>209</v>
      </c>
      <c r="H3274" s="12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1050</v>
      </c>
      <c r="N3274" t="b">
        <v>1</v>
      </c>
    </row>
    <row r="3275" spans="1:14" x14ac:dyDescent="0.3">
      <c r="A3275" t="s">
        <v>4321</v>
      </c>
      <c r="B3275" t="s">
        <v>306</v>
      </c>
      <c r="C3275" s="1">
        <v>45562</v>
      </c>
      <c r="E3275" t="s">
        <v>15</v>
      </c>
      <c r="F3275">
        <v>19</v>
      </c>
      <c r="G3275" s="12">
        <v>0</v>
      </c>
      <c r="H3275" s="12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1050</v>
      </c>
      <c r="N3275" t="b">
        <v>1</v>
      </c>
    </row>
    <row r="3276" spans="1:14" x14ac:dyDescent="0.3">
      <c r="A3276" t="s">
        <v>4322</v>
      </c>
      <c r="B3276" t="s">
        <v>53</v>
      </c>
      <c r="C3276" s="1">
        <v>45376</v>
      </c>
      <c r="E3276" t="s">
        <v>39</v>
      </c>
      <c r="F3276">
        <v>18</v>
      </c>
      <c r="G3276" s="12">
        <v>882</v>
      </c>
      <c r="H3276" s="12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1047</v>
      </c>
      <c r="N3276" t="b">
        <v>1</v>
      </c>
    </row>
    <row r="3277" spans="1:14" x14ac:dyDescent="0.3">
      <c r="A3277" t="s">
        <v>4323</v>
      </c>
      <c r="B3277" t="s">
        <v>884</v>
      </c>
      <c r="C3277" s="1">
        <v>45501</v>
      </c>
      <c r="E3277" t="s">
        <v>15</v>
      </c>
      <c r="F3277">
        <v>24</v>
      </c>
      <c r="G3277" s="12">
        <v>456</v>
      </c>
      <c r="H3277" s="12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1050</v>
      </c>
      <c r="N3277" t="b">
        <v>1</v>
      </c>
    </row>
    <row r="3278" spans="1:14" x14ac:dyDescent="0.3">
      <c r="A3278" t="s">
        <v>4324</v>
      </c>
      <c r="B3278" t="s">
        <v>918</v>
      </c>
      <c r="C3278" s="1">
        <v>45637</v>
      </c>
      <c r="E3278" t="s">
        <v>39</v>
      </c>
      <c r="F3278">
        <v>16</v>
      </c>
      <c r="G3278" s="12">
        <v>784</v>
      </c>
      <c r="H3278" s="12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1047</v>
      </c>
      <c r="N3278" t="b">
        <v>1</v>
      </c>
    </row>
    <row r="3279" spans="1:14" x14ac:dyDescent="0.3">
      <c r="A3279" t="s">
        <v>4325</v>
      </c>
      <c r="B3279" t="s">
        <v>486</v>
      </c>
      <c r="C3279" s="1">
        <v>45407</v>
      </c>
      <c r="E3279" t="s">
        <v>39</v>
      </c>
      <c r="F3279">
        <v>53</v>
      </c>
      <c r="G3279" s="12">
        <v>0</v>
      </c>
      <c r="H3279" s="12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1047</v>
      </c>
      <c r="N3279" t="b">
        <v>1</v>
      </c>
    </row>
    <row r="3280" spans="1:14" x14ac:dyDescent="0.3">
      <c r="A3280" t="s">
        <v>4326</v>
      </c>
      <c r="B3280" t="s">
        <v>240</v>
      </c>
      <c r="C3280" s="1">
        <v>45390</v>
      </c>
      <c r="E3280" t="s">
        <v>32</v>
      </c>
      <c r="F3280">
        <v>40</v>
      </c>
      <c r="G3280" s="12">
        <v>7960</v>
      </c>
      <c r="H3280" s="12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1047</v>
      </c>
      <c r="N3280" t="b">
        <v>1</v>
      </c>
    </row>
    <row r="3281" spans="1:14" x14ac:dyDescent="0.3">
      <c r="A3281" t="s">
        <v>4327</v>
      </c>
      <c r="B3281" t="s">
        <v>124</v>
      </c>
      <c r="C3281" s="1">
        <v>45436</v>
      </c>
      <c r="D3281" s="1">
        <v>45584</v>
      </c>
      <c r="E3281" t="s">
        <v>32</v>
      </c>
      <c r="F3281">
        <v>90</v>
      </c>
      <c r="G3281" s="12">
        <v>17910</v>
      </c>
      <c r="H3281" s="12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1047</v>
      </c>
      <c r="N3281" t="b">
        <v>1</v>
      </c>
    </row>
    <row r="3282" spans="1:14" x14ac:dyDescent="0.3">
      <c r="A3282" t="s">
        <v>4328</v>
      </c>
      <c r="B3282" t="s">
        <v>196</v>
      </c>
      <c r="C3282" s="1">
        <v>45625</v>
      </c>
      <c r="D3282" s="1">
        <v>45656</v>
      </c>
      <c r="E3282" t="s">
        <v>15</v>
      </c>
      <c r="F3282">
        <v>38</v>
      </c>
      <c r="G3282" s="12">
        <v>722</v>
      </c>
      <c r="H3282" s="1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1050</v>
      </c>
      <c r="N3282" t="b">
        <v>1</v>
      </c>
    </row>
    <row r="3283" spans="1:14" x14ac:dyDescent="0.3">
      <c r="A3283" t="s">
        <v>4329</v>
      </c>
      <c r="B3283" t="s">
        <v>796</v>
      </c>
      <c r="C3283" s="1">
        <v>45496</v>
      </c>
      <c r="E3283" t="s">
        <v>39</v>
      </c>
      <c r="F3283">
        <v>40</v>
      </c>
      <c r="G3283" s="12">
        <v>0</v>
      </c>
      <c r="H3283" s="12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1047</v>
      </c>
      <c r="N3283" t="b">
        <v>1</v>
      </c>
    </row>
    <row r="3284" spans="1:14" x14ac:dyDescent="0.3">
      <c r="A3284" t="s">
        <v>4330</v>
      </c>
      <c r="B3284" t="s">
        <v>244</v>
      </c>
      <c r="C3284" s="1">
        <v>45603</v>
      </c>
      <c r="E3284" t="s">
        <v>32</v>
      </c>
      <c r="F3284">
        <v>25</v>
      </c>
      <c r="G3284" s="12">
        <v>4975</v>
      </c>
      <c r="H3284" s="12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1050</v>
      </c>
      <c r="N3284" t="b">
        <v>1</v>
      </c>
    </row>
    <row r="3285" spans="1:14" x14ac:dyDescent="0.3">
      <c r="A3285" t="s">
        <v>4331</v>
      </c>
      <c r="B3285" t="s">
        <v>518</v>
      </c>
      <c r="C3285" s="1">
        <v>45213</v>
      </c>
      <c r="D3285" s="1">
        <v>45270</v>
      </c>
      <c r="E3285" t="s">
        <v>32</v>
      </c>
      <c r="F3285">
        <v>25</v>
      </c>
      <c r="G3285" s="12">
        <v>0</v>
      </c>
      <c r="H3285" s="12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1050</v>
      </c>
      <c r="N3285" t="b">
        <v>1</v>
      </c>
    </row>
    <row r="3286" spans="1:14" x14ac:dyDescent="0.3">
      <c r="A3286" t="s">
        <v>4332</v>
      </c>
      <c r="B3286" t="s">
        <v>42</v>
      </c>
      <c r="C3286" s="1">
        <v>45545</v>
      </c>
      <c r="E3286" t="s">
        <v>39</v>
      </c>
      <c r="F3286">
        <v>12</v>
      </c>
      <c r="G3286" s="12">
        <v>0</v>
      </c>
      <c r="H3286" s="12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1050</v>
      </c>
      <c r="N3286" t="b">
        <v>1</v>
      </c>
    </row>
    <row r="3287" spans="1:14" x14ac:dyDescent="0.3">
      <c r="A3287" t="s">
        <v>4333</v>
      </c>
      <c r="B3287" t="s">
        <v>438</v>
      </c>
      <c r="C3287" s="1">
        <v>45031</v>
      </c>
      <c r="E3287" t="s">
        <v>39</v>
      </c>
      <c r="F3287">
        <v>19</v>
      </c>
      <c r="G3287" s="12">
        <v>931</v>
      </c>
      <c r="H3287" s="12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1050</v>
      </c>
      <c r="N3287" t="b">
        <v>1</v>
      </c>
    </row>
    <row r="3288" spans="1:14" x14ac:dyDescent="0.3">
      <c r="A3288" t="s">
        <v>4334</v>
      </c>
      <c r="B3288" t="s">
        <v>998</v>
      </c>
      <c r="C3288" s="1">
        <v>45300</v>
      </c>
      <c r="E3288" t="s">
        <v>15</v>
      </c>
      <c r="F3288">
        <v>40</v>
      </c>
      <c r="G3288" s="12">
        <v>760</v>
      </c>
      <c r="H3288" s="12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1050</v>
      </c>
      <c r="N3288" t="b">
        <v>1</v>
      </c>
    </row>
    <row r="3289" spans="1:14" x14ac:dyDescent="0.3">
      <c r="A3289" t="s">
        <v>4335</v>
      </c>
      <c r="B3289" t="s">
        <v>998</v>
      </c>
      <c r="C3289" s="1">
        <v>45650</v>
      </c>
      <c r="E3289" t="s">
        <v>39</v>
      </c>
      <c r="F3289">
        <v>40</v>
      </c>
      <c r="G3289" s="12">
        <v>1960</v>
      </c>
      <c r="H3289" s="12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1047</v>
      </c>
      <c r="N3289" t="b">
        <v>1</v>
      </c>
    </row>
    <row r="3290" spans="1:14" x14ac:dyDescent="0.3">
      <c r="A3290" t="s">
        <v>4336</v>
      </c>
      <c r="B3290" t="s">
        <v>748</v>
      </c>
      <c r="C3290" s="1">
        <v>45467</v>
      </c>
      <c r="E3290" t="s">
        <v>32</v>
      </c>
      <c r="F3290">
        <v>22</v>
      </c>
      <c r="G3290" s="12">
        <v>4378</v>
      </c>
      <c r="H3290" s="12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1050</v>
      </c>
      <c r="N3290" t="b">
        <v>1</v>
      </c>
    </row>
    <row r="3291" spans="1:14" x14ac:dyDescent="0.3">
      <c r="A3291" t="s">
        <v>4337</v>
      </c>
      <c r="B3291" t="s">
        <v>926</v>
      </c>
      <c r="C3291" s="1">
        <v>45533</v>
      </c>
      <c r="E3291" t="s">
        <v>15</v>
      </c>
      <c r="F3291">
        <v>27</v>
      </c>
      <c r="G3291" s="12">
        <v>513</v>
      </c>
      <c r="H3291" s="12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1050</v>
      </c>
      <c r="N3291" t="b">
        <v>1</v>
      </c>
    </row>
    <row r="3292" spans="1:14" x14ac:dyDescent="0.3">
      <c r="A3292" t="s">
        <v>4338</v>
      </c>
      <c r="B3292" t="s">
        <v>776</v>
      </c>
      <c r="C3292" s="1">
        <v>45650</v>
      </c>
      <c r="D3292" s="1">
        <v>45650</v>
      </c>
      <c r="E3292" t="s">
        <v>39</v>
      </c>
      <c r="F3292">
        <v>36</v>
      </c>
      <c r="G3292" s="12">
        <v>1764</v>
      </c>
      <c r="H3292" s="1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1047</v>
      </c>
      <c r="N3292" t="b">
        <v>0</v>
      </c>
    </row>
    <row r="3293" spans="1:14" x14ac:dyDescent="0.3">
      <c r="A3293" t="s">
        <v>4339</v>
      </c>
      <c r="B3293" t="s">
        <v>896</v>
      </c>
      <c r="C3293" s="1">
        <v>45491</v>
      </c>
      <c r="E3293" t="s">
        <v>15</v>
      </c>
      <c r="F3293">
        <v>56</v>
      </c>
      <c r="G3293" s="12">
        <v>1064</v>
      </c>
      <c r="H3293" s="12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1047</v>
      </c>
      <c r="N3293" t="b">
        <v>1</v>
      </c>
    </row>
    <row r="3294" spans="1:14" x14ac:dyDescent="0.3">
      <c r="A3294" t="s">
        <v>4340</v>
      </c>
      <c r="B3294" t="s">
        <v>160</v>
      </c>
      <c r="C3294" s="1">
        <v>45653</v>
      </c>
      <c r="E3294" t="s">
        <v>15</v>
      </c>
      <c r="F3294">
        <v>8</v>
      </c>
      <c r="G3294" s="12">
        <v>152</v>
      </c>
      <c r="H3294" s="12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1047</v>
      </c>
      <c r="N3294" t="b">
        <v>1</v>
      </c>
    </row>
    <row r="3295" spans="1:14" x14ac:dyDescent="0.3">
      <c r="A3295" t="s">
        <v>4341</v>
      </c>
      <c r="B3295" t="s">
        <v>740</v>
      </c>
      <c r="C3295" s="1">
        <v>45595</v>
      </c>
      <c r="E3295" t="s">
        <v>15</v>
      </c>
      <c r="F3295">
        <v>26</v>
      </c>
      <c r="G3295" s="12">
        <v>494</v>
      </c>
      <c r="H3295" s="12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1047</v>
      </c>
      <c r="N3295" t="b">
        <v>0</v>
      </c>
    </row>
    <row r="3296" spans="1:14" x14ac:dyDescent="0.3">
      <c r="A3296" t="s">
        <v>4342</v>
      </c>
      <c r="B3296" t="s">
        <v>640</v>
      </c>
      <c r="C3296" s="1">
        <v>45480</v>
      </c>
      <c r="D3296" s="1">
        <v>45649</v>
      </c>
      <c r="E3296" t="s">
        <v>32</v>
      </c>
      <c r="F3296">
        <v>11</v>
      </c>
      <c r="G3296" s="12">
        <v>2189</v>
      </c>
      <c r="H3296" s="12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1050</v>
      </c>
      <c r="N3296" t="b">
        <v>1</v>
      </c>
    </row>
    <row r="3297" spans="1:14" x14ac:dyDescent="0.3">
      <c r="A3297" t="s">
        <v>4343</v>
      </c>
      <c r="B3297" t="s">
        <v>410</v>
      </c>
      <c r="C3297" s="1">
        <v>45580</v>
      </c>
      <c r="E3297" t="s">
        <v>39</v>
      </c>
      <c r="F3297">
        <v>14</v>
      </c>
      <c r="G3297" s="12">
        <v>686</v>
      </c>
      <c r="H3297" s="12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1047</v>
      </c>
      <c r="N3297" t="b">
        <v>1</v>
      </c>
    </row>
    <row r="3298" spans="1:14" x14ac:dyDescent="0.3">
      <c r="A3298" t="s">
        <v>4344</v>
      </c>
      <c r="B3298" t="s">
        <v>458</v>
      </c>
      <c r="C3298" s="1">
        <v>45451</v>
      </c>
      <c r="E3298" t="s">
        <v>15</v>
      </c>
      <c r="F3298">
        <v>15</v>
      </c>
      <c r="G3298" s="12">
        <v>285</v>
      </c>
      <c r="H3298" s="12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1047</v>
      </c>
      <c r="N3298" t="b">
        <v>1</v>
      </c>
    </row>
    <row r="3299" spans="1:14" x14ac:dyDescent="0.3">
      <c r="A3299" t="s">
        <v>4345</v>
      </c>
      <c r="B3299" t="s">
        <v>788</v>
      </c>
      <c r="C3299" s="1">
        <v>45632</v>
      </c>
      <c r="E3299" t="s">
        <v>39</v>
      </c>
      <c r="F3299">
        <v>18</v>
      </c>
      <c r="G3299" s="12">
        <v>882</v>
      </c>
      <c r="H3299" s="12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1047</v>
      </c>
      <c r="N3299" t="b">
        <v>1</v>
      </c>
    </row>
    <row r="3300" spans="1:14" x14ac:dyDescent="0.3">
      <c r="A3300" t="s">
        <v>4346</v>
      </c>
      <c r="B3300" t="s">
        <v>834</v>
      </c>
      <c r="C3300" s="1">
        <v>45221</v>
      </c>
      <c r="E3300" t="s">
        <v>15</v>
      </c>
      <c r="F3300">
        <v>22</v>
      </c>
      <c r="G3300" s="12">
        <v>418</v>
      </c>
      <c r="H3300" s="12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1050</v>
      </c>
      <c r="N3300" t="b">
        <v>1</v>
      </c>
    </row>
    <row r="3301" spans="1:14" x14ac:dyDescent="0.3">
      <c r="A3301" t="s">
        <v>4347</v>
      </c>
      <c r="B3301" t="s">
        <v>238</v>
      </c>
      <c r="C3301" s="1">
        <v>45390</v>
      </c>
      <c r="E3301" t="s">
        <v>39</v>
      </c>
      <c r="F3301">
        <v>32</v>
      </c>
      <c r="G3301" s="12">
        <v>1568</v>
      </c>
      <c r="H3301" s="12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1050</v>
      </c>
      <c r="N3301" t="b">
        <v>1</v>
      </c>
    </row>
    <row r="3302" spans="1:14" x14ac:dyDescent="0.3">
      <c r="A3302" t="s">
        <v>4348</v>
      </c>
      <c r="B3302" t="s">
        <v>960</v>
      </c>
      <c r="C3302" s="1">
        <v>45395</v>
      </c>
      <c r="E3302" t="s">
        <v>32</v>
      </c>
      <c r="F3302">
        <v>35</v>
      </c>
      <c r="G3302" s="12">
        <v>6965</v>
      </c>
      <c r="H3302" s="1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1050</v>
      </c>
      <c r="N3302" t="b">
        <v>1</v>
      </c>
    </row>
    <row r="3303" spans="1:14" x14ac:dyDescent="0.3">
      <c r="A3303" t="s">
        <v>4349</v>
      </c>
      <c r="B3303" t="s">
        <v>55</v>
      </c>
      <c r="C3303" s="1">
        <v>45627</v>
      </c>
      <c r="E3303" t="s">
        <v>39</v>
      </c>
      <c r="F3303">
        <v>2</v>
      </c>
      <c r="G3303" s="12">
        <v>0</v>
      </c>
      <c r="H3303" s="12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1047</v>
      </c>
      <c r="N3303" t="b">
        <v>0</v>
      </c>
    </row>
    <row r="3304" spans="1:14" x14ac:dyDescent="0.3">
      <c r="A3304" t="s">
        <v>4350</v>
      </c>
      <c r="B3304" t="s">
        <v>940</v>
      </c>
      <c r="C3304" s="1">
        <v>45530</v>
      </c>
      <c r="E3304" t="s">
        <v>15</v>
      </c>
      <c r="F3304">
        <v>90</v>
      </c>
      <c r="G3304" s="12">
        <v>1710</v>
      </c>
      <c r="H3304" s="12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1047</v>
      </c>
      <c r="N3304" t="b">
        <v>1</v>
      </c>
    </row>
    <row r="3305" spans="1:14" x14ac:dyDescent="0.3">
      <c r="A3305" t="s">
        <v>4351</v>
      </c>
      <c r="B3305" t="s">
        <v>964</v>
      </c>
      <c r="C3305" s="1">
        <v>45612</v>
      </c>
      <c r="E3305" t="s">
        <v>15</v>
      </c>
      <c r="F3305">
        <v>28</v>
      </c>
      <c r="G3305" s="12">
        <v>532</v>
      </c>
      <c r="H3305" s="12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1050</v>
      </c>
      <c r="N3305" t="b">
        <v>0</v>
      </c>
    </row>
    <row r="3306" spans="1:14" x14ac:dyDescent="0.3">
      <c r="A3306" t="s">
        <v>4352</v>
      </c>
      <c r="B3306" t="s">
        <v>810</v>
      </c>
      <c r="C3306" s="1">
        <v>45625</v>
      </c>
      <c r="E3306" t="s">
        <v>15</v>
      </c>
      <c r="F3306">
        <v>23</v>
      </c>
      <c r="G3306" s="12">
        <v>437</v>
      </c>
      <c r="H3306" s="12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1047</v>
      </c>
      <c r="N3306" t="b">
        <v>0</v>
      </c>
    </row>
    <row r="3307" spans="1:14" x14ac:dyDescent="0.3">
      <c r="A3307" t="s">
        <v>4353</v>
      </c>
      <c r="B3307" t="s">
        <v>132</v>
      </c>
      <c r="C3307" s="1">
        <v>45387</v>
      </c>
      <c r="E3307" t="s">
        <v>39</v>
      </c>
      <c r="F3307">
        <v>13</v>
      </c>
      <c r="G3307" s="12">
        <v>637</v>
      </c>
      <c r="H3307" s="12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1047</v>
      </c>
      <c r="N3307" t="b">
        <v>1</v>
      </c>
    </row>
    <row r="3308" spans="1:14" x14ac:dyDescent="0.3">
      <c r="A3308" t="s">
        <v>4354</v>
      </c>
      <c r="B3308" t="s">
        <v>124</v>
      </c>
      <c r="C3308" s="1">
        <v>45561</v>
      </c>
      <c r="D3308" s="1">
        <v>45575</v>
      </c>
      <c r="E3308" t="s">
        <v>15</v>
      </c>
      <c r="F3308">
        <v>23</v>
      </c>
      <c r="G3308" s="12">
        <v>0</v>
      </c>
      <c r="H3308" s="12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1050</v>
      </c>
      <c r="N3308" t="b">
        <v>1</v>
      </c>
    </row>
    <row r="3309" spans="1:14" x14ac:dyDescent="0.3">
      <c r="A3309" t="s">
        <v>4355</v>
      </c>
      <c r="B3309" t="s">
        <v>504</v>
      </c>
      <c r="C3309" s="1">
        <v>45487</v>
      </c>
      <c r="E3309" t="s">
        <v>32</v>
      </c>
      <c r="F3309">
        <v>18</v>
      </c>
      <c r="G3309" s="12">
        <v>3582</v>
      </c>
      <c r="H3309" s="12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1050</v>
      </c>
      <c r="N3309" t="b">
        <v>0</v>
      </c>
    </row>
    <row r="3310" spans="1:14" x14ac:dyDescent="0.3">
      <c r="A3310" t="s">
        <v>4356</v>
      </c>
      <c r="B3310" t="s">
        <v>166</v>
      </c>
      <c r="C3310" s="1">
        <v>45614</v>
      </c>
      <c r="E3310" t="s">
        <v>32</v>
      </c>
      <c r="F3310">
        <v>36</v>
      </c>
      <c r="G3310" s="12">
        <v>7164</v>
      </c>
      <c r="H3310" s="12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1047</v>
      </c>
      <c r="N3310" t="b">
        <v>1</v>
      </c>
    </row>
    <row r="3311" spans="1:14" x14ac:dyDescent="0.3">
      <c r="A3311" t="s">
        <v>4357</v>
      </c>
      <c r="B3311" t="s">
        <v>348</v>
      </c>
      <c r="C3311" s="1">
        <v>45603</v>
      </c>
      <c r="E3311" t="s">
        <v>39</v>
      </c>
      <c r="F3311">
        <v>16</v>
      </c>
      <c r="G3311" s="12">
        <v>0</v>
      </c>
      <c r="H3311" s="12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1050</v>
      </c>
      <c r="N3311" t="b">
        <v>0</v>
      </c>
    </row>
    <row r="3312" spans="1:14" x14ac:dyDescent="0.3">
      <c r="A3312" t="s">
        <v>4358</v>
      </c>
      <c r="B3312" t="s">
        <v>160</v>
      </c>
      <c r="C3312" s="1">
        <v>45628</v>
      </c>
      <c r="E3312" t="s">
        <v>32</v>
      </c>
      <c r="F3312">
        <v>16</v>
      </c>
      <c r="G3312" s="12">
        <v>3184</v>
      </c>
      <c r="H3312" s="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1050</v>
      </c>
      <c r="N3312" t="b">
        <v>1</v>
      </c>
    </row>
    <row r="3313" spans="1:14" x14ac:dyDescent="0.3">
      <c r="A3313" t="s">
        <v>4359</v>
      </c>
      <c r="B3313" t="s">
        <v>1008</v>
      </c>
      <c r="C3313" s="1">
        <v>45567</v>
      </c>
      <c r="E3313" t="s">
        <v>32</v>
      </c>
      <c r="F3313">
        <v>15</v>
      </c>
      <c r="G3313" s="12">
        <v>2985</v>
      </c>
      <c r="H3313" s="12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1047</v>
      </c>
      <c r="N3313" t="b">
        <v>0</v>
      </c>
    </row>
    <row r="3314" spans="1:14" x14ac:dyDescent="0.3">
      <c r="A3314" t="s">
        <v>4360</v>
      </c>
      <c r="B3314" t="s">
        <v>518</v>
      </c>
      <c r="C3314" s="1">
        <v>45456</v>
      </c>
      <c r="E3314" t="s">
        <v>32</v>
      </c>
      <c r="F3314">
        <v>21</v>
      </c>
      <c r="G3314" s="12">
        <v>0</v>
      </c>
      <c r="H3314" s="12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1047</v>
      </c>
      <c r="N3314" t="b">
        <v>1</v>
      </c>
    </row>
    <row r="3315" spans="1:14" x14ac:dyDescent="0.3">
      <c r="A3315" t="s">
        <v>4361</v>
      </c>
      <c r="B3315" t="s">
        <v>158</v>
      </c>
      <c r="C3315" s="1">
        <v>45360</v>
      </c>
      <c r="E3315" t="s">
        <v>32</v>
      </c>
      <c r="F3315">
        <v>46</v>
      </c>
      <c r="G3315" s="12">
        <v>9154</v>
      </c>
      <c r="H3315" s="12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1047</v>
      </c>
      <c r="N3315" t="b">
        <v>1</v>
      </c>
    </row>
    <row r="3316" spans="1:14" x14ac:dyDescent="0.3">
      <c r="A3316" t="s">
        <v>4362</v>
      </c>
      <c r="B3316" t="s">
        <v>854</v>
      </c>
      <c r="C3316" s="1">
        <v>45326</v>
      </c>
      <c r="E3316" t="s">
        <v>15</v>
      </c>
      <c r="F3316">
        <v>39</v>
      </c>
      <c r="G3316" s="12">
        <v>741</v>
      </c>
      <c r="H3316" s="12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1047</v>
      </c>
      <c r="N3316" t="b">
        <v>1</v>
      </c>
    </row>
    <row r="3317" spans="1:14" x14ac:dyDescent="0.3">
      <c r="A3317" t="s">
        <v>4363</v>
      </c>
      <c r="B3317" t="s">
        <v>790</v>
      </c>
      <c r="C3317" s="1">
        <v>45599</v>
      </c>
      <c r="E3317" t="s">
        <v>32</v>
      </c>
      <c r="F3317">
        <v>34</v>
      </c>
      <c r="G3317" s="12">
        <v>0</v>
      </c>
      <c r="H3317" s="12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1050</v>
      </c>
      <c r="N3317" t="b">
        <v>1</v>
      </c>
    </row>
    <row r="3318" spans="1:14" x14ac:dyDescent="0.3">
      <c r="A3318" t="s">
        <v>4364</v>
      </c>
      <c r="B3318" t="s">
        <v>318</v>
      </c>
      <c r="C3318" s="1">
        <v>45657</v>
      </c>
      <c r="E3318" t="s">
        <v>32</v>
      </c>
      <c r="F3318">
        <v>19</v>
      </c>
      <c r="G3318" s="12">
        <v>0</v>
      </c>
      <c r="H3318" s="12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1047</v>
      </c>
      <c r="N3318" t="b">
        <v>1</v>
      </c>
    </row>
    <row r="3319" spans="1:14" x14ac:dyDescent="0.3">
      <c r="A3319" t="s">
        <v>4365</v>
      </c>
      <c r="B3319" t="s">
        <v>284</v>
      </c>
      <c r="C3319" s="1">
        <v>45209</v>
      </c>
      <c r="E3319" t="s">
        <v>39</v>
      </c>
      <c r="F3319">
        <v>23</v>
      </c>
      <c r="G3319" s="12">
        <v>1127</v>
      </c>
      <c r="H3319" s="12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1047</v>
      </c>
      <c r="N3319" t="b">
        <v>1</v>
      </c>
    </row>
    <row r="3320" spans="1:14" x14ac:dyDescent="0.3">
      <c r="A3320" t="s">
        <v>4366</v>
      </c>
      <c r="B3320" t="s">
        <v>776</v>
      </c>
      <c r="C3320" s="1">
        <v>45653</v>
      </c>
      <c r="E3320" t="s">
        <v>39</v>
      </c>
      <c r="F3320">
        <v>54</v>
      </c>
      <c r="G3320" s="12">
        <v>2646</v>
      </c>
      <c r="H3320" s="12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1050</v>
      </c>
      <c r="N3320" t="b">
        <v>1</v>
      </c>
    </row>
    <row r="3321" spans="1:14" x14ac:dyDescent="0.3">
      <c r="A3321" t="s">
        <v>4367</v>
      </c>
      <c r="B3321" t="s">
        <v>756</v>
      </c>
      <c r="C3321" s="1">
        <v>45445</v>
      </c>
      <c r="D3321" s="1">
        <v>45596</v>
      </c>
      <c r="E3321" t="s">
        <v>32</v>
      </c>
      <c r="F3321">
        <v>5</v>
      </c>
      <c r="G3321" s="12">
        <v>995</v>
      </c>
      <c r="H3321" s="12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1050</v>
      </c>
      <c r="N3321" t="b">
        <v>1</v>
      </c>
    </row>
    <row r="3322" spans="1:14" x14ac:dyDescent="0.3">
      <c r="A3322" t="s">
        <v>4368</v>
      </c>
      <c r="B3322" t="s">
        <v>808</v>
      </c>
      <c r="C3322" s="1">
        <v>45349</v>
      </c>
      <c r="E3322" t="s">
        <v>39</v>
      </c>
      <c r="F3322">
        <v>31</v>
      </c>
      <c r="G3322" s="12">
        <v>1519</v>
      </c>
      <c r="H3322" s="1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1050</v>
      </c>
      <c r="N3322" t="b">
        <v>1</v>
      </c>
    </row>
    <row r="3323" spans="1:14" x14ac:dyDescent="0.3">
      <c r="A3323" t="s">
        <v>4369</v>
      </c>
      <c r="B3323" t="s">
        <v>412</v>
      </c>
      <c r="C3323" s="1">
        <v>45411</v>
      </c>
      <c r="E3323" t="s">
        <v>32</v>
      </c>
      <c r="F3323">
        <v>19</v>
      </c>
      <c r="G3323" s="12">
        <v>3781</v>
      </c>
      <c r="H3323" s="12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1047</v>
      </c>
      <c r="N3323" t="b">
        <v>0</v>
      </c>
    </row>
    <row r="3324" spans="1:14" x14ac:dyDescent="0.3">
      <c r="A3324" t="s">
        <v>4370</v>
      </c>
      <c r="B3324" t="s">
        <v>794</v>
      </c>
      <c r="C3324" s="1">
        <v>45578</v>
      </c>
      <c r="E3324" t="s">
        <v>32</v>
      </c>
      <c r="F3324">
        <v>31</v>
      </c>
      <c r="G3324" s="12">
        <v>6169</v>
      </c>
      <c r="H3324" s="12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1047</v>
      </c>
      <c r="N3324" t="b">
        <v>0</v>
      </c>
    </row>
    <row r="3325" spans="1:14" x14ac:dyDescent="0.3">
      <c r="A3325" t="s">
        <v>4371</v>
      </c>
      <c r="B3325" t="s">
        <v>842</v>
      </c>
      <c r="C3325" s="1">
        <v>45175</v>
      </c>
      <c r="E3325" t="s">
        <v>15</v>
      </c>
      <c r="F3325">
        <v>21</v>
      </c>
      <c r="G3325" s="12">
        <v>399</v>
      </c>
      <c r="H3325" s="12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1047</v>
      </c>
      <c r="N3325" t="b">
        <v>1</v>
      </c>
    </row>
    <row r="3326" spans="1:14" x14ac:dyDescent="0.3">
      <c r="A3326" t="s">
        <v>4372</v>
      </c>
      <c r="B3326" t="s">
        <v>176</v>
      </c>
      <c r="C3326" s="1">
        <v>45650</v>
      </c>
      <c r="E3326" t="s">
        <v>15</v>
      </c>
      <c r="F3326">
        <v>37</v>
      </c>
      <c r="G3326" s="12">
        <v>703</v>
      </c>
      <c r="H3326" s="12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1047</v>
      </c>
      <c r="N3326" t="b">
        <v>1</v>
      </c>
    </row>
    <row r="3327" spans="1:14" x14ac:dyDescent="0.3">
      <c r="A3327" t="s">
        <v>4373</v>
      </c>
      <c r="B3327" t="s">
        <v>194</v>
      </c>
      <c r="C3327" s="1">
        <v>45514</v>
      </c>
      <c r="E3327" t="s">
        <v>39</v>
      </c>
      <c r="F3327">
        <v>42</v>
      </c>
      <c r="G3327" s="12">
        <v>2058</v>
      </c>
      <c r="H3327" s="12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1047</v>
      </c>
      <c r="N3327" t="b">
        <v>1</v>
      </c>
    </row>
    <row r="3328" spans="1:14" x14ac:dyDescent="0.3">
      <c r="A3328" t="s">
        <v>4374</v>
      </c>
      <c r="B3328" t="s">
        <v>614</v>
      </c>
      <c r="C3328" s="1">
        <v>45634</v>
      </c>
      <c r="E3328" t="s">
        <v>39</v>
      </c>
      <c r="F3328">
        <v>25</v>
      </c>
      <c r="G3328" s="12">
        <v>1225</v>
      </c>
      <c r="H3328" s="12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1050</v>
      </c>
      <c r="N3328" t="b">
        <v>1</v>
      </c>
    </row>
    <row r="3329" spans="1:14" x14ac:dyDescent="0.3">
      <c r="A3329" t="s">
        <v>4375</v>
      </c>
      <c r="B3329" t="s">
        <v>222</v>
      </c>
      <c r="C3329" s="1">
        <v>45634</v>
      </c>
      <c r="E3329" t="s">
        <v>39</v>
      </c>
      <c r="F3329">
        <v>29</v>
      </c>
      <c r="G3329" s="12">
        <v>1421</v>
      </c>
      <c r="H3329" s="12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1050</v>
      </c>
      <c r="N3329" t="b">
        <v>1</v>
      </c>
    </row>
    <row r="3330" spans="1:14" x14ac:dyDescent="0.3">
      <c r="A3330" t="s">
        <v>4376</v>
      </c>
      <c r="B3330" t="s">
        <v>248</v>
      </c>
      <c r="C3330" s="1">
        <v>45442</v>
      </c>
      <c r="D3330" s="1">
        <v>45509</v>
      </c>
      <c r="E3330" t="s">
        <v>32</v>
      </c>
      <c r="F3330">
        <v>26</v>
      </c>
      <c r="G3330" s="12">
        <v>5174</v>
      </c>
      <c r="H3330" s="12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1050</v>
      </c>
      <c r="N3330" t="b">
        <v>0</v>
      </c>
    </row>
    <row r="3331" spans="1:14" x14ac:dyDescent="0.3">
      <c r="A3331" t="s">
        <v>4377</v>
      </c>
      <c r="B3331" t="s">
        <v>150</v>
      </c>
      <c r="C3331" s="1">
        <v>45631</v>
      </c>
      <c r="E3331" t="s">
        <v>39</v>
      </c>
      <c r="F3331">
        <v>16</v>
      </c>
      <c r="G3331" s="12">
        <v>784</v>
      </c>
      <c r="H3331" s="12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1050</v>
      </c>
      <c r="N3331" t="b">
        <v>1</v>
      </c>
    </row>
    <row r="3332" spans="1:14" x14ac:dyDescent="0.3">
      <c r="A3332" t="s">
        <v>4378</v>
      </c>
      <c r="B3332" t="s">
        <v>374</v>
      </c>
      <c r="C3332" s="1">
        <v>45556</v>
      </c>
      <c r="D3332" s="1">
        <v>45599</v>
      </c>
      <c r="E3332" t="s">
        <v>39</v>
      </c>
      <c r="F3332">
        <v>11</v>
      </c>
      <c r="G3332" s="12">
        <v>539</v>
      </c>
      <c r="H3332" s="1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1050</v>
      </c>
      <c r="N3332" t="b">
        <v>0</v>
      </c>
    </row>
    <row r="3333" spans="1:14" x14ac:dyDescent="0.3">
      <c r="A3333" t="s">
        <v>4379</v>
      </c>
      <c r="B3333" t="s">
        <v>820</v>
      </c>
      <c r="C3333" s="1">
        <v>45628</v>
      </c>
      <c r="E3333" t="s">
        <v>39</v>
      </c>
      <c r="F3333">
        <v>55</v>
      </c>
      <c r="G3333" s="12">
        <v>0</v>
      </c>
      <c r="H3333" s="12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1047</v>
      </c>
      <c r="N3333" t="b">
        <v>1</v>
      </c>
    </row>
    <row r="3334" spans="1:14" x14ac:dyDescent="0.3">
      <c r="A3334" t="s">
        <v>4380</v>
      </c>
      <c r="B3334" t="s">
        <v>714</v>
      </c>
      <c r="C3334" s="1">
        <v>45638</v>
      </c>
      <c r="E3334" t="s">
        <v>39</v>
      </c>
      <c r="F3334">
        <v>39</v>
      </c>
      <c r="G3334" s="12">
        <v>1911</v>
      </c>
      <c r="H3334" s="12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1050</v>
      </c>
      <c r="N3334" t="b">
        <v>0</v>
      </c>
    </row>
    <row r="3335" spans="1:14" x14ac:dyDescent="0.3">
      <c r="A3335" t="s">
        <v>4381</v>
      </c>
      <c r="B3335" t="s">
        <v>93</v>
      </c>
      <c r="C3335" s="1">
        <v>45563</v>
      </c>
      <c r="E3335" t="s">
        <v>39</v>
      </c>
      <c r="F3335">
        <v>14</v>
      </c>
      <c r="G3335" s="12">
        <v>686</v>
      </c>
      <c r="H3335" s="12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1047</v>
      </c>
      <c r="N3335" t="b">
        <v>1</v>
      </c>
    </row>
    <row r="3336" spans="1:14" x14ac:dyDescent="0.3">
      <c r="A3336" t="s">
        <v>4382</v>
      </c>
      <c r="B3336" t="s">
        <v>1016</v>
      </c>
      <c r="C3336" s="1">
        <v>45607</v>
      </c>
      <c r="E3336" t="s">
        <v>15</v>
      </c>
      <c r="F3336">
        <v>35</v>
      </c>
      <c r="G3336" s="12">
        <v>665</v>
      </c>
      <c r="H3336" s="12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1047</v>
      </c>
      <c r="N3336" t="b">
        <v>1</v>
      </c>
    </row>
    <row r="3337" spans="1:14" x14ac:dyDescent="0.3">
      <c r="A3337" t="s">
        <v>4383</v>
      </c>
      <c r="B3337" t="s">
        <v>262</v>
      </c>
      <c r="C3337" s="1">
        <v>45477</v>
      </c>
      <c r="E3337" t="s">
        <v>15</v>
      </c>
      <c r="F3337">
        <v>9</v>
      </c>
      <c r="G3337" s="12">
        <v>171</v>
      </c>
      <c r="H3337" s="12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1047</v>
      </c>
      <c r="N3337" t="b">
        <v>1</v>
      </c>
    </row>
    <row r="3338" spans="1:14" x14ac:dyDescent="0.3">
      <c r="A3338" t="s">
        <v>4384</v>
      </c>
      <c r="B3338" t="s">
        <v>592</v>
      </c>
      <c r="C3338" s="1">
        <v>45446</v>
      </c>
      <c r="E3338" t="s">
        <v>15</v>
      </c>
      <c r="F3338">
        <v>64</v>
      </c>
      <c r="G3338" s="12">
        <v>0</v>
      </c>
      <c r="H3338" s="12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1050</v>
      </c>
      <c r="N3338" t="b">
        <v>0</v>
      </c>
    </row>
    <row r="3339" spans="1:14" x14ac:dyDescent="0.3">
      <c r="A3339" t="s">
        <v>4385</v>
      </c>
      <c r="B3339" t="s">
        <v>344</v>
      </c>
      <c r="C3339" s="1">
        <v>45518</v>
      </c>
      <c r="E3339" t="s">
        <v>39</v>
      </c>
      <c r="F3339">
        <v>70</v>
      </c>
      <c r="G3339" s="12">
        <v>0</v>
      </c>
      <c r="H3339" s="12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1047</v>
      </c>
      <c r="N3339" t="b">
        <v>0</v>
      </c>
    </row>
    <row r="3340" spans="1:14" x14ac:dyDescent="0.3">
      <c r="A3340" t="s">
        <v>4386</v>
      </c>
      <c r="B3340" t="s">
        <v>1018</v>
      </c>
      <c r="C3340" s="1">
        <v>45466</v>
      </c>
      <c r="E3340" t="s">
        <v>15</v>
      </c>
      <c r="F3340">
        <v>15</v>
      </c>
      <c r="G3340" s="12">
        <v>285</v>
      </c>
      <c r="H3340" s="12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1050</v>
      </c>
      <c r="N3340" t="b">
        <v>0</v>
      </c>
    </row>
    <row r="3341" spans="1:14" x14ac:dyDescent="0.3">
      <c r="A3341" t="s">
        <v>4387</v>
      </c>
      <c r="B3341" t="s">
        <v>868</v>
      </c>
      <c r="C3341" s="1">
        <v>45542</v>
      </c>
      <c r="E3341" t="s">
        <v>15</v>
      </c>
      <c r="F3341">
        <v>13</v>
      </c>
      <c r="G3341" s="12">
        <v>247</v>
      </c>
      <c r="H3341" s="12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1047</v>
      </c>
      <c r="N3341" t="b">
        <v>0</v>
      </c>
    </row>
    <row r="3342" spans="1:14" x14ac:dyDescent="0.3">
      <c r="A3342" t="s">
        <v>4388</v>
      </c>
      <c r="B3342" t="s">
        <v>890</v>
      </c>
      <c r="C3342" s="1">
        <v>45632</v>
      </c>
      <c r="E3342" t="s">
        <v>15</v>
      </c>
      <c r="F3342">
        <v>25</v>
      </c>
      <c r="G3342" s="12">
        <v>475</v>
      </c>
      <c r="H3342" s="1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1047</v>
      </c>
      <c r="N3342" t="b">
        <v>0</v>
      </c>
    </row>
    <row r="3343" spans="1:14" x14ac:dyDescent="0.3">
      <c r="A3343" t="s">
        <v>4389</v>
      </c>
      <c r="B3343" t="s">
        <v>232</v>
      </c>
      <c r="C3343" s="1">
        <v>45507</v>
      </c>
      <c r="E3343" t="s">
        <v>32</v>
      </c>
      <c r="F3343">
        <v>24</v>
      </c>
      <c r="G3343" s="12">
        <v>4776</v>
      </c>
      <c r="H3343" s="12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1047</v>
      </c>
      <c r="N3343" t="b">
        <v>1</v>
      </c>
    </row>
    <row r="3344" spans="1:14" x14ac:dyDescent="0.3">
      <c r="A3344" t="s">
        <v>4390</v>
      </c>
      <c r="B3344" t="s">
        <v>606</v>
      </c>
      <c r="C3344" s="1">
        <v>45605</v>
      </c>
      <c r="E3344" t="s">
        <v>32</v>
      </c>
      <c r="F3344">
        <v>16</v>
      </c>
      <c r="G3344" s="12">
        <v>3184</v>
      </c>
      <c r="H3344" s="12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1047</v>
      </c>
      <c r="N3344" t="b">
        <v>1</v>
      </c>
    </row>
    <row r="3345" spans="1:14" x14ac:dyDescent="0.3">
      <c r="A3345" t="s">
        <v>4391</v>
      </c>
      <c r="B3345" t="s">
        <v>848</v>
      </c>
      <c r="C3345" s="1">
        <v>45449</v>
      </c>
      <c r="E3345" t="s">
        <v>39</v>
      </c>
      <c r="F3345">
        <v>38</v>
      </c>
      <c r="G3345" s="12">
        <v>1862</v>
      </c>
      <c r="H3345" s="12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1047</v>
      </c>
      <c r="N3345" t="b">
        <v>1</v>
      </c>
    </row>
    <row r="3346" spans="1:14" x14ac:dyDescent="0.3">
      <c r="A3346" t="s">
        <v>4392</v>
      </c>
      <c r="B3346" t="s">
        <v>740</v>
      </c>
      <c r="C3346" s="1">
        <v>45610</v>
      </c>
      <c r="E3346" t="s">
        <v>15</v>
      </c>
      <c r="F3346">
        <v>26</v>
      </c>
      <c r="G3346" s="12">
        <v>494</v>
      </c>
      <c r="H3346" s="12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1050</v>
      </c>
      <c r="N3346" t="b">
        <v>0</v>
      </c>
    </row>
    <row r="3347" spans="1:14" x14ac:dyDescent="0.3">
      <c r="A3347" t="s">
        <v>4393</v>
      </c>
      <c r="B3347" t="s">
        <v>192</v>
      </c>
      <c r="C3347" s="1">
        <v>45394</v>
      </c>
      <c r="E3347" t="s">
        <v>32</v>
      </c>
      <c r="F3347">
        <v>9</v>
      </c>
      <c r="G3347" s="12">
        <v>0</v>
      </c>
      <c r="H3347" s="12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1047</v>
      </c>
      <c r="N3347" t="b">
        <v>1</v>
      </c>
    </row>
    <row r="3348" spans="1:14" x14ac:dyDescent="0.3">
      <c r="A3348" t="s">
        <v>4394</v>
      </c>
      <c r="B3348" t="s">
        <v>680</v>
      </c>
      <c r="C3348" s="1">
        <v>45635</v>
      </c>
      <c r="E3348" t="s">
        <v>32</v>
      </c>
      <c r="F3348">
        <v>12</v>
      </c>
      <c r="G3348" s="12">
        <v>2388</v>
      </c>
      <c r="H3348" s="12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1047</v>
      </c>
      <c r="N3348" t="b">
        <v>1</v>
      </c>
    </row>
    <row r="3349" spans="1:14" x14ac:dyDescent="0.3">
      <c r="A3349" t="s">
        <v>4395</v>
      </c>
      <c r="B3349" t="s">
        <v>582</v>
      </c>
      <c r="C3349" s="1">
        <v>45644</v>
      </c>
      <c r="E3349" t="s">
        <v>39</v>
      </c>
      <c r="F3349">
        <v>26</v>
      </c>
      <c r="G3349" s="12">
        <v>1274</v>
      </c>
      <c r="H3349" s="12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1047</v>
      </c>
      <c r="N3349" t="b">
        <v>1</v>
      </c>
    </row>
    <row r="3350" spans="1:14" x14ac:dyDescent="0.3">
      <c r="A3350" t="s">
        <v>4396</v>
      </c>
      <c r="B3350" t="s">
        <v>314</v>
      </c>
      <c r="C3350" s="1">
        <v>45085</v>
      </c>
      <c r="E3350" t="s">
        <v>39</v>
      </c>
      <c r="F3350">
        <v>17</v>
      </c>
      <c r="G3350" s="12">
        <v>833</v>
      </c>
      <c r="H3350" s="12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1050</v>
      </c>
      <c r="N3350" t="b">
        <v>1</v>
      </c>
    </row>
    <row r="3351" spans="1:14" x14ac:dyDescent="0.3">
      <c r="A3351" t="s">
        <v>4397</v>
      </c>
      <c r="B3351" t="s">
        <v>428</v>
      </c>
      <c r="C3351" s="1">
        <v>45577</v>
      </c>
      <c r="E3351" t="s">
        <v>39</v>
      </c>
      <c r="F3351">
        <v>21</v>
      </c>
      <c r="G3351" s="12">
        <v>1029</v>
      </c>
      <c r="H3351" s="12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1050</v>
      </c>
      <c r="N3351" t="b">
        <v>1</v>
      </c>
    </row>
    <row r="3352" spans="1:14" x14ac:dyDescent="0.3">
      <c r="A3352" t="s">
        <v>4398</v>
      </c>
      <c r="B3352" t="s">
        <v>508</v>
      </c>
      <c r="C3352" s="1">
        <v>45393</v>
      </c>
      <c r="E3352" t="s">
        <v>15</v>
      </c>
      <c r="F3352">
        <v>67</v>
      </c>
      <c r="G3352" s="12">
        <v>1273</v>
      </c>
      <c r="H3352" s="1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1050</v>
      </c>
      <c r="N3352" t="b">
        <v>0</v>
      </c>
    </row>
    <row r="3353" spans="1:14" x14ac:dyDescent="0.3">
      <c r="A3353" t="s">
        <v>4399</v>
      </c>
      <c r="B3353" t="s">
        <v>10</v>
      </c>
      <c r="C3353" s="1">
        <v>45590</v>
      </c>
      <c r="E3353" t="s">
        <v>39</v>
      </c>
      <c r="F3353">
        <v>13</v>
      </c>
      <c r="G3353" s="12">
        <v>637</v>
      </c>
      <c r="H3353" s="12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1050</v>
      </c>
      <c r="N3353" t="b">
        <v>0</v>
      </c>
    </row>
    <row r="3354" spans="1:14" x14ac:dyDescent="0.3">
      <c r="A3354" t="s">
        <v>4400</v>
      </c>
      <c r="B3354" t="s">
        <v>242</v>
      </c>
      <c r="C3354" s="1">
        <v>45642</v>
      </c>
      <c r="E3354" t="s">
        <v>15</v>
      </c>
      <c r="F3354">
        <v>3</v>
      </c>
      <c r="G3354" s="12">
        <v>57</v>
      </c>
      <c r="H3354" s="12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1050</v>
      </c>
      <c r="N3354" t="b">
        <v>1</v>
      </c>
    </row>
    <row r="3355" spans="1:14" x14ac:dyDescent="0.3">
      <c r="A3355" t="s">
        <v>4401</v>
      </c>
      <c r="B3355" t="s">
        <v>172</v>
      </c>
      <c r="C3355" s="1">
        <v>45270</v>
      </c>
      <c r="D3355" s="1">
        <v>45352</v>
      </c>
      <c r="E3355" t="s">
        <v>39</v>
      </c>
      <c r="F3355">
        <v>5</v>
      </c>
      <c r="G3355" s="12">
        <v>245</v>
      </c>
      <c r="H3355" s="12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1047</v>
      </c>
      <c r="N3355" t="b">
        <v>1</v>
      </c>
    </row>
    <row r="3356" spans="1:14" x14ac:dyDescent="0.3">
      <c r="A3356" t="s">
        <v>4402</v>
      </c>
      <c r="B3356" t="s">
        <v>430</v>
      </c>
      <c r="C3356" s="1">
        <v>45627</v>
      </c>
      <c r="E3356" t="s">
        <v>15</v>
      </c>
      <c r="F3356">
        <v>20</v>
      </c>
      <c r="G3356" s="12">
        <v>380</v>
      </c>
      <c r="H3356" s="12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1050</v>
      </c>
      <c r="N3356" t="b">
        <v>0</v>
      </c>
    </row>
    <row r="3357" spans="1:14" x14ac:dyDescent="0.3">
      <c r="A3357" t="s">
        <v>4403</v>
      </c>
      <c r="B3357" t="s">
        <v>430</v>
      </c>
      <c r="C3357" s="1">
        <v>45527</v>
      </c>
      <c r="E3357" t="s">
        <v>15</v>
      </c>
      <c r="F3357">
        <v>37</v>
      </c>
      <c r="G3357" s="12">
        <v>703</v>
      </c>
      <c r="H3357" s="12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1047</v>
      </c>
      <c r="N3357" t="b">
        <v>1</v>
      </c>
    </row>
    <row r="3358" spans="1:14" x14ac:dyDescent="0.3">
      <c r="A3358" t="s">
        <v>4404</v>
      </c>
      <c r="B3358" t="s">
        <v>884</v>
      </c>
      <c r="C3358" s="1">
        <v>45488</v>
      </c>
      <c r="E3358" t="s">
        <v>15</v>
      </c>
      <c r="F3358">
        <v>24</v>
      </c>
      <c r="G3358" s="12">
        <v>456</v>
      </c>
      <c r="H3358" s="12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1047</v>
      </c>
      <c r="N3358" t="b">
        <v>1</v>
      </c>
    </row>
    <row r="3359" spans="1:14" x14ac:dyDescent="0.3">
      <c r="A3359" t="s">
        <v>4405</v>
      </c>
      <c r="B3359" t="s">
        <v>1016</v>
      </c>
      <c r="C3359" s="1">
        <v>45538</v>
      </c>
      <c r="E3359" t="s">
        <v>15</v>
      </c>
      <c r="F3359">
        <v>11</v>
      </c>
      <c r="G3359" s="12">
        <v>209</v>
      </c>
      <c r="H3359" s="12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1050</v>
      </c>
      <c r="N3359" t="b">
        <v>1</v>
      </c>
    </row>
    <row r="3360" spans="1:14" x14ac:dyDescent="0.3">
      <c r="A3360" t="s">
        <v>4406</v>
      </c>
      <c r="B3360" t="s">
        <v>156</v>
      </c>
      <c r="C3360" s="1">
        <v>45647</v>
      </c>
      <c r="D3360" s="1">
        <v>45656</v>
      </c>
      <c r="E3360" t="s">
        <v>32</v>
      </c>
      <c r="F3360">
        <v>59</v>
      </c>
      <c r="G3360" s="12">
        <v>11741</v>
      </c>
      <c r="H3360" s="12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1047</v>
      </c>
      <c r="N3360" t="b">
        <v>1</v>
      </c>
    </row>
    <row r="3361" spans="1:14" x14ac:dyDescent="0.3">
      <c r="A3361" t="s">
        <v>4407</v>
      </c>
      <c r="B3361" t="s">
        <v>240</v>
      </c>
      <c r="C3361" s="1">
        <v>45455</v>
      </c>
      <c r="E3361" t="s">
        <v>15</v>
      </c>
      <c r="F3361">
        <v>28</v>
      </c>
      <c r="G3361" s="12">
        <v>0</v>
      </c>
      <c r="H3361" s="12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1050</v>
      </c>
      <c r="N3361" t="b">
        <v>1</v>
      </c>
    </row>
    <row r="3362" spans="1:14" x14ac:dyDescent="0.3">
      <c r="A3362" t="s">
        <v>4408</v>
      </c>
      <c r="B3362" t="s">
        <v>808</v>
      </c>
      <c r="C3362" s="1">
        <v>45449</v>
      </c>
      <c r="E3362" t="s">
        <v>15</v>
      </c>
      <c r="F3362">
        <v>14</v>
      </c>
      <c r="G3362" s="12">
        <v>266</v>
      </c>
      <c r="H3362" s="1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1047</v>
      </c>
      <c r="N3362" t="b">
        <v>0</v>
      </c>
    </row>
    <row r="3363" spans="1:14" x14ac:dyDescent="0.3">
      <c r="A3363" t="s">
        <v>4409</v>
      </c>
      <c r="B3363" t="s">
        <v>562</v>
      </c>
      <c r="C3363" s="1">
        <v>45496</v>
      </c>
      <c r="E3363" t="s">
        <v>32</v>
      </c>
      <c r="F3363">
        <v>57</v>
      </c>
      <c r="G3363" s="12">
        <v>11343</v>
      </c>
      <c r="H3363" s="12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1047</v>
      </c>
      <c r="N3363" t="b">
        <v>1</v>
      </c>
    </row>
    <row r="3364" spans="1:14" x14ac:dyDescent="0.3">
      <c r="A3364" t="s">
        <v>4410</v>
      </c>
      <c r="B3364" t="s">
        <v>820</v>
      </c>
      <c r="C3364" s="1">
        <v>45653</v>
      </c>
      <c r="E3364" t="s">
        <v>39</v>
      </c>
      <c r="F3364">
        <v>55</v>
      </c>
      <c r="G3364" s="12">
        <v>2695</v>
      </c>
      <c r="H3364" s="12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1047</v>
      </c>
      <c r="N3364" t="b">
        <v>1</v>
      </c>
    </row>
    <row r="3365" spans="1:14" x14ac:dyDescent="0.3">
      <c r="A3365" t="s">
        <v>4411</v>
      </c>
      <c r="B3365" t="s">
        <v>706</v>
      </c>
      <c r="C3365" s="1">
        <v>45585</v>
      </c>
      <c r="E3365" t="s">
        <v>39</v>
      </c>
      <c r="F3365">
        <v>29</v>
      </c>
      <c r="G3365" s="12">
        <v>0</v>
      </c>
      <c r="H3365" s="12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1047</v>
      </c>
      <c r="N3365" t="b">
        <v>1</v>
      </c>
    </row>
    <row r="3366" spans="1:14" x14ac:dyDescent="0.3">
      <c r="A3366" t="s">
        <v>4412</v>
      </c>
      <c r="B3366" t="s">
        <v>584</v>
      </c>
      <c r="C3366" s="1">
        <v>45620</v>
      </c>
      <c r="E3366" t="s">
        <v>39</v>
      </c>
      <c r="F3366">
        <v>12</v>
      </c>
      <c r="G3366" s="12">
        <v>588</v>
      </c>
      <c r="H3366" s="12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1047</v>
      </c>
      <c r="N3366" t="b">
        <v>1</v>
      </c>
    </row>
    <row r="3367" spans="1:14" x14ac:dyDescent="0.3">
      <c r="A3367" t="s">
        <v>4413</v>
      </c>
      <c r="B3367" t="s">
        <v>102</v>
      </c>
      <c r="C3367" s="1">
        <v>45407</v>
      </c>
      <c r="E3367" t="s">
        <v>39</v>
      </c>
      <c r="F3367">
        <v>53</v>
      </c>
      <c r="G3367" s="12">
        <v>2597</v>
      </c>
      <c r="H3367" s="12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1047</v>
      </c>
      <c r="N3367" t="b">
        <v>0</v>
      </c>
    </row>
    <row r="3368" spans="1:14" x14ac:dyDescent="0.3">
      <c r="A3368" t="s">
        <v>4414</v>
      </c>
      <c r="B3368" t="s">
        <v>420</v>
      </c>
      <c r="C3368" s="1">
        <v>45509</v>
      </c>
      <c r="E3368" t="s">
        <v>15</v>
      </c>
      <c r="F3368">
        <v>14</v>
      </c>
      <c r="G3368" s="12">
        <v>266</v>
      </c>
      <c r="H3368" s="12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1050</v>
      </c>
      <c r="N3368" t="b">
        <v>0</v>
      </c>
    </row>
    <row r="3369" spans="1:14" x14ac:dyDescent="0.3">
      <c r="A3369" t="s">
        <v>4415</v>
      </c>
      <c r="B3369" t="s">
        <v>466</v>
      </c>
      <c r="C3369" s="1">
        <v>45618</v>
      </c>
      <c r="E3369" t="s">
        <v>15</v>
      </c>
      <c r="F3369">
        <v>48</v>
      </c>
      <c r="G3369" s="12">
        <v>912</v>
      </c>
      <c r="H3369" s="12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1050</v>
      </c>
      <c r="N3369" t="b">
        <v>1</v>
      </c>
    </row>
    <row r="3370" spans="1:14" x14ac:dyDescent="0.3">
      <c r="A3370" t="s">
        <v>4416</v>
      </c>
      <c r="B3370" t="s">
        <v>806</v>
      </c>
      <c r="C3370" s="1">
        <v>45657</v>
      </c>
      <c r="E3370" t="s">
        <v>15</v>
      </c>
      <c r="F3370">
        <v>12</v>
      </c>
      <c r="G3370" s="12">
        <v>228</v>
      </c>
      <c r="H3370" s="12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1047</v>
      </c>
      <c r="N3370" t="b">
        <v>1</v>
      </c>
    </row>
    <row r="3371" spans="1:14" x14ac:dyDescent="0.3">
      <c r="A3371" t="s">
        <v>4417</v>
      </c>
      <c r="B3371" t="s">
        <v>120</v>
      </c>
      <c r="C3371" s="1">
        <v>45598</v>
      </c>
      <c r="E3371" t="s">
        <v>32</v>
      </c>
      <c r="F3371">
        <v>30</v>
      </c>
      <c r="G3371" s="12">
        <v>5970</v>
      </c>
      <c r="H3371" s="12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1050</v>
      </c>
      <c r="N3371" t="b">
        <v>1</v>
      </c>
    </row>
    <row r="3372" spans="1:14" x14ac:dyDescent="0.3">
      <c r="A3372" t="s">
        <v>4418</v>
      </c>
      <c r="B3372" t="s">
        <v>276</v>
      </c>
      <c r="C3372" s="1">
        <v>45636</v>
      </c>
      <c r="E3372" t="s">
        <v>39</v>
      </c>
      <c r="F3372">
        <v>15</v>
      </c>
      <c r="G3372" s="12">
        <v>735</v>
      </c>
      <c r="H3372" s="1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1050</v>
      </c>
      <c r="N3372" t="b">
        <v>1</v>
      </c>
    </row>
    <row r="3373" spans="1:14" x14ac:dyDescent="0.3">
      <c r="A3373" t="s">
        <v>4419</v>
      </c>
      <c r="B3373" t="s">
        <v>460</v>
      </c>
      <c r="C3373" s="1">
        <v>45067</v>
      </c>
      <c r="E3373" t="s">
        <v>32</v>
      </c>
      <c r="F3373">
        <v>44</v>
      </c>
      <c r="G3373" s="12">
        <v>8756</v>
      </c>
      <c r="H3373" s="12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1047</v>
      </c>
      <c r="N3373" t="b">
        <v>0</v>
      </c>
    </row>
    <row r="3374" spans="1:14" x14ac:dyDescent="0.3">
      <c r="A3374" t="s">
        <v>4420</v>
      </c>
      <c r="B3374" t="s">
        <v>914</v>
      </c>
      <c r="C3374" s="1">
        <v>45654</v>
      </c>
      <c r="E3374" t="s">
        <v>39</v>
      </c>
      <c r="F3374">
        <v>12</v>
      </c>
      <c r="G3374" s="12">
        <v>588</v>
      </c>
      <c r="H3374" s="12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1050</v>
      </c>
      <c r="N3374" t="b">
        <v>1</v>
      </c>
    </row>
    <row r="3375" spans="1:14" x14ac:dyDescent="0.3">
      <c r="A3375" t="s">
        <v>4421</v>
      </c>
      <c r="B3375" t="s">
        <v>956</v>
      </c>
      <c r="C3375" s="1">
        <v>45346</v>
      </c>
      <c r="D3375" s="1">
        <v>45606</v>
      </c>
      <c r="E3375" t="s">
        <v>32</v>
      </c>
      <c r="F3375">
        <v>12</v>
      </c>
      <c r="G3375" s="12">
        <v>0</v>
      </c>
      <c r="H3375" s="12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1050</v>
      </c>
      <c r="N3375" t="b">
        <v>1</v>
      </c>
    </row>
    <row r="3376" spans="1:14" x14ac:dyDescent="0.3">
      <c r="A3376" t="s">
        <v>4422</v>
      </c>
      <c r="B3376" t="s">
        <v>458</v>
      </c>
      <c r="C3376" s="1">
        <v>45577</v>
      </c>
      <c r="E3376" t="s">
        <v>39</v>
      </c>
      <c r="F3376">
        <v>6</v>
      </c>
      <c r="G3376" s="12">
        <v>294</v>
      </c>
      <c r="H3376" s="12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1050</v>
      </c>
      <c r="N3376" t="b">
        <v>1</v>
      </c>
    </row>
    <row r="3377" spans="1:14" x14ac:dyDescent="0.3">
      <c r="A3377" t="s">
        <v>4423</v>
      </c>
      <c r="B3377" t="s">
        <v>114</v>
      </c>
      <c r="C3377" s="1">
        <v>45012</v>
      </c>
      <c r="E3377" t="s">
        <v>15</v>
      </c>
      <c r="F3377">
        <v>34</v>
      </c>
      <c r="G3377" s="12">
        <v>646</v>
      </c>
      <c r="H3377" s="12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1050</v>
      </c>
      <c r="N3377" t="b">
        <v>1</v>
      </c>
    </row>
    <row r="3378" spans="1:14" x14ac:dyDescent="0.3">
      <c r="A3378" t="s">
        <v>4424</v>
      </c>
      <c r="B3378" t="s">
        <v>278</v>
      </c>
      <c r="C3378" s="1">
        <v>45602</v>
      </c>
      <c r="D3378" s="1">
        <v>45639</v>
      </c>
      <c r="E3378" t="s">
        <v>15</v>
      </c>
      <c r="F3378">
        <v>36</v>
      </c>
      <c r="G3378" s="12">
        <v>684</v>
      </c>
      <c r="H3378" s="12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1050</v>
      </c>
      <c r="N3378" t="b">
        <v>1</v>
      </c>
    </row>
    <row r="3379" spans="1:14" x14ac:dyDescent="0.3">
      <c r="A3379" t="s">
        <v>4425</v>
      </c>
      <c r="B3379" t="s">
        <v>710</v>
      </c>
      <c r="C3379" s="1">
        <v>45454</v>
      </c>
      <c r="E3379" t="s">
        <v>15</v>
      </c>
      <c r="F3379">
        <v>23</v>
      </c>
      <c r="G3379" s="12">
        <v>437</v>
      </c>
      <c r="H3379" s="12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1050</v>
      </c>
      <c r="N3379" t="b">
        <v>1</v>
      </c>
    </row>
    <row r="3380" spans="1:14" x14ac:dyDescent="0.3">
      <c r="A3380" t="s">
        <v>4426</v>
      </c>
      <c r="B3380" t="s">
        <v>604</v>
      </c>
      <c r="C3380" s="1">
        <v>45638</v>
      </c>
      <c r="E3380" t="s">
        <v>32</v>
      </c>
      <c r="F3380">
        <v>12</v>
      </c>
      <c r="G3380" s="12">
        <v>2388</v>
      </c>
      <c r="H3380" s="12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1050</v>
      </c>
      <c r="N3380" t="b">
        <v>1</v>
      </c>
    </row>
    <row r="3381" spans="1:14" x14ac:dyDescent="0.3">
      <c r="A3381" t="s">
        <v>4427</v>
      </c>
      <c r="B3381" t="s">
        <v>650</v>
      </c>
      <c r="C3381" s="1">
        <v>45636</v>
      </c>
      <c r="E3381" t="s">
        <v>32</v>
      </c>
      <c r="F3381">
        <v>3</v>
      </c>
      <c r="G3381" s="12">
        <v>597</v>
      </c>
      <c r="H3381" s="12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1050</v>
      </c>
      <c r="N3381" t="b">
        <v>1</v>
      </c>
    </row>
    <row r="3382" spans="1:14" x14ac:dyDescent="0.3">
      <c r="A3382" t="s">
        <v>4428</v>
      </c>
      <c r="B3382" t="s">
        <v>70</v>
      </c>
      <c r="C3382" s="1">
        <v>45655</v>
      </c>
      <c r="E3382" t="s">
        <v>15</v>
      </c>
      <c r="F3382">
        <v>8</v>
      </c>
      <c r="G3382" s="12">
        <v>152</v>
      </c>
      <c r="H3382" s="1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1047</v>
      </c>
      <c r="N3382" t="b">
        <v>1</v>
      </c>
    </row>
    <row r="3383" spans="1:14" x14ac:dyDescent="0.3">
      <c r="A3383" t="s">
        <v>4429</v>
      </c>
      <c r="B3383" t="s">
        <v>618</v>
      </c>
      <c r="C3383" s="1">
        <v>45415</v>
      </c>
      <c r="E3383" t="s">
        <v>15</v>
      </c>
      <c r="F3383">
        <v>17</v>
      </c>
      <c r="G3383" s="12">
        <v>323</v>
      </c>
      <c r="H3383" s="12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1047</v>
      </c>
      <c r="N3383" t="b">
        <v>1</v>
      </c>
    </row>
    <row r="3384" spans="1:14" x14ac:dyDescent="0.3">
      <c r="A3384" t="s">
        <v>4430</v>
      </c>
      <c r="B3384" t="s">
        <v>398</v>
      </c>
      <c r="C3384" s="1">
        <v>45554</v>
      </c>
      <c r="E3384" t="s">
        <v>32</v>
      </c>
      <c r="F3384">
        <v>16</v>
      </c>
      <c r="G3384" s="12">
        <v>3184</v>
      </c>
      <c r="H3384" s="12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1050</v>
      </c>
      <c r="N3384" t="b">
        <v>0</v>
      </c>
    </row>
    <row r="3385" spans="1:14" x14ac:dyDescent="0.3">
      <c r="A3385" t="s">
        <v>4431</v>
      </c>
      <c r="B3385" t="s">
        <v>864</v>
      </c>
      <c r="C3385" s="1">
        <v>45448</v>
      </c>
      <c r="E3385" t="s">
        <v>32</v>
      </c>
      <c r="F3385">
        <v>24</v>
      </c>
      <c r="G3385" s="12">
        <v>4776</v>
      </c>
      <c r="H3385" s="12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1047</v>
      </c>
      <c r="N3385" t="b">
        <v>0</v>
      </c>
    </row>
    <row r="3386" spans="1:14" x14ac:dyDescent="0.3">
      <c r="A3386" t="s">
        <v>4432</v>
      </c>
      <c r="B3386" t="s">
        <v>384</v>
      </c>
      <c r="C3386" s="1">
        <v>45616</v>
      </c>
      <c r="D3386" s="1">
        <v>45652</v>
      </c>
      <c r="E3386" t="s">
        <v>39</v>
      </c>
      <c r="F3386">
        <v>163</v>
      </c>
      <c r="G3386" s="12">
        <v>0</v>
      </c>
      <c r="H3386" s="12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1047</v>
      </c>
      <c r="N3386" t="b">
        <v>1</v>
      </c>
    </row>
    <row r="3387" spans="1:14" x14ac:dyDescent="0.3">
      <c r="A3387" t="s">
        <v>4433</v>
      </c>
      <c r="B3387" t="s">
        <v>992</v>
      </c>
      <c r="C3387" s="1">
        <v>45542</v>
      </c>
      <c r="E3387" t="s">
        <v>32</v>
      </c>
      <c r="F3387">
        <v>11</v>
      </c>
      <c r="G3387" s="12">
        <v>2189</v>
      </c>
      <c r="H3387" s="12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1050</v>
      </c>
      <c r="N3387" t="b">
        <v>1</v>
      </c>
    </row>
    <row r="3388" spans="1:14" x14ac:dyDescent="0.3">
      <c r="A3388" t="s">
        <v>4434</v>
      </c>
      <c r="B3388" t="s">
        <v>714</v>
      </c>
      <c r="C3388" s="1">
        <v>45651</v>
      </c>
      <c r="E3388" t="s">
        <v>15</v>
      </c>
      <c r="F3388">
        <v>39</v>
      </c>
      <c r="G3388" s="12">
        <v>741</v>
      </c>
      <c r="H3388" s="12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1047</v>
      </c>
      <c r="N3388" t="b">
        <v>1</v>
      </c>
    </row>
    <row r="3389" spans="1:14" x14ac:dyDescent="0.3">
      <c r="A3389" t="s">
        <v>4435</v>
      </c>
      <c r="B3389" t="s">
        <v>610</v>
      </c>
      <c r="C3389" s="1">
        <v>45560</v>
      </c>
      <c r="E3389" t="s">
        <v>15</v>
      </c>
      <c r="F3389">
        <v>9</v>
      </c>
      <c r="G3389" s="12">
        <v>0</v>
      </c>
      <c r="H3389" s="12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1050</v>
      </c>
      <c r="N3389" t="b">
        <v>1</v>
      </c>
    </row>
    <row r="3390" spans="1:14" x14ac:dyDescent="0.3">
      <c r="A3390" t="s">
        <v>4436</v>
      </c>
      <c r="B3390" t="s">
        <v>130</v>
      </c>
      <c r="C3390" s="1">
        <v>45508</v>
      </c>
      <c r="E3390" t="s">
        <v>39</v>
      </c>
      <c r="F3390">
        <v>47</v>
      </c>
      <c r="G3390" s="12">
        <v>2303</v>
      </c>
      <c r="H3390" s="12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1047</v>
      </c>
      <c r="N3390" t="b">
        <v>0</v>
      </c>
    </row>
    <row r="3391" spans="1:14" x14ac:dyDescent="0.3">
      <c r="A3391" t="s">
        <v>4437</v>
      </c>
      <c r="B3391" t="s">
        <v>776</v>
      </c>
      <c r="C3391" s="1">
        <v>45601</v>
      </c>
      <c r="E3391" t="s">
        <v>39</v>
      </c>
      <c r="F3391">
        <v>30</v>
      </c>
      <c r="G3391" s="12">
        <v>1470</v>
      </c>
      <c r="H3391" s="12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1050</v>
      </c>
      <c r="N3391" t="b">
        <v>1</v>
      </c>
    </row>
    <row r="3392" spans="1:14" x14ac:dyDescent="0.3">
      <c r="A3392" t="s">
        <v>4438</v>
      </c>
      <c r="B3392" t="s">
        <v>868</v>
      </c>
      <c r="C3392" s="1">
        <v>45371</v>
      </c>
      <c r="E3392" t="s">
        <v>39</v>
      </c>
      <c r="F3392">
        <v>13</v>
      </c>
      <c r="G3392" s="12">
        <v>637</v>
      </c>
      <c r="H3392" s="1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1047</v>
      </c>
      <c r="N3392" t="b">
        <v>0</v>
      </c>
    </row>
    <row r="3393" spans="1:14" x14ac:dyDescent="0.3">
      <c r="A3393" t="s">
        <v>4439</v>
      </c>
      <c r="B3393" t="s">
        <v>312</v>
      </c>
      <c r="C3393" s="1">
        <v>45559</v>
      </c>
      <c r="D3393" s="1">
        <v>45600</v>
      </c>
      <c r="E3393" t="s">
        <v>15</v>
      </c>
      <c r="F3393">
        <v>13</v>
      </c>
      <c r="G3393" s="12">
        <v>247</v>
      </c>
      <c r="H3393" s="12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1050</v>
      </c>
      <c r="N3393" t="b">
        <v>1</v>
      </c>
    </row>
    <row r="3394" spans="1:14" x14ac:dyDescent="0.3">
      <c r="A3394" t="s">
        <v>4440</v>
      </c>
      <c r="B3394" t="s">
        <v>744</v>
      </c>
      <c r="C3394" s="1">
        <v>45498</v>
      </c>
      <c r="E3394" t="s">
        <v>39</v>
      </c>
      <c r="F3394">
        <v>18</v>
      </c>
      <c r="G3394" s="12">
        <v>882</v>
      </c>
      <c r="H3394" s="12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1047</v>
      </c>
      <c r="N3394" t="b">
        <v>1</v>
      </c>
    </row>
    <row r="3395" spans="1:14" x14ac:dyDescent="0.3">
      <c r="A3395" t="s">
        <v>4441</v>
      </c>
      <c r="B3395" t="s">
        <v>244</v>
      </c>
      <c r="C3395" s="1">
        <v>45633</v>
      </c>
      <c r="E3395" t="s">
        <v>32</v>
      </c>
      <c r="F3395">
        <v>25</v>
      </c>
      <c r="G3395" s="12">
        <v>0</v>
      </c>
      <c r="H3395" s="12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1050</v>
      </c>
      <c r="N3395" t="b">
        <v>0</v>
      </c>
    </row>
    <row r="3396" spans="1:14" x14ac:dyDescent="0.3">
      <c r="A3396" t="s">
        <v>4442</v>
      </c>
      <c r="B3396" t="s">
        <v>788</v>
      </c>
      <c r="C3396" s="1">
        <v>45646</v>
      </c>
      <c r="E3396" t="s">
        <v>39</v>
      </c>
      <c r="F3396">
        <v>14</v>
      </c>
      <c r="G3396" s="12">
        <v>686</v>
      </c>
      <c r="H3396" s="12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1047</v>
      </c>
      <c r="N3396" t="b">
        <v>1</v>
      </c>
    </row>
    <row r="3397" spans="1:14" x14ac:dyDescent="0.3">
      <c r="A3397" t="s">
        <v>4443</v>
      </c>
      <c r="B3397" t="s">
        <v>894</v>
      </c>
      <c r="C3397" s="1">
        <v>45488</v>
      </c>
      <c r="E3397" t="s">
        <v>15</v>
      </c>
      <c r="F3397">
        <v>18</v>
      </c>
      <c r="G3397" s="12">
        <v>342</v>
      </c>
      <c r="H3397" s="12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1050</v>
      </c>
      <c r="N3397" t="b">
        <v>1</v>
      </c>
    </row>
    <row r="3398" spans="1:14" x14ac:dyDescent="0.3">
      <c r="A3398" t="s">
        <v>4444</v>
      </c>
      <c r="B3398" t="s">
        <v>390</v>
      </c>
      <c r="C3398" s="1">
        <v>45619</v>
      </c>
      <c r="E3398" t="s">
        <v>32</v>
      </c>
      <c r="F3398">
        <v>61</v>
      </c>
      <c r="G3398" s="12">
        <v>12139</v>
      </c>
      <c r="H3398" s="12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1047</v>
      </c>
      <c r="N3398" t="b">
        <v>1</v>
      </c>
    </row>
    <row r="3399" spans="1:14" x14ac:dyDescent="0.3">
      <c r="A3399" t="s">
        <v>4445</v>
      </c>
      <c r="B3399" t="s">
        <v>354</v>
      </c>
      <c r="C3399" s="1">
        <v>45654</v>
      </c>
      <c r="E3399" t="s">
        <v>15</v>
      </c>
      <c r="F3399">
        <v>51</v>
      </c>
      <c r="G3399" s="12">
        <v>969</v>
      </c>
      <c r="H3399" s="12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1047</v>
      </c>
      <c r="N3399" t="b">
        <v>1</v>
      </c>
    </row>
    <row r="3400" spans="1:14" x14ac:dyDescent="0.3">
      <c r="A3400" t="s">
        <v>4446</v>
      </c>
      <c r="B3400" t="s">
        <v>684</v>
      </c>
      <c r="C3400" s="1">
        <v>45451</v>
      </c>
      <c r="E3400" t="s">
        <v>39</v>
      </c>
      <c r="F3400">
        <v>39</v>
      </c>
      <c r="G3400" s="12">
        <v>1911</v>
      </c>
      <c r="H3400" s="12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1050</v>
      </c>
      <c r="N3400" t="b">
        <v>0</v>
      </c>
    </row>
    <row r="3401" spans="1:14" x14ac:dyDescent="0.3">
      <c r="A3401" t="s">
        <v>4447</v>
      </c>
      <c r="B3401" t="s">
        <v>684</v>
      </c>
      <c r="C3401" s="1">
        <v>45339</v>
      </c>
      <c r="D3401" s="1">
        <v>45442</v>
      </c>
      <c r="E3401" t="s">
        <v>39</v>
      </c>
      <c r="F3401">
        <v>29</v>
      </c>
      <c r="G3401" s="12">
        <v>1421</v>
      </c>
      <c r="H3401" s="12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1050</v>
      </c>
      <c r="N3401" t="b">
        <v>1</v>
      </c>
    </row>
    <row r="3402" spans="1:14" x14ac:dyDescent="0.3">
      <c r="A3402" t="s">
        <v>4448</v>
      </c>
      <c r="B3402" t="s">
        <v>906</v>
      </c>
      <c r="C3402" s="1">
        <v>45575</v>
      </c>
      <c r="E3402" t="s">
        <v>39</v>
      </c>
      <c r="F3402">
        <v>15</v>
      </c>
      <c r="G3402" s="12">
        <v>735</v>
      </c>
      <c r="H3402" s="1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1050</v>
      </c>
      <c r="N3402" t="b">
        <v>1</v>
      </c>
    </row>
    <row r="3403" spans="1:14" x14ac:dyDescent="0.3">
      <c r="A3403" t="s">
        <v>4449</v>
      </c>
      <c r="B3403" t="s">
        <v>854</v>
      </c>
      <c r="C3403" s="1">
        <v>45477</v>
      </c>
      <c r="E3403" t="s">
        <v>39</v>
      </c>
      <c r="F3403">
        <v>39</v>
      </c>
      <c r="G3403" s="12">
        <v>1911</v>
      </c>
      <c r="H3403" s="12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1047</v>
      </c>
      <c r="N3403" t="b">
        <v>1</v>
      </c>
    </row>
    <row r="3404" spans="1:14" x14ac:dyDescent="0.3">
      <c r="A3404" t="s">
        <v>4450</v>
      </c>
      <c r="B3404" t="s">
        <v>1012</v>
      </c>
      <c r="C3404" s="1">
        <v>45399</v>
      </c>
      <c r="E3404" t="s">
        <v>39</v>
      </c>
      <c r="F3404">
        <v>34</v>
      </c>
      <c r="G3404" s="12">
        <v>0</v>
      </c>
      <c r="H3404" s="12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1047</v>
      </c>
      <c r="N3404" t="b">
        <v>0</v>
      </c>
    </row>
    <row r="3405" spans="1:14" x14ac:dyDescent="0.3">
      <c r="A3405" t="s">
        <v>4451</v>
      </c>
      <c r="B3405" t="s">
        <v>144</v>
      </c>
      <c r="C3405" s="1">
        <v>45530</v>
      </c>
      <c r="E3405" t="s">
        <v>32</v>
      </c>
      <c r="F3405">
        <v>27</v>
      </c>
      <c r="G3405" s="12">
        <v>5373</v>
      </c>
      <c r="H3405" s="12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1050</v>
      </c>
      <c r="N3405" t="b">
        <v>1</v>
      </c>
    </row>
    <row r="3406" spans="1:14" x14ac:dyDescent="0.3">
      <c r="A3406" t="s">
        <v>4452</v>
      </c>
      <c r="B3406" t="s">
        <v>960</v>
      </c>
      <c r="C3406" s="1">
        <v>45642</v>
      </c>
      <c r="D3406" s="1">
        <v>45651</v>
      </c>
      <c r="E3406" t="s">
        <v>32</v>
      </c>
      <c r="F3406">
        <v>35</v>
      </c>
      <c r="G3406" s="12">
        <v>6965</v>
      </c>
      <c r="H3406" s="12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1047</v>
      </c>
      <c r="N3406" t="b">
        <v>1</v>
      </c>
    </row>
    <row r="3407" spans="1:14" x14ac:dyDescent="0.3">
      <c r="A3407" t="s">
        <v>4453</v>
      </c>
      <c r="B3407" t="s">
        <v>436</v>
      </c>
      <c r="C3407" s="1">
        <v>45525</v>
      </c>
      <c r="D3407" s="1">
        <v>45544</v>
      </c>
      <c r="E3407" t="s">
        <v>32</v>
      </c>
      <c r="F3407">
        <v>25</v>
      </c>
      <c r="G3407" s="12">
        <v>4975</v>
      </c>
      <c r="H3407" s="12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1047</v>
      </c>
      <c r="N3407" t="b">
        <v>1</v>
      </c>
    </row>
    <row r="3408" spans="1:14" x14ac:dyDescent="0.3">
      <c r="A3408" t="s">
        <v>4454</v>
      </c>
      <c r="B3408" t="s">
        <v>124</v>
      </c>
      <c r="C3408" s="1">
        <v>45393</v>
      </c>
      <c r="E3408" t="s">
        <v>32</v>
      </c>
      <c r="F3408">
        <v>13</v>
      </c>
      <c r="G3408" s="12">
        <v>0</v>
      </c>
      <c r="H3408" s="12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1050</v>
      </c>
      <c r="N3408" t="b">
        <v>0</v>
      </c>
    </row>
    <row r="3409" spans="1:14" x14ac:dyDescent="0.3">
      <c r="A3409" t="s">
        <v>4455</v>
      </c>
      <c r="B3409" t="s">
        <v>902</v>
      </c>
      <c r="C3409" s="1">
        <v>45586</v>
      </c>
      <c r="E3409" t="s">
        <v>15</v>
      </c>
      <c r="F3409">
        <v>29</v>
      </c>
      <c r="G3409" s="12">
        <v>551</v>
      </c>
      <c r="H3409" s="12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1050</v>
      </c>
      <c r="N3409" t="b">
        <v>1</v>
      </c>
    </row>
    <row r="3410" spans="1:14" x14ac:dyDescent="0.3">
      <c r="A3410" t="s">
        <v>4456</v>
      </c>
      <c r="B3410" t="s">
        <v>574</v>
      </c>
      <c r="C3410" s="1">
        <v>45638</v>
      </c>
      <c r="E3410" t="s">
        <v>39</v>
      </c>
      <c r="F3410">
        <v>19</v>
      </c>
      <c r="G3410" s="12">
        <v>931</v>
      </c>
      <c r="H3410" s="12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1047</v>
      </c>
      <c r="N3410" t="b">
        <v>0</v>
      </c>
    </row>
    <row r="3411" spans="1:14" x14ac:dyDescent="0.3">
      <c r="A3411" t="s">
        <v>4457</v>
      </c>
      <c r="B3411" t="s">
        <v>972</v>
      </c>
      <c r="C3411" s="1">
        <v>45433</v>
      </c>
      <c r="E3411" t="s">
        <v>15</v>
      </c>
      <c r="F3411">
        <v>17</v>
      </c>
      <c r="G3411" s="12">
        <v>323</v>
      </c>
      <c r="H3411" s="12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1050</v>
      </c>
      <c r="N3411" t="b">
        <v>0</v>
      </c>
    </row>
    <row r="3412" spans="1:14" x14ac:dyDescent="0.3">
      <c r="A3412" t="s">
        <v>4458</v>
      </c>
      <c r="B3412" t="s">
        <v>658</v>
      </c>
      <c r="C3412" s="1">
        <v>45578</v>
      </c>
      <c r="E3412" t="s">
        <v>15</v>
      </c>
      <c r="F3412">
        <v>21</v>
      </c>
      <c r="G3412" s="12">
        <v>399</v>
      </c>
      <c r="H3412" s="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1050</v>
      </c>
      <c r="N3412" t="b">
        <v>0</v>
      </c>
    </row>
    <row r="3413" spans="1:14" x14ac:dyDescent="0.3">
      <c r="A3413" t="s">
        <v>4459</v>
      </c>
      <c r="B3413" t="s">
        <v>260</v>
      </c>
      <c r="C3413" s="1">
        <v>45445</v>
      </c>
      <c r="E3413" t="s">
        <v>15</v>
      </c>
      <c r="F3413">
        <v>19</v>
      </c>
      <c r="G3413" s="12">
        <v>361</v>
      </c>
      <c r="H3413" s="12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1047</v>
      </c>
      <c r="N3413" t="b">
        <v>1</v>
      </c>
    </row>
    <row r="3414" spans="1:14" x14ac:dyDescent="0.3">
      <c r="A3414" t="s">
        <v>4460</v>
      </c>
      <c r="B3414" t="s">
        <v>590</v>
      </c>
      <c r="C3414" s="1">
        <v>45560</v>
      </c>
      <c r="E3414" t="s">
        <v>32</v>
      </c>
      <c r="F3414">
        <v>70</v>
      </c>
      <c r="G3414" s="12">
        <v>13930</v>
      </c>
      <c r="H3414" s="12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1050</v>
      </c>
      <c r="N3414" t="b">
        <v>1</v>
      </c>
    </row>
    <row r="3415" spans="1:14" x14ac:dyDescent="0.3">
      <c r="A3415" t="s">
        <v>4461</v>
      </c>
      <c r="B3415" t="s">
        <v>53</v>
      </c>
      <c r="C3415" s="1">
        <v>45559</v>
      </c>
      <c r="E3415" t="s">
        <v>15</v>
      </c>
      <c r="F3415">
        <v>61</v>
      </c>
      <c r="G3415" s="12">
        <v>0</v>
      </c>
      <c r="H3415" s="12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1047</v>
      </c>
      <c r="N3415" t="b">
        <v>1</v>
      </c>
    </row>
    <row r="3416" spans="1:14" x14ac:dyDescent="0.3">
      <c r="A3416" t="s">
        <v>4462</v>
      </c>
      <c r="B3416" t="s">
        <v>280</v>
      </c>
      <c r="C3416" s="1">
        <v>45185</v>
      </c>
      <c r="E3416" t="s">
        <v>39</v>
      </c>
      <c r="F3416">
        <v>7</v>
      </c>
      <c r="G3416" s="12">
        <v>343</v>
      </c>
      <c r="H3416" s="12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1047</v>
      </c>
      <c r="N3416" t="b">
        <v>1</v>
      </c>
    </row>
    <row r="3417" spans="1:14" x14ac:dyDescent="0.3">
      <c r="A3417" t="s">
        <v>4463</v>
      </c>
      <c r="B3417" t="s">
        <v>178</v>
      </c>
      <c r="C3417" s="1">
        <v>45033</v>
      </c>
      <c r="E3417" t="s">
        <v>39</v>
      </c>
      <c r="F3417">
        <v>21</v>
      </c>
      <c r="G3417" s="12">
        <v>1029</v>
      </c>
      <c r="H3417" s="12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1047</v>
      </c>
      <c r="N3417" t="b">
        <v>1</v>
      </c>
    </row>
    <row r="3418" spans="1:14" x14ac:dyDescent="0.3">
      <c r="A3418" t="s">
        <v>4464</v>
      </c>
      <c r="B3418" t="s">
        <v>1016</v>
      </c>
      <c r="C3418" s="1">
        <v>45473</v>
      </c>
      <c r="E3418" t="s">
        <v>32</v>
      </c>
      <c r="F3418">
        <v>23</v>
      </c>
      <c r="G3418" s="12">
        <v>4577</v>
      </c>
      <c r="H3418" s="12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1050</v>
      </c>
      <c r="N3418" t="b">
        <v>1</v>
      </c>
    </row>
    <row r="3419" spans="1:14" x14ac:dyDescent="0.3">
      <c r="A3419" t="s">
        <v>4465</v>
      </c>
      <c r="B3419" t="s">
        <v>888</v>
      </c>
      <c r="C3419" s="1">
        <v>45422</v>
      </c>
      <c r="E3419" t="s">
        <v>39</v>
      </c>
      <c r="F3419">
        <v>12</v>
      </c>
      <c r="G3419" s="12">
        <v>588</v>
      </c>
      <c r="H3419" s="12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1047</v>
      </c>
      <c r="N3419" t="b">
        <v>0</v>
      </c>
    </row>
    <row r="3420" spans="1:14" x14ac:dyDescent="0.3">
      <c r="A3420" t="s">
        <v>4466</v>
      </c>
      <c r="B3420" t="s">
        <v>452</v>
      </c>
      <c r="C3420" s="1">
        <v>45488</v>
      </c>
      <c r="E3420" t="s">
        <v>32</v>
      </c>
      <c r="F3420">
        <v>16</v>
      </c>
      <c r="G3420" s="12">
        <v>3184</v>
      </c>
      <c r="H3420" s="12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1050</v>
      </c>
      <c r="N3420" t="b">
        <v>1</v>
      </c>
    </row>
    <row r="3421" spans="1:14" x14ac:dyDescent="0.3">
      <c r="A3421" t="s">
        <v>4467</v>
      </c>
      <c r="B3421" t="s">
        <v>672</v>
      </c>
      <c r="C3421" s="1">
        <v>45655</v>
      </c>
      <c r="E3421" t="s">
        <v>39</v>
      </c>
      <c r="F3421">
        <v>9</v>
      </c>
      <c r="G3421" s="12">
        <v>441</v>
      </c>
      <c r="H3421" s="12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1050</v>
      </c>
      <c r="N3421" t="b">
        <v>1</v>
      </c>
    </row>
    <row r="3422" spans="1:14" x14ac:dyDescent="0.3">
      <c r="A3422" t="s">
        <v>4468</v>
      </c>
      <c r="B3422" t="s">
        <v>752</v>
      </c>
      <c r="C3422" s="1">
        <v>45315</v>
      </c>
      <c r="E3422" t="s">
        <v>39</v>
      </c>
      <c r="F3422">
        <v>42</v>
      </c>
      <c r="G3422" s="12">
        <v>2058</v>
      </c>
      <c r="H3422" s="1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1050</v>
      </c>
      <c r="N3422" t="b">
        <v>1</v>
      </c>
    </row>
    <row r="3423" spans="1:14" x14ac:dyDescent="0.3">
      <c r="A3423" t="s">
        <v>4469</v>
      </c>
      <c r="B3423" t="s">
        <v>408</v>
      </c>
      <c r="C3423" s="1">
        <v>45531</v>
      </c>
      <c r="E3423" t="s">
        <v>15</v>
      </c>
      <c r="F3423">
        <v>14</v>
      </c>
      <c r="G3423" s="12">
        <v>266</v>
      </c>
      <c r="H3423" s="12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1050</v>
      </c>
      <c r="N3423" t="b">
        <v>1</v>
      </c>
    </row>
    <row r="3424" spans="1:14" x14ac:dyDescent="0.3">
      <c r="A3424" t="s">
        <v>4470</v>
      </c>
      <c r="B3424" t="s">
        <v>582</v>
      </c>
      <c r="C3424" s="1">
        <v>45385</v>
      </c>
      <c r="E3424" t="s">
        <v>15</v>
      </c>
      <c r="F3424">
        <v>26</v>
      </c>
      <c r="G3424" s="12">
        <v>494</v>
      </c>
      <c r="H3424" s="12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1047</v>
      </c>
      <c r="N3424" t="b">
        <v>1</v>
      </c>
    </row>
    <row r="3425" spans="1:14" x14ac:dyDescent="0.3">
      <c r="A3425" t="s">
        <v>4471</v>
      </c>
      <c r="B3425" t="s">
        <v>358</v>
      </c>
      <c r="C3425" s="1">
        <v>45649</v>
      </c>
      <c r="E3425" t="s">
        <v>32</v>
      </c>
      <c r="F3425">
        <v>9</v>
      </c>
      <c r="G3425" s="12">
        <v>1791</v>
      </c>
      <c r="H3425" s="12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1047</v>
      </c>
      <c r="N3425" t="b">
        <v>1</v>
      </c>
    </row>
    <row r="3426" spans="1:14" x14ac:dyDescent="0.3">
      <c r="A3426" t="s">
        <v>4472</v>
      </c>
      <c r="B3426" t="s">
        <v>844</v>
      </c>
      <c r="C3426" s="1">
        <v>45628</v>
      </c>
      <c r="E3426" t="s">
        <v>32</v>
      </c>
      <c r="F3426">
        <v>26</v>
      </c>
      <c r="G3426" s="12">
        <v>0</v>
      </c>
      <c r="H3426" s="12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1047</v>
      </c>
      <c r="N3426" t="b">
        <v>1</v>
      </c>
    </row>
    <row r="3427" spans="1:14" x14ac:dyDescent="0.3">
      <c r="A3427" t="s">
        <v>4473</v>
      </c>
      <c r="B3427" t="s">
        <v>128</v>
      </c>
      <c r="C3427" s="1">
        <v>45650</v>
      </c>
      <c r="E3427" t="s">
        <v>32</v>
      </c>
      <c r="F3427">
        <v>32</v>
      </c>
      <c r="G3427" s="12">
        <v>6368</v>
      </c>
      <c r="H3427" s="12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1050</v>
      </c>
      <c r="N3427" t="b">
        <v>1</v>
      </c>
    </row>
    <row r="3428" spans="1:14" x14ac:dyDescent="0.3">
      <c r="A3428" t="s">
        <v>4474</v>
      </c>
      <c r="B3428" t="s">
        <v>578</v>
      </c>
      <c r="C3428" s="1">
        <v>45512</v>
      </c>
      <c r="E3428" t="s">
        <v>15</v>
      </c>
      <c r="F3428">
        <v>8</v>
      </c>
      <c r="G3428" s="12">
        <v>152</v>
      </c>
      <c r="H3428" s="12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1047</v>
      </c>
      <c r="N3428" t="b">
        <v>1</v>
      </c>
    </row>
    <row r="3429" spans="1:14" x14ac:dyDescent="0.3">
      <c r="A3429" t="s">
        <v>4475</v>
      </c>
      <c r="B3429" t="s">
        <v>766</v>
      </c>
      <c r="C3429" s="1">
        <v>45470</v>
      </c>
      <c r="E3429" t="s">
        <v>32</v>
      </c>
      <c r="F3429">
        <v>105</v>
      </c>
      <c r="G3429" s="12">
        <v>20895</v>
      </c>
      <c r="H3429" s="12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1047</v>
      </c>
      <c r="N3429" t="b">
        <v>0</v>
      </c>
    </row>
    <row r="3430" spans="1:14" x14ac:dyDescent="0.3">
      <c r="A3430" t="s">
        <v>4476</v>
      </c>
      <c r="B3430" t="s">
        <v>506</v>
      </c>
      <c r="C3430" s="1">
        <v>45508</v>
      </c>
      <c r="E3430" t="s">
        <v>32</v>
      </c>
      <c r="F3430">
        <v>50</v>
      </c>
      <c r="G3430" s="12">
        <v>9950</v>
      </c>
      <c r="H3430" s="12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1047</v>
      </c>
      <c r="N3430" t="b">
        <v>1</v>
      </c>
    </row>
    <row r="3431" spans="1:14" x14ac:dyDescent="0.3">
      <c r="A3431" t="s">
        <v>4477</v>
      </c>
      <c r="B3431" t="s">
        <v>500</v>
      </c>
      <c r="C3431" s="1">
        <v>45602</v>
      </c>
      <c r="E3431" t="s">
        <v>39</v>
      </c>
      <c r="F3431">
        <v>92</v>
      </c>
      <c r="G3431" s="12">
        <v>4508</v>
      </c>
      <c r="H3431" s="12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1050</v>
      </c>
      <c r="N3431" t="b">
        <v>1</v>
      </c>
    </row>
    <row r="3432" spans="1:14" x14ac:dyDescent="0.3">
      <c r="A3432" t="s">
        <v>4478</v>
      </c>
      <c r="B3432" t="s">
        <v>95</v>
      </c>
      <c r="C3432" s="1">
        <v>45216</v>
      </c>
      <c r="E3432" t="s">
        <v>15</v>
      </c>
      <c r="F3432">
        <v>44</v>
      </c>
      <c r="G3432" s="12">
        <v>836</v>
      </c>
      <c r="H3432" s="1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1050</v>
      </c>
      <c r="N3432" t="b">
        <v>1</v>
      </c>
    </row>
    <row r="3433" spans="1:14" x14ac:dyDescent="0.3">
      <c r="A3433" t="s">
        <v>4479</v>
      </c>
      <c r="B3433" t="s">
        <v>602</v>
      </c>
      <c r="C3433" s="1">
        <v>45618</v>
      </c>
      <c r="E3433" t="s">
        <v>15</v>
      </c>
      <c r="F3433">
        <v>16</v>
      </c>
      <c r="G3433" s="12">
        <v>304</v>
      </c>
      <c r="H3433" s="12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1050</v>
      </c>
      <c r="N3433" t="b">
        <v>1</v>
      </c>
    </row>
    <row r="3434" spans="1:14" x14ac:dyDescent="0.3">
      <c r="A3434" t="s">
        <v>4480</v>
      </c>
      <c r="B3434" t="s">
        <v>518</v>
      </c>
      <c r="C3434" s="1">
        <v>45103</v>
      </c>
      <c r="E3434" t="s">
        <v>15</v>
      </c>
      <c r="F3434">
        <v>21</v>
      </c>
      <c r="G3434" s="12">
        <v>399</v>
      </c>
      <c r="H3434" s="12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1050</v>
      </c>
      <c r="N3434" t="b">
        <v>1</v>
      </c>
    </row>
    <row r="3435" spans="1:14" x14ac:dyDescent="0.3">
      <c r="A3435" t="s">
        <v>4481</v>
      </c>
      <c r="B3435" t="s">
        <v>95</v>
      </c>
      <c r="C3435" s="1">
        <v>45323</v>
      </c>
      <c r="D3435" s="1">
        <v>45452</v>
      </c>
      <c r="E3435" t="s">
        <v>32</v>
      </c>
      <c r="F3435">
        <v>25</v>
      </c>
      <c r="G3435" s="12">
        <v>4975</v>
      </c>
      <c r="H3435" s="12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1047</v>
      </c>
      <c r="N3435" t="b">
        <v>1</v>
      </c>
    </row>
    <row r="3436" spans="1:14" x14ac:dyDescent="0.3">
      <c r="A3436" t="s">
        <v>4482</v>
      </c>
      <c r="B3436" t="s">
        <v>760</v>
      </c>
      <c r="C3436" s="1">
        <v>45646</v>
      </c>
      <c r="D3436" s="1">
        <v>45657</v>
      </c>
      <c r="E3436" t="s">
        <v>39</v>
      </c>
      <c r="F3436">
        <v>3</v>
      </c>
      <c r="G3436" s="12">
        <v>147</v>
      </c>
      <c r="H3436" s="12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1047</v>
      </c>
      <c r="N3436" t="b">
        <v>1</v>
      </c>
    </row>
    <row r="3437" spans="1:14" x14ac:dyDescent="0.3">
      <c r="A3437" t="s">
        <v>4483</v>
      </c>
      <c r="B3437" t="s">
        <v>434</v>
      </c>
      <c r="C3437" s="1">
        <v>45342</v>
      </c>
      <c r="E3437" t="s">
        <v>32</v>
      </c>
      <c r="F3437">
        <v>9</v>
      </c>
      <c r="G3437" s="12">
        <v>1791</v>
      </c>
      <c r="H3437" s="12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1050</v>
      </c>
      <c r="N3437" t="b">
        <v>0</v>
      </c>
    </row>
    <row r="3438" spans="1:14" x14ac:dyDescent="0.3">
      <c r="A3438" t="s">
        <v>4484</v>
      </c>
      <c r="B3438" t="s">
        <v>346</v>
      </c>
      <c r="C3438" s="1">
        <v>45601</v>
      </c>
      <c r="E3438" t="s">
        <v>32</v>
      </c>
      <c r="F3438">
        <v>45</v>
      </c>
      <c r="G3438" s="12">
        <v>8955</v>
      </c>
      <c r="H3438" s="12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1050</v>
      </c>
      <c r="N3438" t="b">
        <v>1</v>
      </c>
    </row>
    <row r="3439" spans="1:14" x14ac:dyDescent="0.3">
      <c r="A3439" t="s">
        <v>4485</v>
      </c>
      <c r="B3439" t="s">
        <v>368</v>
      </c>
      <c r="C3439" s="1">
        <v>45286</v>
      </c>
      <c r="E3439" t="s">
        <v>32</v>
      </c>
      <c r="F3439">
        <v>61</v>
      </c>
      <c r="G3439" s="12">
        <v>12139</v>
      </c>
      <c r="H3439" s="12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1050</v>
      </c>
      <c r="N3439" t="b">
        <v>0</v>
      </c>
    </row>
    <row r="3440" spans="1:14" x14ac:dyDescent="0.3">
      <c r="A3440" t="s">
        <v>4486</v>
      </c>
      <c r="B3440" t="s">
        <v>176</v>
      </c>
      <c r="C3440" s="1">
        <v>45654</v>
      </c>
      <c r="E3440" t="s">
        <v>32</v>
      </c>
      <c r="F3440">
        <v>37</v>
      </c>
      <c r="G3440" s="12">
        <v>7363</v>
      </c>
      <c r="H3440" s="12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1050</v>
      </c>
      <c r="N3440" t="b">
        <v>1</v>
      </c>
    </row>
    <row r="3441" spans="1:14" x14ac:dyDescent="0.3">
      <c r="A3441" t="s">
        <v>4487</v>
      </c>
      <c r="B3441" t="s">
        <v>912</v>
      </c>
      <c r="C3441" s="1">
        <v>44996</v>
      </c>
      <c r="E3441" t="s">
        <v>32</v>
      </c>
      <c r="F3441">
        <v>8</v>
      </c>
      <c r="G3441" s="12">
        <v>1592</v>
      </c>
      <c r="H3441" s="12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1047</v>
      </c>
      <c r="N3441" t="b">
        <v>0</v>
      </c>
    </row>
    <row r="3442" spans="1:14" x14ac:dyDescent="0.3">
      <c r="A3442" t="s">
        <v>4488</v>
      </c>
      <c r="B3442" t="s">
        <v>758</v>
      </c>
      <c r="C3442" s="1">
        <v>45585</v>
      </c>
      <c r="E3442" t="s">
        <v>32</v>
      </c>
      <c r="F3442">
        <v>18</v>
      </c>
      <c r="G3442" s="12">
        <v>3582</v>
      </c>
      <c r="H3442" s="1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1047</v>
      </c>
      <c r="N3442" t="b">
        <v>1</v>
      </c>
    </row>
    <row r="3443" spans="1:14" x14ac:dyDescent="0.3">
      <c r="A3443" t="s">
        <v>4489</v>
      </c>
      <c r="B3443" t="s">
        <v>822</v>
      </c>
      <c r="C3443" s="1">
        <v>45287</v>
      </c>
      <c r="E3443" t="s">
        <v>32</v>
      </c>
      <c r="F3443">
        <v>7</v>
      </c>
      <c r="G3443" s="12">
        <v>1393</v>
      </c>
      <c r="H3443" s="12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1047</v>
      </c>
      <c r="N3443" t="b">
        <v>1</v>
      </c>
    </row>
    <row r="3444" spans="1:14" x14ac:dyDescent="0.3">
      <c r="A3444" t="s">
        <v>4490</v>
      </c>
      <c r="B3444" t="s">
        <v>572</v>
      </c>
      <c r="C3444" s="1">
        <v>45578</v>
      </c>
      <c r="E3444" t="s">
        <v>32</v>
      </c>
      <c r="F3444">
        <v>64</v>
      </c>
      <c r="G3444" s="12">
        <v>12736</v>
      </c>
      <c r="H3444" s="12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1047</v>
      </c>
      <c r="N3444" t="b">
        <v>1</v>
      </c>
    </row>
    <row r="3445" spans="1:14" x14ac:dyDescent="0.3">
      <c r="A3445" t="s">
        <v>4491</v>
      </c>
      <c r="B3445" t="s">
        <v>780</v>
      </c>
      <c r="C3445" s="1">
        <v>45462</v>
      </c>
      <c r="E3445" t="s">
        <v>15</v>
      </c>
      <c r="F3445">
        <v>16</v>
      </c>
      <c r="G3445" s="12">
        <v>304</v>
      </c>
      <c r="H3445" s="12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1047</v>
      </c>
      <c r="N3445" t="b">
        <v>1</v>
      </c>
    </row>
    <row r="3446" spans="1:14" x14ac:dyDescent="0.3">
      <c r="A3446" t="s">
        <v>4492</v>
      </c>
      <c r="B3446" t="s">
        <v>884</v>
      </c>
      <c r="C3446" s="1">
        <v>45401</v>
      </c>
      <c r="E3446" t="s">
        <v>15</v>
      </c>
      <c r="F3446">
        <v>24</v>
      </c>
      <c r="G3446" s="12">
        <v>456</v>
      </c>
      <c r="H3446" s="12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1050</v>
      </c>
      <c r="N3446" t="b">
        <v>1</v>
      </c>
    </row>
    <row r="3447" spans="1:14" x14ac:dyDescent="0.3">
      <c r="A3447" t="s">
        <v>4493</v>
      </c>
      <c r="B3447" t="s">
        <v>776</v>
      </c>
      <c r="C3447" s="1">
        <v>45515</v>
      </c>
      <c r="E3447" t="s">
        <v>39</v>
      </c>
      <c r="F3447">
        <v>7</v>
      </c>
      <c r="G3447" s="12">
        <v>343</v>
      </c>
      <c r="H3447" s="12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1047</v>
      </c>
      <c r="N3447" t="b">
        <v>1</v>
      </c>
    </row>
    <row r="3448" spans="1:14" x14ac:dyDescent="0.3">
      <c r="A3448" t="s">
        <v>4494</v>
      </c>
      <c r="B3448" t="s">
        <v>126</v>
      </c>
      <c r="C3448" s="1">
        <v>45656</v>
      </c>
      <c r="E3448" t="s">
        <v>39</v>
      </c>
      <c r="F3448">
        <v>8</v>
      </c>
      <c r="G3448" s="12">
        <v>0</v>
      </c>
      <c r="H3448" s="12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1050</v>
      </c>
      <c r="N3448" t="b">
        <v>1</v>
      </c>
    </row>
    <row r="3449" spans="1:14" x14ac:dyDescent="0.3">
      <c r="A3449" t="s">
        <v>4495</v>
      </c>
      <c r="B3449" t="s">
        <v>854</v>
      </c>
      <c r="C3449" s="1">
        <v>45461</v>
      </c>
      <c r="E3449" t="s">
        <v>39</v>
      </c>
      <c r="F3449">
        <v>39</v>
      </c>
      <c r="G3449" s="12">
        <v>1911</v>
      </c>
      <c r="H3449" s="12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1050</v>
      </c>
      <c r="N3449" t="b">
        <v>1</v>
      </c>
    </row>
    <row r="3450" spans="1:14" x14ac:dyDescent="0.3">
      <c r="A3450" t="s">
        <v>4496</v>
      </c>
      <c r="B3450" t="s">
        <v>170</v>
      </c>
      <c r="C3450" s="1">
        <v>45631</v>
      </c>
      <c r="E3450" t="s">
        <v>15</v>
      </c>
      <c r="F3450">
        <v>51</v>
      </c>
      <c r="G3450" s="12">
        <v>969</v>
      </c>
      <c r="H3450" s="12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1047</v>
      </c>
      <c r="N3450" t="b">
        <v>1</v>
      </c>
    </row>
    <row r="3451" spans="1:14" x14ac:dyDescent="0.3">
      <c r="A3451" t="s">
        <v>4497</v>
      </c>
      <c r="B3451" t="s">
        <v>348</v>
      </c>
      <c r="C3451" s="1">
        <v>45479</v>
      </c>
      <c r="E3451" t="s">
        <v>15</v>
      </c>
      <c r="F3451">
        <v>16</v>
      </c>
      <c r="G3451" s="12">
        <v>304</v>
      </c>
      <c r="H3451" s="12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1050</v>
      </c>
      <c r="N3451" t="b">
        <v>1</v>
      </c>
    </row>
    <row r="3452" spans="1:14" x14ac:dyDescent="0.3">
      <c r="A3452" t="s">
        <v>4498</v>
      </c>
      <c r="B3452" t="s">
        <v>930</v>
      </c>
      <c r="C3452" s="1">
        <v>45265</v>
      </c>
      <c r="E3452" t="s">
        <v>39</v>
      </c>
      <c r="F3452">
        <v>40</v>
      </c>
      <c r="G3452" s="12">
        <v>0</v>
      </c>
      <c r="H3452" s="1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1047</v>
      </c>
      <c r="N3452" t="b">
        <v>1</v>
      </c>
    </row>
    <row r="3453" spans="1:14" x14ac:dyDescent="0.3">
      <c r="A3453" t="s">
        <v>4499</v>
      </c>
      <c r="B3453" t="s">
        <v>218</v>
      </c>
      <c r="C3453" s="1">
        <v>45398</v>
      </c>
      <c r="E3453" t="s">
        <v>39</v>
      </c>
      <c r="F3453">
        <v>9</v>
      </c>
      <c r="G3453" s="12">
        <v>441</v>
      </c>
      <c r="H3453" s="12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1047</v>
      </c>
      <c r="N3453" t="b">
        <v>1</v>
      </c>
    </row>
    <row r="3454" spans="1:14" x14ac:dyDescent="0.3">
      <c r="A3454" t="s">
        <v>4500</v>
      </c>
      <c r="B3454" t="s">
        <v>262</v>
      </c>
      <c r="C3454" s="1">
        <v>45368</v>
      </c>
      <c r="E3454" t="s">
        <v>32</v>
      </c>
      <c r="F3454">
        <v>9</v>
      </c>
      <c r="G3454" s="12">
        <v>1791</v>
      </c>
      <c r="H3454" s="12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1047</v>
      </c>
      <c r="N3454" t="b">
        <v>1</v>
      </c>
    </row>
    <row r="3455" spans="1:14" x14ac:dyDescent="0.3">
      <c r="A3455" t="s">
        <v>4501</v>
      </c>
      <c r="B3455" t="s">
        <v>376</v>
      </c>
      <c r="C3455" s="1">
        <v>45624</v>
      </c>
      <c r="E3455" t="s">
        <v>15</v>
      </c>
      <c r="F3455">
        <v>25</v>
      </c>
      <c r="G3455" s="12">
        <v>475</v>
      </c>
      <c r="H3455" s="12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1050</v>
      </c>
      <c r="N3455" t="b">
        <v>1</v>
      </c>
    </row>
    <row r="3456" spans="1:14" x14ac:dyDescent="0.3">
      <c r="A3456" t="s">
        <v>4502</v>
      </c>
      <c r="B3456" t="s">
        <v>47</v>
      </c>
      <c r="C3456" s="1">
        <v>45637</v>
      </c>
      <c r="E3456" t="s">
        <v>15</v>
      </c>
      <c r="F3456">
        <v>18</v>
      </c>
      <c r="G3456" s="12">
        <v>342</v>
      </c>
      <c r="H3456" s="12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1047</v>
      </c>
      <c r="N3456" t="b">
        <v>1</v>
      </c>
    </row>
    <row r="3457" spans="1:14" x14ac:dyDescent="0.3">
      <c r="A3457" t="s">
        <v>4503</v>
      </c>
      <c r="B3457" t="s">
        <v>728</v>
      </c>
      <c r="C3457" s="1">
        <v>45411</v>
      </c>
      <c r="E3457" t="s">
        <v>15</v>
      </c>
      <c r="F3457">
        <v>10</v>
      </c>
      <c r="G3457" s="12">
        <v>190</v>
      </c>
      <c r="H3457" s="12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1047</v>
      </c>
      <c r="N3457" t="b">
        <v>1</v>
      </c>
    </row>
    <row r="3458" spans="1:14" x14ac:dyDescent="0.3">
      <c r="A3458" t="s">
        <v>4504</v>
      </c>
      <c r="B3458" t="s">
        <v>10</v>
      </c>
      <c r="C3458" s="1">
        <v>45648</v>
      </c>
      <c r="E3458" t="s">
        <v>15</v>
      </c>
      <c r="F3458">
        <v>44</v>
      </c>
      <c r="G3458" s="12">
        <v>836</v>
      </c>
      <c r="H3458" s="12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1047</v>
      </c>
      <c r="N3458" t="b">
        <v>1</v>
      </c>
    </row>
    <row r="3459" spans="1:14" x14ac:dyDescent="0.3">
      <c r="A3459" t="s">
        <v>4505</v>
      </c>
      <c r="B3459" t="s">
        <v>364</v>
      </c>
      <c r="C3459" s="1">
        <v>45528</v>
      </c>
      <c r="E3459" t="s">
        <v>39</v>
      </c>
      <c r="F3459">
        <v>51</v>
      </c>
      <c r="G3459" s="12">
        <v>2499</v>
      </c>
      <c r="H3459" s="12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1047</v>
      </c>
      <c r="N3459" t="b">
        <v>0</v>
      </c>
    </row>
    <row r="3460" spans="1:14" x14ac:dyDescent="0.3">
      <c r="A3460" t="s">
        <v>4506</v>
      </c>
      <c r="B3460" t="s">
        <v>848</v>
      </c>
      <c r="C3460" s="1">
        <v>45640</v>
      </c>
      <c r="E3460" t="s">
        <v>32</v>
      </c>
      <c r="F3460">
        <v>39</v>
      </c>
      <c r="G3460" s="12">
        <v>0</v>
      </c>
      <c r="H3460" s="12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1050</v>
      </c>
      <c r="N3460" t="b">
        <v>1</v>
      </c>
    </row>
    <row r="3461" spans="1:14" x14ac:dyDescent="0.3">
      <c r="A3461" t="s">
        <v>4507</v>
      </c>
      <c r="B3461" t="s">
        <v>908</v>
      </c>
      <c r="C3461" s="1">
        <v>45017</v>
      </c>
      <c r="E3461" t="s">
        <v>15</v>
      </c>
      <c r="F3461">
        <v>26</v>
      </c>
      <c r="G3461" s="12">
        <v>0</v>
      </c>
      <c r="H3461" s="12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1047</v>
      </c>
      <c r="N3461" t="b">
        <v>1</v>
      </c>
    </row>
    <row r="3462" spans="1:14" x14ac:dyDescent="0.3">
      <c r="A3462" t="s">
        <v>4508</v>
      </c>
      <c r="B3462" t="s">
        <v>680</v>
      </c>
      <c r="C3462" s="1">
        <v>45652</v>
      </c>
      <c r="E3462" t="s">
        <v>15</v>
      </c>
      <c r="F3462">
        <v>37</v>
      </c>
      <c r="G3462" s="12">
        <v>703</v>
      </c>
      <c r="H3462" s="1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1047</v>
      </c>
      <c r="N3462" t="b">
        <v>1</v>
      </c>
    </row>
    <row r="3463" spans="1:14" x14ac:dyDescent="0.3">
      <c r="A3463" t="s">
        <v>4509</v>
      </c>
      <c r="B3463" t="s">
        <v>1028</v>
      </c>
      <c r="C3463" s="1">
        <v>45583</v>
      </c>
      <c r="E3463" t="s">
        <v>15</v>
      </c>
      <c r="F3463">
        <v>21</v>
      </c>
      <c r="G3463" s="12">
        <v>399</v>
      </c>
      <c r="H3463" s="12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1047</v>
      </c>
      <c r="N3463" t="b">
        <v>1</v>
      </c>
    </row>
    <row r="3464" spans="1:14" x14ac:dyDescent="0.3">
      <c r="A3464" t="s">
        <v>4510</v>
      </c>
      <c r="B3464" t="s">
        <v>644</v>
      </c>
      <c r="C3464" s="1">
        <v>45544</v>
      </c>
      <c r="E3464" t="s">
        <v>32</v>
      </c>
      <c r="F3464">
        <v>19</v>
      </c>
      <c r="G3464" s="12">
        <v>3781</v>
      </c>
      <c r="H3464" s="12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1047</v>
      </c>
      <c r="N3464" t="b">
        <v>0</v>
      </c>
    </row>
    <row r="3465" spans="1:14" x14ac:dyDescent="0.3">
      <c r="A3465" t="s">
        <v>4511</v>
      </c>
      <c r="B3465" t="s">
        <v>942</v>
      </c>
      <c r="C3465" s="1">
        <v>45602</v>
      </c>
      <c r="E3465" t="s">
        <v>32</v>
      </c>
      <c r="F3465">
        <v>22</v>
      </c>
      <c r="G3465" s="12">
        <v>4378</v>
      </c>
      <c r="H3465" s="12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1047</v>
      </c>
      <c r="N3465" t="b">
        <v>1</v>
      </c>
    </row>
    <row r="3466" spans="1:14" x14ac:dyDescent="0.3">
      <c r="A3466" t="s">
        <v>4512</v>
      </c>
      <c r="B3466" t="s">
        <v>548</v>
      </c>
      <c r="C3466" s="1">
        <v>45518</v>
      </c>
      <c r="E3466" t="s">
        <v>39</v>
      </c>
      <c r="F3466">
        <v>34</v>
      </c>
      <c r="G3466" s="12">
        <v>1666</v>
      </c>
      <c r="H3466" s="12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1047</v>
      </c>
      <c r="N3466" t="b">
        <v>1</v>
      </c>
    </row>
    <row r="3467" spans="1:14" x14ac:dyDescent="0.3">
      <c r="A3467" t="s">
        <v>4513</v>
      </c>
      <c r="B3467" t="s">
        <v>666</v>
      </c>
      <c r="C3467" s="1">
        <v>45521</v>
      </c>
      <c r="E3467" t="s">
        <v>32</v>
      </c>
      <c r="F3467">
        <v>10</v>
      </c>
      <c r="G3467" s="12">
        <v>1990</v>
      </c>
      <c r="H3467" s="12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1047</v>
      </c>
      <c r="N3467" t="b">
        <v>1</v>
      </c>
    </row>
    <row r="3468" spans="1:14" x14ac:dyDescent="0.3">
      <c r="A3468" t="s">
        <v>4514</v>
      </c>
      <c r="B3468" t="s">
        <v>856</v>
      </c>
      <c r="C3468" s="1">
        <v>45533</v>
      </c>
      <c r="E3468" t="s">
        <v>39</v>
      </c>
      <c r="F3468">
        <v>27</v>
      </c>
      <c r="G3468" s="12">
        <v>1323</v>
      </c>
      <c r="H3468" s="12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1047</v>
      </c>
      <c r="N3468" t="b">
        <v>1</v>
      </c>
    </row>
    <row r="3469" spans="1:14" x14ac:dyDescent="0.3">
      <c r="A3469" t="s">
        <v>4515</v>
      </c>
      <c r="B3469" t="s">
        <v>386</v>
      </c>
      <c r="C3469" s="1">
        <v>45576</v>
      </c>
      <c r="E3469" t="s">
        <v>32</v>
      </c>
      <c r="F3469">
        <v>29</v>
      </c>
      <c r="G3469" s="12">
        <v>5771</v>
      </c>
      <c r="H3469" s="12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1047</v>
      </c>
      <c r="N3469" t="b">
        <v>1</v>
      </c>
    </row>
    <row r="3470" spans="1:14" x14ac:dyDescent="0.3">
      <c r="A3470" t="s">
        <v>4516</v>
      </c>
      <c r="B3470" t="s">
        <v>950</v>
      </c>
      <c r="C3470" s="1">
        <v>45405</v>
      </c>
      <c r="E3470" t="s">
        <v>39</v>
      </c>
      <c r="F3470">
        <v>73</v>
      </c>
      <c r="G3470" s="12">
        <v>3577</v>
      </c>
      <c r="H3470" s="12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1047</v>
      </c>
      <c r="N3470" t="b">
        <v>1</v>
      </c>
    </row>
    <row r="3471" spans="1:14" x14ac:dyDescent="0.3">
      <c r="A3471" t="s">
        <v>4517</v>
      </c>
      <c r="B3471" t="s">
        <v>646</v>
      </c>
      <c r="C3471" s="1">
        <v>45365</v>
      </c>
      <c r="E3471" t="s">
        <v>32</v>
      </c>
      <c r="F3471">
        <v>84</v>
      </c>
      <c r="G3471" s="12">
        <v>16716</v>
      </c>
      <c r="H3471" s="12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1050</v>
      </c>
      <c r="N3471" t="b">
        <v>1</v>
      </c>
    </row>
    <row r="3472" spans="1:14" x14ac:dyDescent="0.3">
      <c r="A3472" t="s">
        <v>4518</v>
      </c>
      <c r="B3472" t="s">
        <v>990</v>
      </c>
      <c r="C3472" s="1">
        <v>45620</v>
      </c>
      <c r="E3472" t="s">
        <v>32</v>
      </c>
      <c r="F3472">
        <v>70</v>
      </c>
      <c r="G3472" s="12">
        <v>13930</v>
      </c>
      <c r="H3472" s="1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1050</v>
      </c>
      <c r="N3472" t="b">
        <v>1</v>
      </c>
    </row>
    <row r="3473" spans="1:14" x14ac:dyDescent="0.3">
      <c r="A3473" t="s">
        <v>4519</v>
      </c>
      <c r="B3473" t="s">
        <v>832</v>
      </c>
      <c r="C3473" s="1">
        <v>45465</v>
      </c>
      <c r="D3473" s="1">
        <v>45636</v>
      </c>
      <c r="E3473" t="s">
        <v>15</v>
      </c>
      <c r="F3473">
        <v>19</v>
      </c>
      <c r="G3473" s="12">
        <v>361</v>
      </c>
      <c r="H3473" s="12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1047</v>
      </c>
      <c r="N3473" t="b">
        <v>1</v>
      </c>
    </row>
    <row r="3474" spans="1:14" x14ac:dyDescent="0.3">
      <c r="A3474" t="s">
        <v>4520</v>
      </c>
      <c r="B3474" t="s">
        <v>376</v>
      </c>
      <c r="C3474" s="1">
        <v>45598</v>
      </c>
      <c r="E3474" t="s">
        <v>39</v>
      </c>
      <c r="F3474">
        <v>10</v>
      </c>
      <c r="G3474" s="12">
        <v>490</v>
      </c>
      <c r="H3474" s="12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1047</v>
      </c>
      <c r="N3474" t="b">
        <v>1</v>
      </c>
    </row>
    <row r="3475" spans="1:14" x14ac:dyDescent="0.3">
      <c r="A3475" t="s">
        <v>4521</v>
      </c>
      <c r="B3475" t="s">
        <v>274</v>
      </c>
      <c r="C3475" s="1">
        <v>45643</v>
      </c>
      <c r="E3475" t="s">
        <v>39</v>
      </c>
      <c r="F3475">
        <v>64</v>
      </c>
      <c r="G3475" s="12">
        <v>3136</v>
      </c>
      <c r="H3475" s="12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1047</v>
      </c>
      <c r="N3475" t="b">
        <v>1</v>
      </c>
    </row>
    <row r="3476" spans="1:14" x14ac:dyDescent="0.3">
      <c r="A3476" t="s">
        <v>4522</v>
      </c>
      <c r="B3476" t="s">
        <v>842</v>
      </c>
      <c r="C3476" s="1">
        <v>45386</v>
      </c>
      <c r="E3476" t="s">
        <v>15</v>
      </c>
      <c r="F3476">
        <v>21</v>
      </c>
      <c r="G3476" s="12">
        <v>0</v>
      </c>
      <c r="H3476" s="12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1050</v>
      </c>
      <c r="N3476" t="b">
        <v>1</v>
      </c>
    </row>
    <row r="3477" spans="1:14" x14ac:dyDescent="0.3">
      <c r="A3477" t="s">
        <v>4523</v>
      </c>
      <c r="B3477" t="s">
        <v>89</v>
      </c>
      <c r="C3477" s="1">
        <v>45628</v>
      </c>
      <c r="E3477" t="s">
        <v>32</v>
      </c>
      <c r="F3477">
        <v>2</v>
      </c>
      <c r="G3477" s="12">
        <v>398</v>
      </c>
      <c r="H3477" s="12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1047</v>
      </c>
      <c r="N3477" t="b">
        <v>1</v>
      </c>
    </row>
    <row r="3478" spans="1:14" x14ac:dyDescent="0.3">
      <c r="A3478" t="s">
        <v>4524</v>
      </c>
      <c r="B3478" t="s">
        <v>898</v>
      </c>
      <c r="C3478" s="1">
        <v>45532</v>
      </c>
      <c r="E3478" t="s">
        <v>15</v>
      </c>
      <c r="F3478">
        <v>11</v>
      </c>
      <c r="G3478" s="12">
        <v>0</v>
      </c>
      <c r="H3478" s="12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1050</v>
      </c>
      <c r="N3478" t="b">
        <v>1</v>
      </c>
    </row>
    <row r="3479" spans="1:14" x14ac:dyDescent="0.3">
      <c r="A3479" t="s">
        <v>4525</v>
      </c>
      <c r="B3479" t="s">
        <v>962</v>
      </c>
      <c r="C3479" s="1">
        <v>45459</v>
      </c>
      <c r="E3479" t="s">
        <v>32</v>
      </c>
      <c r="F3479">
        <v>50</v>
      </c>
      <c r="G3479" s="12">
        <v>9950</v>
      </c>
      <c r="H3479" s="12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1050</v>
      </c>
      <c r="N3479" t="b">
        <v>1</v>
      </c>
    </row>
    <row r="3480" spans="1:14" x14ac:dyDescent="0.3">
      <c r="A3480" t="s">
        <v>4526</v>
      </c>
      <c r="B3480" t="s">
        <v>804</v>
      </c>
      <c r="C3480" s="1">
        <v>45611</v>
      </c>
      <c r="D3480" s="1">
        <v>45623</v>
      </c>
      <c r="E3480" t="s">
        <v>32</v>
      </c>
      <c r="F3480">
        <v>43</v>
      </c>
      <c r="G3480" s="12">
        <v>8557</v>
      </c>
      <c r="H3480" s="12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1050</v>
      </c>
      <c r="N3480" t="b">
        <v>0</v>
      </c>
    </row>
    <row r="3481" spans="1:14" x14ac:dyDescent="0.3">
      <c r="A3481" t="s">
        <v>4527</v>
      </c>
      <c r="B3481" t="s">
        <v>358</v>
      </c>
      <c r="C3481" s="1">
        <v>45463</v>
      </c>
      <c r="D3481" s="1">
        <v>45513</v>
      </c>
      <c r="E3481" t="s">
        <v>39</v>
      </c>
      <c r="F3481">
        <v>38</v>
      </c>
      <c r="G3481" s="12">
        <v>1862</v>
      </c>
      <c r="H3481" s="12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1050</v>
      </c>
      <c r="N3481" t="b">
        <v>0</v>
      </c>
    </row>
    <row r="3482" spans="1:14" x14ac:dyDescent="0.3">
      <c r="A3482" t="s">
        <v>4528</v>
      </c>
      <c r="B3482" t="s">
        <v>996</v>
      </c>
      <c r="C3482" s="1">
        <v>45633</v>
      </c>
      <c r="E3482" t="s">
        <v>39</v>
      </c>
      <c r="F3482">
        <v>22</v>
      </c>
      <c r="G3482" s="12">
        <v>1078</v>
      </c>
      <c r="H3482" s="1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1050</v>
      </c>
      <c r="N3482" t="b">
        <v>1</v>
      </c>
    </row>
    <row r="3483" spans="1:14" x14ac:dyDescent="0.3">
      <c r="A3483" t="s">
        <v>4529</v>
      </c>
      <c r="B3483" t="s">
        <v>416</v>
      </c>
      <c r="C3483" s="1">
        <v>45012</v>
      </c>
      <c r="E3483" t="s">
        <v>39</v>
      </c>
      <c r="F3483">
        <v>21</v>
      </c>
      <c r="G3483" s="12">
        <v>1029</v>
      </c>
      <c r="H3483" s="12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1047</v>
      </c>
      <c r="N3483" t="b">
        <v>1</v>
      </c>
    </row>
    <row r="3484" spans="1:14" x14ac:dyDescent="0.3">
      <c r="A3484" t="s">
        <v>4530</v>
      </c>
      <c r="B3484" t="s">
        <v>532</v>
      </c>
      <c r="C3484" s="1">
        <v>45636</v>
      </c>
      <c r="E3484" t="s">
        <v>39</v>
      </c>
      <c r="F3484">
        <v>13</v>
      </c>
      <c r="G3484" s="12">
        <v>637</v>
      </c>
      <c r="H3484" s="12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1050</v>
      </c>
      <c r="N3484" t="b">
        <v>1</v>
      </c>
    </row>
    <row r="3485" spans="1:14" x14ac:dyDescent="0.3">
      <c r="A3485" t="s">
        <v>4531</v>
      </c>
      <c r="B3485" t="s">
        <v>654</v>
      </c>
      <c r="C3485" s="1">
        <v>45618</v>
      </c>
      <c r="E3485" t="s">
        <v>39</v>
      </c>
      <c r="F3485">
        <v>74</v>
      </c>
      <c r="G3485" s="12">
        <v>3626</v>
      </c>
      <c r="H3485" s="12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1050</v>
      </c>
      <c r="N3485" t="b">
        <v>1</v>
      </c>
    </row>
    <row r="3486" spans="1:14" x14ac:dyDescent="0.3">
      <c r="A3486" t="s">
        <v>4532</v>
      </c>
      <c r="B3486" t="s">
        <v>834</v>
      </c>
      <c r="C3486" s="1">
        <v>45349</v>
      </c>
      <c r="E3486" t="s">
        <v>32</v>
      </c>
      <c r="F3486">
        <v>22</v>
      </c>
      <c r="G3486" s="12">
        <v>4378</v>
      </c>
      <c r="H3486" s="12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1047</v>
      </c>
      <c r="N3486" t="b">
        <v>1</v>
      </c>
    </row>
    <row r="3487" spans="1:14" x14ac:dyDescent="0.3">
      <c r="A3487" t="s">
        <v>4533</v>
      </c>
      <c r="B3487" t="s">
        <v>570</v>
      </c>
      <c r="C3487" s="1">
        <v>45644</v>
      </c>
      <c r="E3487" t="s">
        <v>15</v>
      </c>
      <c r="F3487">
        <v>83</v>
      </c>
      <c r="G3487" s="12">
        <v>0</v>
      </c>
      <c r="H3487" s="12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1047</v>
      </c>
      <c r="N3487" t="b">
        <v>1</v>
      </c>
    </row>
    <row r="3488" spans="1:14" x14ac:dyDescent="0.3">
      <c r="A3488" t="s">
        <v>4534</v>
      </c>
      <c r="B3488" t="s">
        <v>998</v>
      </c>
      <c r="C3488" s="1">
        <v>45074</v>
      </c>
      <c r="E3488" t="s">
        <v>39</v>
      </c>
      <c r="F3488">
        <v>100</v>
      </c>
      <c r="G3488" s="12">
        <v>4900</v>
      </c>
      <c r="H3488" s="12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1047</v>
      </c>
      <c r="N3488" t="b">
        <v>0</v>
      </c>
    </row>
    <row r="3489" spans="1:14" x14ac:dyDescent="0.3">
      <c r="A3489" t="s">
        <v>4535</v>
      </c>
      <c r="B3489" t="s">
        <v>686</v>
      </c>
      <c r="C3489" s="1">
        <v>45579</v>
      </c>
      <c r="D3489" s="1">
        <v>45585</v>
      </c>
      <c r="E3489" t="s">
        <v>32</v>
      </c>
      <c r="F3489">
        <v>26</v>
      </c>
      <c r="G3489" s="12">
        <v>0</v>
      </c>
      <c r="H3489" s="12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1047</v>
      </c>
      <c r="N3489" t="b">
        <v>1</v>
      </c>
    </row>
    <row r="3490" spans="1:14" x14ac:dyDescent="0.3">
      <c r="A3490" t="s">
        <v>4536</v>
      </c>
      <c r="B3490" t="s">
        <v>76</v>
      </c>
      <c r="C3490" s="1">
        <v>45607</v>
      </c>
      <c r="E3490" t="s">
        <v>39</v>
      </c>
      <c r="F3490">
        <v>13</v>
      </c>
      <c r="G3490" s="12">
        <v>637</v>
      </c>
      <c r="H3490" s="12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1047</v>
      </c>
      <c r="N3490" t="b">
        <v>1</v>
      </c>
    </row>
    <row r="3491" spans="1:14" x14ac:dyDescent="0.3">
      <c r="A3491" t="s">
        <v>4537</v>
      </c>
      <c r="B3491" t="s">
        <v>390</v>
      </c>
      <c r="C3491" s="1">
        <v>45538</v>
      </c>
      <c r="E3491" t="s">
        <v>15</v>
      </c>
      <c r="F3491">
        <v>61</v>
      </c>
      <c r="G3491" s="12">
        <v>1159</v>
      </c>
      <c r="H3491" s="12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1050</v>
      </c>
      <c r="N3491" t="b">
        <v>0</v>
      </c>
    </row>
    <row r="3492" spans="1:14" x14ac:dyDescent="0.3">
      <c r="A3492" t="s">
        <v>4538</v>
      </c>
      <c r="B3492" t="s">
        <v>786</v>
      </c>
      <c r="C3492" s="1">
        <v>45582</v>
      </c>
      <c r="E3492" t="s">
        <v>32</v>
      </c>
      <c r="F3492">
        <v>22</v>
      </c>
      <c r="G3492" s="12">
        <v>4378</v>
      </c>
      <c r="H3492" s="1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1047</v>
      </c>
      <c r="N3492" t="b">
        <v>1</v>
      </c>
    </row>
    <row r="3493" spans="1:14" x14ac:dyDescent="0.3">
      <c r="A3493" t="s">
        <v>4539</v>
      </c>
      <c r="B3493" t="s">
        <v>550</v>
      </c>
      <c r="C3493" s="1">
        <v>45332</v>
      </c>
      <c r="E3493" t="s">
        <v>32</v>
      </c>
      <c r="F3493">
        <v>23</v>
      </c>
      <c r="G3493" s="12">
        <v>4577</v>
      </c>
      <c r="H3493" s="12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1047</v>
      </c>
      <c r="N3493" t="b">
        <v>1</v>
      </c>
    </row>
    <row r="3494" spans="1:14" x14ac:dyDescent="0.3">
      <c r="A3494" t="s">
        <v>4540</v>
      </c>
      <c r="B3494" t="s">
        <v>962</v>
      </c>
      <c r="C3494" s="1">
        <v>45299</v>
      </c>
      <c r="E3494" t="s">
        <v>15</v>
      </c>
      <c r="F3494">
        <v>19</v>
      </c>
      <c r="G3494" s="12">
        <v>361</v>
      </c>
      <c r="H3494" s="12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1050</v>
      </c>
      <c r="N3494" t="b">
        <v>0</v>
      </c>
    </row>
    <row r="3495" spans="1:14" x14ac:dyDescent="0.3">
      <c r="A3495" t="s">
        <v>4541</v>
      </c>
      <c r="B3495" t="s">
        <v>1002</v>
      </c>
      <c r="C3495" s="1">
        <v>45139</v>
      </c>
      <c r="E3495" t="s">
        <v>15</v>
      </c>
      <c r="F3495">
        <v>21</v>
      </c>
      <c r="G3495" s="12">
        <v>399</v>
      </c>
      <c r="H3495" s="12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1050</v>
      </c>
      <c r="N3495" t="b">
        <v>1</v>
      </c>
    </row>
    <row r="3496" spans="1:14" x14ac:dyDescent="0.3">
      <c r="A3496" t="s">
        <v>4542</v>
      </c>
      <c r="B3496" t="s">
        <v>104</v>
      </c>
      <c r="C3496" s="1">
        <v>45649</v>
      </c>
      <c r="E3496" t="s">
        <v>15</v>
      </c>
      <c r="F3496">
        <v>66</v>
      </c>
      <c r="G3496" s="12">
        <v>0</v>
      </c>
      <c r="H3496" s="12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1050</v>
      </c>
      <c r="N3496" t="b">
        <v>1</v>
      </c>
    </row>
    <row r="3497" spans="1:14" x14ac:dyDescent="0.3">
      <c r="A3497" t="s">
        <v>4543</v>
      </c>
      <c r="B3497" t="s">
        <v>240</v>
      </c>
      <c r="C3497" s="1">
        <v>45585</v>
      </c>
      <c r="E3497" t="s">
        <v>32</v>
      </c>
      <c r="F3497">
        <v>23</v>
      </c>
      <c r="G3497" s="12">
        <v>4577</v>
      </c>
      <c r="H3497" s="12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1047</v>
      </c>
      <c r="N3497" t="b">
        <v>1</v>
      </c>
    </row>
    <row r="3498" spans="1:14" x14ac:dyDescent="0.3">
      <c r="A3498" t="s">
        <v>4544</v>
      </c>
      <c r="B3498" t="s">
        <v>74</v>
      </c>
      <c r="C3498" s="1">
        <v>45529</v>
      </c>
      <c r="E3498" t="s">
        <v>15</v>
      </c>
      <c r="F3498">
        <v>86</v>
      </c>
      <c r="G3498" s="12">
        <v>1634</v>
      </c>
      <c r="H3498" s="12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1047</v>
      </c>
      <c r="N3498" t="b">
        <v>1</v>
      </c>
    </row>
    <row r="3499" spans="1:14" x14ac:dyDescent="0.3">
      <c r="A3499" t="s">
        <v>4545</v>
      </c>
      <c r="B3499" t="s">
        <v>976</v>
      </c>
      <c r="C3499" s="1">
        <v>45345</v>
      </c>
      <c r="E3499" t="s">
        <v>15</v>
      </c>
      <c r="F3499">
        <v>54</v>
      </c>
      <c r="G3499" s="12">
        <v>0</v>
      </c>
      <c r="H3499" s="12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1047</v>
      </c>
      <c r="N3499" t="b">
        <v>1</v>
      </c>
    </row>
    <row r="3500" spans="1:14" x14ac:dyDescent="0.3">
      <c r="A3500" t="s">
        <v>4546</v>
      </c>
      <c r="B3500" t="s">
        <v>704</v>
      </c>
      <c r="C3500" s="1">
        <v>45656</v>
      </c>
      <c r="E3500" t="s">
        <v>39</v>
      </c>
      <c r="F3500">
        <v>87</v>
      </c>
      <c r="G3500" s="12">
        <v>4263</v>
      </c>
      <c r="H3500" s="12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1047</v>
      </c>
      <c r="N3500" t="b">
        <v>1</v>
      </c>
    </row>
    <row r="3501" spans="1:14" x14ac:dyDescent="0.3">
      <c r="A3501" t="s">
        <v>4547</v>
      </c>
      <c r="B3501" t="s">
        <v>428</v>
      </c>
      <c r="C3501" s="1">
        <v>45276</v>
      </c>
      <c r="E3501" t="s">
        <v>39</v>
      </c>
      <c r="F3501">
        <v>11</v>
      </c>
      <c r="G3501" s="12">
        <v>539</v>
      </c>
      <c r="H3501" s="12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1050</v>
      </c>
      <c r="N3501" t="b">
        <v>1</v>
      </c>
    </row>
    <row r="3502" spans="1:14" x14ac:dyDescent="0.3">
      <c r="A3502" t="s">
        <v>4548</v>
      </c>
      <c r="B3502" t="s">
        <v>72</v>
      </c>
      <c r="C3502" s="1">
        <v>45563</v>
      </c>
      <c r="E3502" t="s">
        <v>15</v>
      </c>
      <c r="F3502">
        <v>10</v>
      </c>
      <c r="G3502" s="12">
        <v>0</v>
      </c>
      <c r="H3502" s="1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1047</v>
      </c>
      <c r="N3502" t="b">
        <v>1</v>
      </c>
    </row>
    <row r="3503" spans="1:14" x14ac:dyDescent="0.3">
      <c r="A3503" t="s">
        <v>4549</v>
      </c>
      <c r="B3503" t="s">
        <v>666</v>
      </c>
      <c r="C3503" s="1">
        <v>45578</v>
      </c>
      <c r="E3503" t="s">
        <v>39</v>
      </c>
      <c r="F3503">
        <v>21</v>
      </c>
      <c r="G3503" s="12">
        <v>1029</v>
      </c>
      <c r="H3503" s="12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1050</v>
      </c>
      <c r="N3503" t="b">
        <v>1</v>
      </c>
    </row>
    <row r="3504" spans="1:14" x14ac:dyDescent="0.3">
      <c r="A3504" t="s">
        <v>4550</v>
      </c>
      <c r="B3504" t="s">
        <v>238</v>
      </c>
      <c r="C3504" s="1">
        <v>45356</v>
      </c>
      <c r="E3504" t="s">
        <v>39</v>
      </c>
      <c r="F3504">
        <v>81</v>
      </c>
      <c r="G3504" s="12">
        <v>3969</v>
      </c>
      <c r="H3504" s="12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1047</v>
      </c>
      <c r="N3504" t="b">
        <v>1</v>
      </c>
    </row>
    <row r="3505" spans="1:14" x14ac:dyDescent="0.3">
      <c r="A3505" t="s">
        <v>4551</v>
      </c>
      <c r="B3505" t="s">
        <v>454</v>
      </c>
      <c r="C3505" s="1">
        <v>45452</v>
      </c>
      <c r="E3505" t="s">
        <v>39</v>
      </c>
      <c r="F3505">
        <v>15</v>
      </c>
      <c r="G3505" s="12">
        <v>735</v>
      </c>
      <c r="H3505" s="12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1050</v>
      </c>
      <c r="N3505" t="b">
        <v>1</v>
      </c>
    </row>
    <row r="3506" spans="1:14" x14ac:dyDescent="0.3">
      <c r="A3506" t="s">
        <v>4552</v>
      </c>
      <c r="B3506" t="s">
        <v>892</v>
      </c>
      <c r="C3506" s="1">
        <v>45359</v>
      </c>
      <c r="E3506" t="s">
        <v>39</v>
      </c>
      <c r="F3506">
        <v>27</v>
      </c>
      <c r="G3506" s="12">
        <v>0</v>
      </c>
      <c r="H3506" s="12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1050</v>
      </c>
      <c r="N3506" t="b">
        <v>1</v>
      </c>
    </row>
    <row r="3507" spans="1:14" x14ac:dyDescent="0.3">
      <c r="A3507" t="s">
        <v>4553</v>
      </c>
      <c r="B3507" t="s">
        <v>644</v>
      </c>
      <c r="C3507" s="1">
        <v>45451</v>
      </c>
      <c r="E3507" t="s">
        <v>32</v>
      </c>
      <c r="F3507">
        <v>13</v>
      </c>
      <c r="G3507" s="12">
        <v>2587</v>
      </c>
      <c r="H3507" s="12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1050</v>
      </c>
      <c r="N3507" t="b">
        <v>1</v>
      </c>
    </row>
    <row r="3508" spans="1:14" x14ac:dyDescent="0.3">
      <c r="A3508" t="s">
        <v>4554</v>
      </c>
      <c r="B3508" t="s">
        <v>70</v>
      </c>
      <c r="C3508" s="1">
        <v>45615</v>
      </c>
      <c r="E3508" t="s">
        <v>15</v>
      </c>
      <c r="F3508">
        <v>8</v>
      </c>
      <c r="G3508" s="12">
        <v>152</v>
      </c>
      <c r="H3508" s="12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1047</v>
      </c>
      <c r="N3508" t="b">
        <v>1</v>
      </c>
    </row>
    <row r="3509" spans="1:14" x14ac:dyDescent="0.3">
      <c r="A3509" t="s">
        <v>4555</v>
      </c>
      <c r="B3509" t="s">
        <v>102</v>
      </c>
      <c r="C3509" s="1">
        <v>45175</v>
      </c>
      <c r="E3509" t="s">
        <v>15</v>
      </c>
      <c r="F3509">
        <v>12</v>
      </c>
      <c r="G3509" s="12">
        <v>228</v>
      </c>
      <c r="H3509" s="12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1047</v>
      </c>
      <c r="N3509" t="b">
        <v>1</v>
      </c>
    </row>
    <row r="3510" spans="1:14" x14ac:dyDescent="0.3">
      <c r="A3510" t="s">
        <v>4556</v>
      </c>
      <c r="B3510" t="s">
        <v>952</v>
      </c>
      <c r="C3510" s="1">
        <v>45636</v>
      </c>
      <c r="E3510" t="s">
        <v>39</v>
      </c>
      <c r="F3510">
        <v>21</v>
      </c>
      <c r="G3510" s="12">
        <v>1029</v>
      </c>
      <c r="H3510" s="12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1047</v>
      </c>
      <c r="N3510" t="b">
        <v>1</v>
      </c>
    </row>
    <row r="3511" spans="1:14" x14ac:dyDescent="0.3">
      <c r="A3511" t="s">
        <v>4557</v>
      </c>
      <c r="B3511" t="s">
        <v>216</v>
      </c>
      <c r="C3511" s="1">
        <v>45647</v>
      </c>
      <c r="D3511" s="1">
        <v>45649</v>
      </c>
      <c r="E3511" t="s">
        <v>39</v>
      </c>
      <c r="F3511">
        <v>33</v>
      </c>
      <c r="G3511" s="12">
        <v>1617</v>
      </c>
      <c r="H3511" s="12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1050</v>
      </c>
      <c r="N3511" t="b">
        <v>1</v>
      </c>
    </row>
    <row r="3512" spans="1:14" x14ac:dyDescent="0.3">
      <c r="A3512" t="s">
        <v>4558</v>
      </c>
      <c r="B3512" t="s">
        <v>1008</v>
      </c>
      <c r="C3512" s="1">
        <v>45584</v>
      </c>
      <c r="E3512" t="s">
        <v>32</v>
      </c>
      <c r="F3512">
        <v>34</v>
      </c>
      <c r="G3512" s="12">
        <v>6766</v>
      </c>
      <c r="H3512" s="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1050</v>
      </c>
      <c r="N3512" t="b">
        <v>1</v>
      </c>
    </row>
    <row r="3513" spans="1:14" x14ac:dyDescent="0.3">
      <c r="A3513" t="s">
        <v>4559</v>
      </c>
      <c r="B3513" t="s">
        <v>320</v>
      </c>
      <c r="C3513" s="1">
        <v>45540</v>
      </c>
      <c r="D3513" s="1">
        <v>45576</v>
      </c>
      <c r="E3513" t="s">
        <v>39</v>
      </c>
      <c r="F3513">
        <v>24</v>
      </c>
      <c r="G3513" s="12">
        <v>0</v>
      </c>
      <c r="H3513" s="12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1050</v>
      </c>
      <c r="N3513" t="b">
        <v>0</v>
      </c>
    </row>
    <row r="3514" spans="1:14" x14ac:dyDescent="0.3">
      <c r="A3514" t="s">
        <v>4560</v>
      </c>
      <c r="B3514" t="s">
        <v>140</v>
      </c>
      <c r="C3514" s="1">
        <v>45421</v>
      </c>
      <c r="E3514" t="s">
        <v>39</v>
      </c>
      <c r="F3514">
        <v>36</v>
      </c>
      <c r="G3514" s="12">
        <v>1764</v>
      </c>
      <c r="H3514" s="12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1047</v>
      </c>
      <c r="N3514" t="b">
        <v>1</v>
      </c>
    </row>
    <row r="3515" spans="1:14" x14ac:dyDescent="0.3">
      <c r="A3515" t="s">
        <v>4561</v>
      </c>
      <c r="B3515" t="s">
        <v>1002</v>
      </c>
      <c r="C3515" s="1">
        <v>45037</v>
      </c>
      <c r="E3515" t="s">
        <v>32</v>
      </c>
      <c r="F3515">
        <v>12</v>
      </c>
      <c r="G3515" s="12">
        <v>2388</v>
      </c>
      <c r="H3515" s="12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1050</v>
      </c>
      <c r="N3515" t="b">
        <v>1</v>
      </c>
    </row>
    <row r="3516" spans="1:14" x14ac:dyDescent="0.3">
      <c r="A3516" t="s">
        <v>4562</v>
      </c>
      <c r="B3516" t="s">
        <v>234</v>
      </c>
      <c r="C3516" s="1">
        <v>45143</v>
      </c>
      <c r="E3516" t="s">
        <v>32</v>
      </c>
      <c r="F3516">
        <v>16</v>
      </c>
      <c r="G3516" s="12">
        <v>3184</v>
      </c>
      <c r="H3516" s="12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1047</v>
      </c>
      <c r="N3516" t="b">
        <v>0</v>
      </c>
    </row>
    <row r="3517" spans="1:14" x14ac:dyDescent="0.3">
      <c r="A3517" t="s">
        <v>4563</v>
      </c>
      <c r="B3517" t="s">
        <v>510</v>
      </c>
      <c r="C3517" s="1">
        <v>45561</v>
      </c>
      <c r="E3517" t="s">
        <v>15</v>
      </c>
      <c r="F3517">
        <v>55</v>
      </c>
      <c r="G3517" s="12">
        <v>1045</v>
      </c>
      <c r="H3517" s="12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1047</v>
      </c>
      <c r="N3517" t="b">
        <v>1</v>
      </c>
    </row>
    <row r="3518" spans="1:14" x14ac:dyDescent="0.3">
      <c r="A3518" t="s">
        <v>4564</v>
      </c>
      <c r="B3518" t="s">
        <v>264</v>
      </c>
      <c r="C3518" s="1">
        <v>45121</v>
      </c>
      <c r="E3518" t="s">
        <v>39</v>
      </c>
      <c r="F3518">
        <v>47</v>
      </c>
      <c r="G3518" s="12">
        <v>2303</v>
      </c>
      <c r="H3518" s="12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1047</v>
      </c>
      <c r="N3518" t="b">
        <v>0</v>
      </c>
    </row>
    <row r="3519" spans="1:14" x14ac:dyDescent="0.3">
      <c r="A3519" t="s">
        <v>4565</v>
      </c>
      <c r="B3519" t="s">
        <v>114</v>
      </c>
      <c r="C3519" s="1">
        <v>45068</v>
      </c>
      <c r="E3519" t="s">
        <v>15</v>
      </c>
      <c r="F3519">
        <v>34</v>
      </c>
      <c r="G3519" s="12">
        <v>646</v>
      </c>
      <c r="H3519" s="12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1050</v>
      </c>
      <c r="N3519" t="b">
        <v>0</v>
      </c>
    </row>
    <row r="3520" spans="1:14" x14ac:dyDescent="0.3">
      <c r="A3520" t="s">
        <v>4566</v>
      </c>
      <c r="B3520" t="s">
        <v>660</v>
      </c>
      <c r="C3520" s="1">
        <v>45344</v>
      </c>
      <c r="E3520" t="s">
        <v>39</v>
      </c>
      <c r="F3520">
        <v>17</v>
      </c>
      <c r="G3520" s="12">
        <v>833</v>
      </c>
      <c r="H3520" s="12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1047</v>
      </c>
      <c r="N3520" t="b">
        <v>1</v>
      </c>
    </row>
    <row r="3521" spans="1:14" x14ac:dyDescent="0.3">
      <c r="A3521" t="s">
        <v>4567</v>
      </c>
      <c r="B3521" t="s">
        <v>482</v>
      </c>
      <c r="C3521" s="1">
        <v>45622</v>
      </c>
      <c r="E3521" t="s">
        <v>32</v>
      </c>
      <c r="F3521">
        <v>69</v>
      </c>
      <c r="G3521" s="12">
        <v>13731</v>
      </c>
      <c r="H3521" s="12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1047</v>
      </c>
      <c r="N3521" t="b">
        <v>1</v>
      </c>
    </row>
    <row r="3522" spans="1:14" x14ac:dyDescent="0.3">
      <c r="A3522" t="s">
        <v>4568</v>
      </c>
      <c r="B3522" t="s">
        <v>816</v>
      </c>
      <c r="C3522" s="1">
        <v>45544</v>
      </c>
      <c r="E3522" t="s">
        <v>32</v>
      </c>
      <c r="F3522">
        <v>15</v>
      </c>
      <c r="G3522" s="12">
        <v>2985</v>
      </c>
      <c r="H3522" s="1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1050</v>
      </c>
      <c r="N3522" t="b">
        <v>1</v>
      </c>
    </row>
    <row r="3523" spans="1:14" x14ac:dyDescent="0.3">
      <c r="A3523" t="s">
        <v>4569</v>
      </c>
      <c r="B3523" t="s">
        <v>72</v>
      </c>
      <c r="C3523" s="1">
        <v>45527</v>
      </c>
      <c r="E3523" t="s">
        <v>15</v>
      </c>
      <c r="F3523">
        <v>20</v>
      </c>
      <c r="G3523" s="12">
        <v>380</v>
      </c>
      <c r="H3523" s="12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1050</v>
      </c>
      <c r="N3523" t="b">
        <v>0</v>
      </c>
    </row>
    <row r="3524" spans="1:14" x14ac:dyDescent="0.3">
      <c r="A3524" t="s">
        <v>4570</v>
      </c>
      <c r="B3524" t="s">
        <v>910</v>
      </c>
      <c r="C3524" s="1">
        <v>45642</v>
      </c>
      <c r="E3524" t="s">
        <v>15</v>
      </c>
      <c r="F3524">
        <v>84</v>
      </c>
      <c r="G3524" s="12">
        <v>1596</v>
      </c>
      <c r="H3524" s="12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1050</v>
      </c>
      <c r="N3524" t="b">
        <v>1</v>
      </c>
    </row>
    <row r="3525" spans="1:14" x14ac:dyDescent="0.3">
      <c r="A3525" t="s">
        <v>4571</v>
      </c>
      <c r="B3525" t="s">
        <v>502</v>
      </c>
      <c r="C3525" s="1">
        <v>45331</v>
      </c>
      <c r="E3525" t="s">
        <v>32</v>
      </c>
      <c r="F3525">
        <v>7</v>
      </c>
      <c r="G3525" s="12">
        <v>0</v>
      </c>
      <c r="H3525" s="12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1047</v>
      </c>
      <c r="N3525" t="b">
        <v>1</v>
      </c>
    </row>
    <row r="3526" spans="1:14" x14ac:dyDescent="0.3">
      <c r="A3526" t="s">
        <v>4572</v>
      </c>
      <c r="B3526" t="s">
        <v>430</v>
      </c>
      <c r="C3526" s="1">
        <v>45419</v>
      </c>
      <c r="E3526" t="s">
        <v>15</v>
      </c>
      <c r="F3526">
        <v>25</v>
      </c>
      <c r="G3526" s="12">
        <v>0</v>
      </c>
      <c r="H3526" s="12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1050</v>
      </c>
      <c r="N3526" t="b">
        <v>1</v>
      </c>
    </row>
    <row r="3527" spans="1:14" x14ac:dyDescent="0.3">
      <c r="A3527" t="s">
        <v>4573</v>
      </c>
      <c r="B3527" t="s">
        <v>546</v>
      </c>
      <c r="C3527" s="1">
        <v>45143</v>
      </c>
      <c r="E3527" t="s">
        <v>15</v>
      </c>
      <c r="F3527">
        <v>31</v>
      </c>
      <c r="G3527" s="12">
        <v>589</v>
      </c>
      <c r="H3527" s="12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1047</v>
      </c>
      <c r="N3527" t="b">
        <v>1</v>
      </c>
    </row>
    <row r="3528" spans="1:14" x14ac:dyDescent="0.3">
      <c r="A3528" t="s">
        <v>4574</v>
      </c>
      <c r="B3528" t="s">
        <v>672</v>
      </c>
      <c r="C3528" s="1">
        <v>45652</v>
      </c>
      <c r="E3528" t="s">
        <v>39</v>
      </c>
      <c r="F3528">
        <v>9</v>
      </c>
      <c r="G3528" s="12">
        <v>441</v>
      </c>
      <c r="H3528" s="12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1050</v>
      </c>
      <c r="N3528" t="b">
        <v>1</v>
      </c>
    </row>
    <row r="3529" spans="1:14" x14ac:dyDescent="0.3">
      <c r="A3529" t="s">
        <v>4575</v>
      </c>
      <c r="B3529" t="s">
        <v>51</v>
      </c>
      <c r="C3529" s="1">
        <v>45481</v>
      </c>
      <c r="E3529" t="s">
        <v>15</v>
      </c>
      <c r="F3529">
        <v>27</v>
      </c>
      <c r="G3529" s="12">
        <v>513</v>
      </c>
      <c r="H3529" s="12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1047</v>
      </c>
      <c r="N3529" t="b">
        <v>0</v>
      </c>
    </row>
    <row r="3530" spans="1:14" x14ac:dyDescent="0.3">
      <c r="A3530" t="s">
        <v>4576</v>
      </c>
      <c r="B3530" t="s">
        <v>646</v>
      </c>
      <c r="C3530" s="1">
        <v>45556</v>
      </c>
      <c r="E3530" t="s">
        <v>39</v>
      </c>
      <c r="F3530">
        <v>11</v>
      </c>
      <c r="G3530" s="12">
        <v>539</v>
      </c>
      <c r="H3530" s="12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1047</v>
      </c>
      <c r="N3530" t="b">
        <v>1</v>
      </c>
    </row>
    <row r="3531" spans="1:14" x14ac:dyDescent="0.3">
      <c r="A3531" t="s">
        <v>4577</v>
      </c>
      <c r="B3531" t="s">
        <v>176</v>
      </c>
      <c r="C3531" s="1">
        <v>45647</v>
      </c>
      <c r="E3531" t="s">
        <v>39</v>
      </c>
      <c r="F3531">
        <v>37</v>
      </c>
      <c r="G3531" s="12">
        <v>1813</v>
      </c>
      <c r="H3531" s="12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1047</v>
      </c>
      <c r="N3531" t="b">
        <v>1</v>
      </c>
    </row>
    <row r="3532" spans="1:14" x14ac:dyDescent="0.3">
      <c r="A3532" t="s">
        <v>4578</v>
      </c>
      <c r="B3532" t="s">
        <v>144</v>
      </c>
      <c r="C3532" s="1">
        <v>45657</v>
      </c>
      <c r="E3532" t="s">
        <v>15</v>
      </c>
      <c r="F3532">
        <v>41</v>
      </c>
      <c r="G3532" s="12">
        <v>779</v>
      </c>
      <c r="H3532" s="1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1050</v>
      </c>
      <c r="N3532" t="b">
        <v>0</v>
      </c>
    </row>
    <row r="3533" spans="1:14" x14ac:dyDescent="0.3">
      <c r="A3533" t="s">
        <v>4579</v>
      </c>
      <c r="B3533" t="s">
        <v>560</v>
      </c>
      <c r="C3533" s="1">
        <v>45635</v>
      </c>
      <c r="E3533" t="s">
        <v>15</v>
      </c>
      <c r="F3533">
        <v>41</v>
      </c>
      <c r="G3533" s="12">
        <v>779</v>
      </c>
      <c r="H3533" s="12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1047</v>
      </c>
      <c r="N3533" t="b">
        <v>0</v>
      </c>
    </row>
    <row r="3534" spans="1:14" x14ac:dyDescent="0.3">
      <c r="A3534" t="s">
        <v>4580</v>
      </c>
      <c r="B3534" t="s">
        <v>770</v>
      </c>
      <c r="C3534" s="1">
        <v>45541</v>
      </c>
      <c r="E3534" t="s">
        <v>39</v>
      </c>
      <c r="F3534">
        <v>33</v>
      </c>
      <c r="G3534" s="12">
        <v>1617</v>
      </c>
      <c r="H3534" s="12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1047</v>
      </c>
      <c r="N3534" t="b">
        <v>0</v>
      </c>
    </row>
    <row r="3535" spans="1:14" x14ac:dyDescent="0.3">
      <c r="A3535" t="s">
        <v>4581</v>
      </c>
      <c r="B3535" t="s">
        <v>176</v>
      </c>
      <c r="C3535" s="1">
        <v>45633</v>
      </c>
      <c r="D3535" s="1">
        <v>45640</v>
      </c>
      <c r="E3535" t="s">
        <v>32</v>
      </c>
      <c r="F3535">
        <v>37</v>
      </c>
      <c r="G3535" s="12">
        <v>7363</v>
      </c>
      <c r="H3535" s="12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1047</v>
      </c>
      <c r="N3535" t="b">
        <v>0</v>
      </c>
    </row>
    <row r="3536" spans="1:14" x14ac:dyDescent="0.3">
      <c r="A3536" t="s">
        <v>4582</v>
      </c>
      <c r="B3536" t="s">
        <v>420</v>
      </c>
      <c r="C3536" s="1">
        <v>45380</v>
      </c>
      <c r="E3536" t="s">
        <v>32</v>
      </c>
      <c r="F3536">
        <v>29</v>
      </c>
      <c r="G3536" s="12">
        <v>5771</v>
      </c>
      <c r="H3536" s="12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1047</v>
      </c>
      <c r="N3536" t="b">
        <v>1</v>
      </c>
    </row>
    <row r="3537" spans="1:14" x14ac:dyDescent="0.3">
      <c r="A3537" t="s">
        <v>4583</v>
      </c>
      <c r="B3537" t="s">
        <v>862</v>
      </c>
      <c r="C3537" s="1">
        <v>45379</v>
      </c>
      <c r="E3537" t="s">
        <v>32</v>
      </c>
      <c r="F3537">
        <v>50</v>
      </c>
      <c r="G3537" s="12">
        <v>9950</v>
      </c>
      <c r="H3537" s="12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1047</v>
      </c>
      <c r="N3537" t="b">
        <v>1</v>
      </c>
    </row>
    <row r="3538" spans="1:14" x14ac:dyDescent="0.3">
      <c r="A3538" t="s">
        <v>4584</v>
      </c>
      <c r="B3538" t="s">
        <v>906</v>
      </c>
      <c r="C3538" s="1">
        <v>45307</v>
      </c>
      <c r="D3538" s="1">
        <v>45325</v>
      </c>
      <c r="E3538" t="s">
        <v>32</v>
      </c>
      <c r="F3538">
        <v>12</v>
      </c>
      <c r="G3538" s="12">
        <v>2388</v>
      </c>
      <c r="H3538" s="12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1047</v>
      </c>
      <c r="N3538" t="b">
        <v>1</v>
      </c>
    </row>
    <row r="3539" spans="1:14" x14ac:dyDescent="0.3">
      <c r="A3539" t="s">
        <v>4585</v>
      </c>
      <c r="B3539" t="s">
        <v>47</v>
      </c>
      <c r="C3539" s="1">
        <v>45643</v>
      </c>
      <c r="E3539" t="s">
        <v>39</v>
      </c>
      <c r="F3539">
        <v>18</v>
      </c>
      <c r="G3539" s="12">
        <v>882</v>
      </c>
      <c r="H3539" s="12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1050</v>
      </c>
      <c r="N3539" t="b">
        <v>1</v>
      </c>
    </row>
    <row r="3540" spans="1:14" x14ac:dyDescent="0.3">
      <c r="A3540" t="s">
        <v>4586</v>
      </c>
      <c r="B3540" t="s">
        <v>318</v>
      </c>
      <c r="C3540" s="1">
        <v>45554</v>
      </c>
      <c r="E3540" t="s">
        <v>32</v>
      </c>
      <c r="F3540">
        <v>19</v>
      </c>
      <c r="G3540" s="12">
        <v>0</v>
      </c>
      <c r="H3540" s="12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1050</v>
      </c>
      <c r="N3540" t="b">
        <v>1</v>
      </c>
    </row>
    <row r="3541" spans="1:14" x14ac:dyDescent="0.3">
      <c r="A3541" t="s">
        <v>4587</v>
      </c>
      <c r="B3541" t="s">
        <v>490</v>
      </c>
      <c r="C3541" s="1">
        <v>45575</v>
      </c>
      <c r="E3541" t="s">
        <v>32</v>
      </c>
      <c r="F3541">
        <v>26</v>
      </c>
      <c r="G3541" s="12">
        <v>0</v>
      </c>
      <c r="H3541" s="12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1050</v>
      </c>
      <c r="N3541" t="b">
        <v>0</v>
      </c>
    </row>
    <row r="3542" spans="1:14" x14ac:dyDescent="0.3">
      <c r="A3542" t="s">
        <v>4588</v>
      </c>
      <c r="B3542" t="s">
        <v>656</v>
      </c>
      <c r="C3542" s="1">
        <v>45507</v>
      </c>
      <c r="E3542" t="s">
        <v>39</v>
      </c>
      <c r="F3542">
        <v>22</v>
      </c>
      <c r="G3542" s="12">
        <v>0</v>
      </c>
      <c r="H3542" s="1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1050</v>
      </c>
      <c r="N3542" t="b">
        <v>1</v>
      </c>
    </row>
    <row r="3543" spans="1:14" x14ac:dyDescent="0.3">
      <c r="A3543" t="s">
        <v>4589</v>
      </c>
      <c r="B3543" t="s">
        <v>520</v>
      </c>
      <c r="C3543" s="1">
        <v>45570</v>
      </c>
      <c r="E3543" t="s">
        <v>39</v>
      </c>
      <c r="F3543">
        <v>43</v>
      </c>
      <c r="G3543" s="12">
        <v>2107</v>
      </c>
      <c r="H3543" s="12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1050</v>
      </c>
      <c r="N3543" t="b">
        <v>0</v>
      </c>
    </row>
    <row r="3544" spans="1:14" x14ac:dyDescent="0.3">
      <c r="A3544" t="s">
        <v>4590</v>
      </c>
      <c r="B3544" t="s">
        <v>258</v>
      </c>
      <c r="C3544" s="1">
        <v>45459</v>
      </c>
      <c r="E3544" t="s">
        <v>39</v>
      </c>
      <c r="F3544">
        <v>37</v>
      </c>
      <c r="G3544" s="12">
        <v>1813</v>
      </c>
      <c r="H3544" s="12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1047</v>
      </c>
      <c r="N3544" t="b">
        <v>0</v>
      </c>
    </row>
    <row r="3545" spans="1:14" x14ac:dyDescent="0.3">
      <c r="A3545" t="s">
        <v>4591</v>
      </c>
      <c r="B3545" t="s">
        <v>1016</v>
      </c>
      <c r="C3545" s="1">
        <v>45567</v>
      </c>
      <c r="E3545" t="s">
        <v>39</v>
      </c>
      <c r="F3545">
        <v>11</v>
      </c>
      <c r="G3545" s="12">
        <v>539</v>
      </c>
      <c r="H3545" s="12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1047</v>
      </c>
      <c r="N3545" t="b">
        <v>0</v>
      </c>
    </row>
    <row r="3546" spans="1:14" x14ac:dyDescent="0.3">
      <c r="A3546" t="s">
        <v>4592</v>
      </c>
      <c r="B3546" t="s">
        <v>406</v>
      </c>
      <c r="C3546" s="1">
        <v>45383</v>
      </c>
      <c r="D3546" s="1">
        <v>45536</v>
      </c>
      <c r="E3546" t="s">
        <v>39</v>
      </c>
      <c r="F3546">
        <v>58</v>
      </c>
      <c r="G3546" s="12">
        <v>2842</v>
      </c>
      <c r="H3546" s="12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1047</v>
      </c>
      <c r="N3546" t="b">
        <v>1</v>
      </c>
    </row>
    <row r="3547" spans="1:14" x14ac:dyDescent="0.3">
      <c r="A3547" t="s">
        <v>4593</v>
      </c>
      <c r="B3547" t="s">
        <v>70</v>
      </c>
      <c r="C3547" s="1">
        <v>45618</v>
      </c>
      <c r="E3547" t="s">
        <v>39</v>
      </c>
      <c r="F3547">
        <v>12</v>
      </c>
      <c r="G3547" s="12">
        <v>588</v>
      </c>
      <c r="H3547" s="12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1047</v>
      </c>
      <c r="N3547" t="b">
        <v>0</v>
      </c>
    </row>
    <row r="3548" spans="1:14" x14ac:dyDescent="0.3">
      <c r="A3548" t="s">
        <v>4594</v>
      </c>
      <c r="B3548" t="s">
        <v>440</v>
      </c>
      <c r="C3548" s="1">
        <v>45610</v>
      </c>
      <c r="E3548" t="s">
        <v>32</v>
      </c>
      <c r="F3548">
        <v>50</v>
      </c>
      <c r="G3548" s="12">
        <v>9950</v>
      </c>
      <c r="H3548" s="12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1050</v>
      </c>
      <c r="N3548" t="b">
        <v>1</v>
      </c>
    </row>
    <row r="3549" spans="1:14" x14ac:dyDescent="0.3">
      <c r="A3549" t="s">
        <v>4595</v>
      </c>
      <c r="B3549" t="s">
        <v>242</v>
      </c>
      <c r="C3549" s="1">
        <v>45652</v>
      </c>
      <c r="E3549" t="s">
        <v>39</v>
      </c>
      <c r="F3549">
        <v>6</v>
      </c>
      <c r="G3549" s="12">
        <v>0</v>
      </c>
      <c r="H3549" s="12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1050</v>
      </c>
      <c r="N3549" t="b">
        <v>0</v>
      </c>
    </row>
    <row r="3550" spans="1:14" x14ac:dyDescent="0.3">
      <c r="A3550" t="s">
        <v>4596</v>
      </c>
      <c r="B3550" t="s">
        <v>500</v>
      </c>
      <c r="C3550" s="1">
        <v>45609</v>
      </c>
      <c r="E3550" t="s">
        <v>39</v>
      </c>
      <c r="F3550">
        <v>92</v>
      </c>
      <c r="G3550" s="12">
        <v>4508</v>
      </c>
      <c r="H3550" s="12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1050</v>
      </c>
      <c r="N3550" t="b">
        <v>1</v>
      </c>
    </row>
    <row r="3551" spans="1:14" x14ac:dyDescent="0.3">
      <c r="A3551" t="s">
        <v>4597</v>
      </c>
      <c r="B3551" t="s">
        <v>504</v>
      </c>
      <c r="C3551" s="1">
        <v>45434</v>
      </c>
      <c r="E3551" t="s">
        <v>39</v>
      </c>
      <c r="F3551">
        <v>37</v>
      </c>
      <c r="G3551" s="12">
        <v>1813</v>
      </c>
      <c r="H3551" s="12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1050</v>
      </c>
      <c r="N3551" t="b">
        <v>1</v>
      </c>
    </row>
    <row r="3552" spans="1:14" x14ac:dyDescent="0.3">
      <c r="A3552" t="s">
        <v>4598</v>
      </c>
      <c r="B3552" t="s">
        <v>710</v>
      </c>
      <c r="C3552" s="1">
        <v>45522</v>
      </c>
      <c r="E3552" t="s">
        <v>15</v>
      </c>
      <c r="F3552">
        <v>23</v>
      </c>
      <c r="G3552" s="12">
        <v>437</v>
      </c>
      <c r="H3552" s="1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1047</v>
      </c>
      <c r="N3552" t="b">
        <v>1</v>
      </c>
    </row>
    <row r="3553" spans="1:14" x14ac:dyDescent="0.3">
      <c r="A3553" t="s">
        <v>4599</v>
      </c>
      <c r="B3553" t="s">
        <v>280</v>
      </c>
      <c r="C3553" s="1">
        <v>45176</v>
      </c>
      <c r="E3553" t="s">
        <v>32</v>
      </c>
      <c r="F3553">
        <v>13</v>
      </c>
      <c r="G3553" s="12">
        <v>2587</v>
      </c>
      <c r="H3553" s="12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1047</v>
      </c>
      <c r="N3553" t="b">
        <v>1</v>
      </c>
    </row>
    <row r="3554" spans="1:14" x14ac:dyDescent="0.3">
      <c r="A3554" t="s">
        <v>4600</v>
      </c>
      <c r="B3554" t="s">
        <v>612</v>
      </c>
      <c r="C3554" s="1">
        <v>45583</v>
      </c>
      <c r="E3554" t="s">
        <v>32</v>
      </c>
      <c r="F3554">
        <v>10</v>
      </c>
      <c r="G3554" s="12">
        <v>1990</v>
      </c>
      <c r="H3554" s="12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1050</v>
      </c>
      <c r="N3554" t="b">
        <v>1</v>
      </c>
    </row>
    <row r="3555" spans="1:14" x14ac:dyDescent="0.3">
      <c r="A3555" t="s">
        <v>4601</v>
      </c>
      <c r="B3555" t="s">
        <v>950</v>
      </c>
      <c r="C3555" s="1">
        <v>45591</v>
      </c>
      <c r="E3555" t="s">
        <v>32</v>
      </c>
      <c r="F3555">
        <v>14</v>
      </c>
      <c r="G3555" s="12">
        <v>2786</v>
      </c>
      <c r="H3555" s="12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1050</v>
      </c>
      <c r="N3555" t="b">
        <v>1</v>
      </c>
    </row>
    <row r="3556" spans="1:14" x14ac:dyDescent="0.3">
      <c r="A3556" t="s">
        <v>4602</v>
      </c>
      <c r="B3556" t="s">
        <v>412</v>
      </c>
      <c r="C3556" s="1">
        <v>45494</v>
      </c>
      <c r="E3556" t="s">
        <v>15</v>
      </c>
      <c r="F3556">
        <v>19</v>
      </c>
      <c r="G3556" s="12">
        <v>361</v>
      </c>
      <c r="H3556" s="12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1050</v>
      </c>
      <c r="N3556" t="b">
        <v>1</v>
      </c>
    </row>
    <row r="3557" spans="1:14" x14ac:dyDescent="0.3">
      <c r="A3557" t="s">
        <v>4603</v>
      </c>
      <c r="B3557" t="s">
        <v>174</v>
      </c>
      <c r="C3557" s="1">
        <v>45445</v>
      </c>
      <c r="E3557" t="s">
        <v>15</v>
      </c>
      <c r="F3557">
        <v>30</v>
      </c>
      <c r="G3557" s="12">
        <v>570</v>
      </c>
      <c r="H3557" s="12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1050</v>
      </c>
      <c r="N3557" t="b">
        <v>1</v>
      </c>
    </row>
    <row r="3558" spans="1:14" x14ac:dyDescent="0.3">
      <c r="A3558" t="s">
        <v>4604</v>
      </c>
      <c r="B3558" t="s">
        <v>336</v>
      </c>
      <c r="C3558" s="1">
        <v>45645</v>
      </c>
      <c r="E3558" t="s">
        <v>32</v>
      </c>
      <c r="F3558">
        <v>2</v>
      </c>
      <c r="G3558" s="12">
        <v>398</v>
      </c>
      <c r="H3558" s="12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1050</v>
      </c>
      <c r="N3558" t="b">
        <v>0</v>
      </c>
    </row>
    <row r="3559" spans="1:14" x14ac:dyDescent="0.3">
      <c r="A3559" t="s">
        <v>4605</v>
      </c>
      <c r="B3559" t="s">
        <v>80</v>
      </c>
      <c r="C3559" s="1">
        <v>45286</v>
      </c>
      <c r="E3559" t="s">
        <v>15</v>
      </c>
      <c r="F3559">
        <v>19</v>
      </c>
      <c r="G3559" s="12">
        <v>361</v>
      </c>
      <c r="H3559" s="12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1050</v>
      </c>
      <c r="N3559" t="b">
        <v>1</v>
      </c>
    </row>
    <row r="3560" spans="1:14" x14ac:dyDescent="0.3">
      <c r="A3560" t="s">
        <v>4606</v>
      </c>
      <c r="B3560" t="s">
        <v>594</v>
      </c>
      <c r="C3560" s="1">
        <v>45365</v>
      </c>
      <c r="E3560" t="s">
        <v>32</v>
      </c>
      <c r="F3560">
        <v>10</v>
      </c>
      <c r="G3560" s="12">
        <v>1990</v>
      </c>
      <c r="H3560" s="12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1050</v>
      </c>
      <c r="N3560" t="b">
        <v>1</v>
      </c>
    </row>
    <row r="3561" spans="1:14" x14ac:dyDescent="0.3">
      <c r="A3561" t="s">
        <v>4607</v>
      </c>
      <c r="B3561" t="s">
        <v>988</v>
      </c>
      <c r="C3561" s="1">
        <v>45597</v>
      </c>
      <c r="E3561" t="s">
        <v>39</v>
      </c>
      <c r="F3561">
        <v>24</v>
      </c>
      <c r="G3561" s="12">
        <v>1176</v>
      </c>
      <c r="H3561" s="12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1047</v>
      </c>
      <c r="N3561" t="b">
        <v>1</v>
      </c>
    </row>
    <row r="3562" spans="1:14" x14ac:dyDescent="0.3">
      <c r="A3562" t="s">
        <v>4608</v>
      </c>
      <c r="B3562" t="s">
        <v>994</v>
      </c>
      <c r="C3562" s="1">
        <v>45572</v>
      </c>
      <c r="E3562" t="s">
        <v>15</v>
      </c>
      <c r="F3562">
        <v>23</v>
      </c>
      <c r="G3562" s="12">
        <v>437</v>
      </c>
      <c r="H3562" s="1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1047</v>
      </c>
      <c r="N3562" t="b">
        <v>1</v>
      </c>
    </row>
    <row r="3563" spans="1:14" x14ac:dyDescent="0.3">
      <c r="A3563" t="s">
        <v>4609</v>
      </c>
      <c r="B3563" t="s">
        <v>424</v>
      </c>
      <c r="C3563" s="1">
        <v>45537</v>
      </c>
      <c r="E3563" t="s">
        <v>32</v>
      </c>
      <c r="F3563">
        <v>28</v>
      </c>
      <c r="G3563" s="12">
        <v>5572</v>
      </c>
      <c r="H3563" s="12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1047</v>
      </c>
      <c r="N3563" t="b">
        <v>1</v>
      </c>
    </row>
    <row r="3564" spans="1:14" x14ac:dyDescent="0.3">
      <c r="A3564" t="s">
        <v>4610</v>
      </c>
      <c r="B3564" t="s">
        <v>308</v>
      </c>
      <c r="C3564" s="1">
        <v>45636</v>
      </c>
      <c r="E3564" t="s">
        <v>32</v>
      </c>
      <c r="F3564">
        <v>22</v>
      </c>
      <c r="G3564" s="12">
        <v>4378</v>
      </c>
      <c r="H3564" s="12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1047</v>
      </c>
      <c r="N3564" t="b">
        <v>1</v>
      </c>
    </row>
    <row r="3565" spans="1:14" x14ac:dyDescent="0.3">
      <c r="A3565" t="s">
        <v>4611</v>
      </c>
      <c r="B3565" t="s">
        <v>686</v>
      </c>
      <c r="C3565" s="1">
        <v>45601</v>
      </c>
      <c r="E3565" t="s">
        <v>32</v>
      </c>
      <c r="F3565">
        <v>26</v>
      </c>
      <c r="G3565" s="12">
        <v>5174</v>
      </c>
      <c r="H3565" s="12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1047</v>
      </c>
      <c r="N3565" t="b">
        <v>0</v>
      </c>
    </row>
    <row r="3566" spans="1:14" x14ac:dyDescent="0.3">
      <c r="A3566" t="s">
        <v>4612</v>
      </c>
      <c r="B3566" t="s">
        <v>184</v>
      </c>
      <c r="C3566" s="1">
        <v>45462</v>
      </c>
      <c r="E3566" t="s">
        <v>39</v>
      </c>
      <c r="F3566">
        <v>115</v>
      </c>
      <c r="G3566" s="12">
        <v>5635</v>
      </c>
      <c r="H3566" s="12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1050</v>
      </c>
      <c r="N3566" t="b">
        <v>1</v>
      </c>
    </row>
    <row r="3567" spans="1:14" x14ac:dyDescent="0.3">
      <c r="A3567" t="s">
        <v>4613</v>
      </c>
      <c r="B3567" t="s">
        <v>280</v>
      </c>
      <c r="C3567" s="1">
        <v>45087</v>
      </c>
      <c r="E3567" t="s">
        <v>39</v>
      </c>
      <c r="F3567">
        <v>29</v>
      </c>
      <c r="G3567" s="12">
        <v>0</v>
      </c>
      <c r="H3567" s="12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1050</v>
      </c>
      <c r="N3567" t="b">
        <v>1</v>
      </c>
    </row>
    <row r="3568" spans="1:14" x14ac:dyDescent="0.3">
      <c r="A3568" t="s">
        <v>4614</v>
      </c>
      <c r="B3568" t="s">
        <v>654</v>
      </c>
      <c r="C3568" s="1">
        <v>45647</v>
      </c>
      <c r="D3568" s="1">
        <v>45657</v>
      </c>
      <c r="E3568" t="s">
        <v>32</v>
      </c>
      <c r="F3568">
        <v>23</v>
      </c>
      <c r="G3568" s="12">
        <v>4577</v>
      </c>
      <c r="H3568" s="12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1047</v>
      </c>
      <c r="N3568" t="b">
        <v>1</v>
      </c>
    </row>
    <row r="3569" spans="1:14" x14ac:dyDescent="0.3">
      <c r="A3569" t="s">
        <v>4615</v>
      </c>
      <c r="B3569" t="s">
        <v>722</v>
      </c>
      <c r="C3569" s="1">
        <v>45080</v>
      </c>
      <c r="E3569" t="s">
        <v>15</v>
      </c>
      <c r="F3569">
        <v>51</v>
      </c>
      <c r="G3569" s="12">
        <v>969</v>
      </c>
      <c r="H3569" s="12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1047</v>
      </c>
      <c r="N3569" t="b">
        <v>0</v>
      </c>
    </row>
    <row r="3570" spans="1:14" x14ac:dyDescent="0.3">
      <c r="A3570" t="s">
        <v>4616</v>
      </c>
      <c r="B3570" t="s">
        <v>47</v>
      </c>
      <c r="C3570" s="1">
        <v>45561</v>
      </c>
      <c r="E3570" t="s">
        <v>15</v>
      </c>
      <c r="F3570">
        <v>30</v>
      </c>
      <c r="G3570" s="12">
        <v>0</v>
      </c>
      <c r="H3570" s="12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1050</v>
      </c>
      <c r="N3570" t="b">
        <v>1</v>
      </c>
    </row>
    <row r="3571" spans="1:14" x14ac:dyDescent="0.3">
      <c r="A3571" t="s">
        <v>4617</v>
      </c>
      <c r="B3571" t="s">
        <v>902</v>
      </c>
      <c r="C3571" s="1">
        <v>45542</v>
      </c>
      <c r="E3571" t="s">
        <v>39</v>
      </c>
      <c r="F3571">
        <v>23</v>
      </c>
      <c r="G3571" s="12">
        <v>1127</v>
      </c>
      <c r="H3571" s="12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1050</v>
      </c>
      <c r="N3571" t="b">
        <v>1</v>
      </c>
    </row>
    <row r="3572" spans="1:14" x14ac:dyDescent="0.3">
      <c r="A3572" t="s">
        <v>4618</v>
      </c>
      <c r="B3572" t="s">
        <v>236</v>
      </c>
      <c r="C3572" s="1">
        <v>45176</v>
      </c>
      <c r="D3572" s="1">
        <v>45333</v>
      </c>
      <c r="E3572" t="s">
        <v>15</v>
      </c>
      <c r="F3572">
        <v>35</v>
      </c>
      <c r="G3572" s="12">
        <v>665</v>
      </c>
      <c r="H3572" s="1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1047</v>
      </c>
      <c r="N3572" t="b">
        <v>1</v>
      </c>
    </row>
    <row r="3573" spans="1:14" x14ac:dyDescent="0.3">
      <c r="A3573" t="s">
        <v>4619</v>
      </c>
      <c r="B3573" t="s">
        <v>400</v>
      </c>
      <c r="C3573" s="1">
        <v>45656</v>
      </c>
      <c r="E3573" t="s">
        <v>39</v>
      </c>
      <c r="F3573">
        <v>10</v>
      </c>
      <c r="G3573" s="12">
        <v>490</v>
      </c>
      <c r="H3573" s="12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1050</v>
      </c>
      <c r="N3573" t="b">
        <v>1</v>
      </c>
    </row>
    <row r="3574" spans="1:14" x14ac:dyDescent="0.3">
      <c r="A3574" t="s">
        <v>4620</v>
      </c>
      <c r="B3574" t="s">
        <v>516</v>
      </c>
      <c r="C3574" s="1">
        <v>45490</v>
      </c>
      <c r="E3574" t="s">
        <v>32</v>
      </c>
      <c r="F3574">
        <v>41</v>
      </c>
      <c r="G3574" s="12">
        <v>8159</v>
      </c>
      <c r="H3574" s="12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1047</v>
      </c>
      <c r="N3574" t="b">
        <v>1</v>
      </c>
    </row>
    <row r="3575" spans="1:14" x14ac:dyDescent="0.3">
      <c r="A3575" t="s">
        <v>4621</v>
      </c>
      <c r="B3575" t="s">
        <v>326</v>
      </c>
      <c r="C3575" s="1">
        <v>45630</v>
      </c>
      <c r="E3575" t="s">
        <v>15</v>
      </c>
      <c r="F3575">
        <v>33</v>
      </c>
      <c r="G3575" s="12">
        <v>627</v>
      </c>
      <c r="H3575" s="12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1047</v>
      </c>
      <c r="N3575" t="b">
        <v>1</v>
      </c>
    </row>
    <row r="3576" spans="1:14" x14ac:dyDescent="0.3">
      <c r="A3576" t="s">
        <v>4622</v>
      </c>
      <c r="B3576" t="s">
        <v>952</v>
      </c>
      <c r="C3576" s="1">
        <v>45472</v>
      </c>
      <c r="E3576" t="s">
        <v>15</v>
      </c>
      <c r="F3576">
        <v>9</v>
      </c>
      <c r="G3576" s="12">
        <v>171</v>
      </c>
      <c r="H3576" s="12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1050</v>
      </c>
      <c r="N3576" t="b">
        <v>0</v>
      </c>
    </row>
    <row r="3577" spans="1:14" x14ac:dyDescent="0.3">
      <c r="A3577" t="s">
        <v>4623</v>
      </c>
      <c r="B3577" t="s">
        <v>150</v>
      </c>
      <c r="C3577" s="1">
        <v>45604</v>
      </c>
      <c r="E3577" t="s">
        <v>32</v>
      </c>
      <c r="F3577">
        <v>9</v>
      </c>
      <c r="G3577" s="12">
        <v>1791</v>
      </c>
      <c r="H3577" s="12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1050</v>
      </c>
      <c r="N3577" t="b">
        <v>1</v>
      </c>
    </row>
    <row r="3578" spans="1:14" x14ac:dyDescent="0.3">
      <c r="A3578" t="s">
        <v>4624</v>
      </c>
      <c r="B3578" t="s">
        <v>192</v>
      </c>
      <c r="C3578" s="1">
        <v>45630</v>
      </c>
      <c r="D3578" s="1">
        <v>45650</v>
      </c>
      <c r="E3578" t="s">
        <v>32</v>
      </c>
      <c r="F3578">
        <v>9</v>
      </c>
      <c r="G3578" s="12">
        <v>1791</v>
      </c>
      <c r="H3578" s="12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1050</v>
      </c>
      <c r="N3578" t="b">
        <v>0</v>
      </c>
    </row>
    <row r="3579" spans="1:14" x14ac:dyDescent="0.3">
      <c r="A3579" t="s">
        <v>4625</v>
      </c>
      <c r="B3579" t="s">
        <v>746</v>
      </c>
      <c r="C3579" s="1">
        <v>45439</v>
      </c>
      <c r="D3579" s="1">
        <v>45656</v>
      </c>
      <c r="E3579" t="s">
        <v>32</v>
      </c>
      <c r="F3579">
        <v>87</v>
      </c>
      <c r="G3579" s="12">
        <v>17313</v>
      </c>
      <c r="H3579" s="12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1047</v>
      </c>
      <c r="N3579" t="b">
        <v>1</v>
      </c>
    </row>
    <row r="3580" spans="1:14" x14ac:dyDescent="0.3">
      <c r="A3580" t="s">
        <v>4626</v>
      </c>
      <c r="B3580" t="s">
        <v>1028</v>
      </c>
      <c r="C3580" s="1">
        <v>45553</v>
      </c>
      <c r="E3580" t="s">
        <v>32</v>
      </c>
      <c r="F3580">
        <v>12</v>
      </c>
      <c r="G3580" s="12">
        <v>2388</v>
      </c>
      <c r="H3580" s="12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1047</v>
      </c>
      <c r="N3580" t="b">
        <v>1</v>
      </c>
    </row>
    <row r="3581" spans="1:14" x14ac:dyDescent="0.3">
      <c r="A3581" t="s">
        <v>4627</v>
      </c>
      <c r="B3581" t="s">
        <v>960</v>
      </c>
      <c r="C3581" s="1">
        <v>45579</v>
      </c>
      <c r="E3581" t="s">
        <v>15</v>
      </c>
      <c r="F3581">
        <v>35</v>
      </c>
      <c r="G3581" s="12">
        <v>665</v>
      </c>
      <c r="H3581" s="12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1047</v>
      </c>
      <c r="N3581" t="b">
        <v>1</v>
      </c>
    </row>
    <row r="3582" spans="1:14" x14ac:dyDescent="0.3">
      <c r="A3582" t="s">
        <v>4628</v>
      </c>
      <c r="B3582" t="s">
        <v>168</v>
      </c>
      <c r="C3582" s="1">
        <v>45580</v>
      </c>
      <c r="E3582" t="s">
        <v>39</v>
      </c>
      <c r="F3582">
        <v>26</v>
      </c>
      <c r="G3582" s="12">
        <v>1274</v>
      </c>
      <c r="H3582" s="1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1050</v>
      </c>
      <c r="N3582" t="b">
        <v>1</v>
      </c>
    </row>
    <row r="3583" spans="1:14" x14ac:dyDescent="0.3">
      <c r="A3583" t="s">
        <v>4629</v>
      </c>
      <c r="B3583" t="s">
        <v>518</v>
      </c>
      <c r="C3583" s="1">
        <v>45126</v>
      </c>
      <c r="E3583" t="s">
        <v>15</v>
      </c>
      <c r="F3583">
        <v>21</v>
      </c>
      <c r="G3583" s="12">
        <v>0</v>
      </c>
      <c r="H3583" s="12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1050</v>
      </c>
      <c r="N3583" t="b">
        <v>1</v>
      </c>
    </row>
    <row r="3584" spans="1:14" x14ac:dyDescent="0.3">
      <c r="A3584" t="s">
        <v>4630</v>
      </c>
      <c r="B3584" t="s">
        <v>982</v>
      </c>
      <c r="C3584" s="1">
        <v>45534</v>
      </c>
      <c r="E3584" t="s">
        <v>32</v>
      </c>
      <c r="F3584">
        <v>20</v>
      </c>
      <c r="G3584" s="12">
        <v>0</v>
      </c>
      <c r="H3584" s="12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1047</v>
      </c>
      <c r="N3584" t="b">
        <v>0</v>
      </c>
    </row>
    <row r="3585" spans="1:14" x14ac:dyDescent="0.3">
      <c r="A3585" t="s">
        <v>4631</v>
      </c>
      <c r="B3585" t="s">
        <v>488</v>
      </c>
      <c r="C3585" s="1">
        <v>45649</v>
      </c>
      <c r="E3585" t="s">
        <v>15</v>
      </c>
      <c r="F3585">
        <v>28</v>
      </c>
      <c r="G3585" s="12">
        <v>532</v>
      </c>
      <c r="H3585" s="12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1050</v>
      </c>
      <c r="N3585" t="b">
        <v>1</v>
      </c>
    </row>
    <row r="3586" spans="1:14" x14ac:dyDescent="0.3">
      <c r="A3586" t="s">
        <v>4632</v>
      </c>
      <c r="B3586" t="s">
        <v>998</v>
      </c>
      <c r="C3586" s="1">
        <v>45563</v>
      </c>
      <c r="E3586" t="s">
        <v>39</v>
      </c>
      <c r="F3586">
        <v>40</v>
      </c>
      <c r="G3586" s="12">
        <v>0</v>
      </c>
      <c r="H3586" s="12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1050</v>
      </c>
      <c r="N3586" t="b">
        <v>0</v>
      </c>
    </row>
    <row r="3587" spans="1:14" x14ac:dyDescent="0.3">
      <c r="A3587" t="s">
        <v>4633</v>
      </c>
      <c r="B3587" t="s">
        <v>116</v>
      </c>
      <c r="C3587" s="1">
        <v>45377</v>
      </c>
      <c r="E3587" t="s">
        <v>15</v>
      </c>
      <c r="F3587">
        <v>95</v>
      </c>
      <c r="G3587" s="12">
        <v>1805</v>
      </c>
      <c r="H3587" s="12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1047</v>
      </c>
      <c r="N3587" t="b">
        <v>1</v>
      </c>
    </row>
    <row r="3588" spans="1:14" x14ac:dyDescent="0.3">
      <c r="A3588" t="s">
        <v>4634</v>
      </c>
      <c r="B3588" t="s">
        <v>168</v>
      </c>
      <c r="C3588" s="1">
        <v>45642</v>
      </c>
      <c r="E3588" t="s">
        <v>39</v>
      </c>
      <c r="F3588">
        <v>30</v>
      </c>
      <c r="G3588" s="12">
        <v>1470</v>
      </c>
      <c r="H3588" s="12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1050</v>
      </c>
      <c r="N3588" t="b">
        <v>1</v>
      </c>
    </row>
    <row r="3589" spans="1:14" x14ac:dyDescent="0.3">
      <c r="A3589" t="s">
        <v>4635</v>
      </c>
      <c r="B3589" t="s">
        <v>968</v>
      </c>
      <c r="C3589" s="1">
        <v>45223</v>
      </c>
      <c r="E3589" t="s">
        <v>15</v>
      </c>
      <c r="F3589">
        <v>32</v>
      </c>
      <c r="G3589" s="12">
        <v>608</v>
      </c>
      <c r="H3589" s="12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1047</v>
      </c>
      <c r="N3589" t="b">
        <v>1</v>
      </c>
    </row>
    <row r="3590" spans="1:14" x14ac:dyDescent="0.3">
      <c r="A3590" t="s">
        <v>4636</v>
      </c>
      <c r="B3590" t="s">
        <v>1014</v>
      </c>
      <c r="C3590" s="1">
        <v>45636</v>
      </c>
      <c r="E3590" t="s">
        <v>39</v>
      </c>
      <c r="F3590">
        <v>32</v>
      </c>
      <c r="G3590" s="12">
        <v>0</v>
      </c>
      <c r="H3590" s="12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1050</v>
      </c>
      <c r="N3590" t="b">
        <v>1</v>
      </c>
    </row>
    <row r="3591" spans="1:14" x14ac:dyDescent="0.3">
      <c r="A3591" t="s">
        <v>4637</v>
      </c>
      <c r="B3591" t="s">
        <v>758</v>
      </c>
      <c r="C3591" s="1">
        <v>45444</v>
      </c>
      <c r="E3591" t="s">
        <v>39</v>
      </c>
      <c r="F3591">
        <v>18</v>
      </c>
      <c r="G3591" s="12">
        <v>882</v>
      </c>
      <c r="H3591" s="12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1050</v>
      </c>
      <c r="N3591" t="b">
        <v>0</v>
      </c>
    </row>
    <row r="3592" spans="1:14" x14ac:dyDescent="0.3">
      <c r="A3592" t="s">
        <v>4638</v>
      </c>
      <c r="B3592" t="s">
        <v>42</v>
      </c>
      <c r="C3592" s="1">
        <v>45624</v>
      </c>
      <c r="E3592" t="s">
        <v>32</v>
      </c>
      <c r="F3592">
        <v>67</v>
      </c>
      <c r="G3592" s="12">
        <v>13333</v>
      </c>
      <c r="H3592" s="1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1050</v>
      </c>
      <c r="N3592" t="b">
        <v>1</v>
      </c>
    </row>
    <row r="3593" spans="1:14" x14ac:dyDescent="0.3">
      <c r="A3593" t="s">
        <v>4639</v>
      </c>
      <c r="B3593" t="s">
        <v>202</v>
      </c>
      <c r="C3593" s="1">
        <v>45449</v>
      </c>
      <c r="E3593" t="s">
        <v>39</v>
      </c>
      <c r="F3593">
        <v>16</v>
      </c>
      <c r="G3593" s="12">
        <v>784</v>
      </c>
      <c r="H3593" s="12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1047</v>
      </c>
      <c r="N3593" t="b">
        <v>1</v>
      </c>
    </row>
    <row r="3594" spans="1:14" x14ac:dyDescent="0.3">
      <c r="A3594" t="s">
        <v>4640</v>
      </c>
      <c r="B3594" t="s">
        <v>554</v>
      </c>
      <c r="C3594" s="1">
        <v>45501</v>
      </c>
      <c r="E3594" t="s">
        <v>32</v>
      </c>
      <c r="F3594">
        <v>17</v>
      </c>
      <c r="G3594" s="12">
        <v>3383</v>
      </c>
      <c r="H3594" s="12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1047</v>
      </c>
      <c r="N3594" t="b">
        <v>1</v>
      </c>
    </row>
    <row r="3595" spans="1:14" x14ac:dyDescent="0.3">
      <c r="A3595" t="s">
        <v>4641</v>
      </c>
      <c r="B3595" t="s">
        <v>530</v>
      </c>
      <c r="C3595" s="1">
        <v>45597</v>
      </c>
      <c r="E3595" t="s">
        <v>15</v>
      </c>
      <c r="F3595">
        <v>4</v>
      </c>
      <c r="G3595" s="12">
        <v>0</v>
      </c>
      <c r="H3595" s="12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1047</v>
      </c>
      <c r="N3595" t="b">
        <v>1</v>
      </c>
    </row>
    <row r="3596" spans="1:14" x14ac:dyDescent="0.3">
      <c r="A3596" t="s">
        <v>4642</v>
      </c>
      <c r="B3596" t="s">
        <v>694</v>
      </c>
      <c r="C3596" s="1">
        <v>45250</v>
      </c>
      <c r="E3596" t="s">
        <v>32</v>
      </c>
      <c r="F3596">
        <v>49</v>
      </c>
      <c r="G3596" s="12">
        <v>0</v>
      </c>
      <c r="H3596" s="12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1050</v>
      </c>
      <c r="N3596" t="b">
        <v>1</v>
      </c>
    </row>
    <row r="3597" spans="1:14" x14ac:dyDescent="0.3">
      <c r="A3597" t="s">
        <v>4643</v>
      </c>
      <c r="B3597" t="s">
        <v>298</v>
      </c>
      <c r="C3597" s="1">
        <v>45379</v>
      </c>
      <c r="E3597" t="s">
        <v>39</v>
      </c>
      <c r="F3597">
        <v>22</v>
      </c>
      <c r="G3597" s="12">
        <v>1078</v>
      </c>
      <c r="H3597" s="12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1050</v>
      </c>
      <c r="N3597" t="b">
        <v>1</v>
      </c>
    </row>
    <row r="3598" spans="1:14" x14ac:dyDescent="0.3">
      <c r="A3598" t="s">
        <v>4644</v>
      </c>
      <c r="B3598" t="s">
        <v>68</v>
      </c>
      <c r="C3598" s="1">
        <v>45535</v>
      </c>
      <c r="E3598" t="s">
        <v>32</v>
      </c>
      <c r="F3598">
        <v>14</v>
      </c>
      <c r="G3598" s="12">
        <v>2786</v>
      </c>
      <c r="H3598" s="12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1050</v>
      </c>
      <c r="N3598" t="b">
        <v>1</v>
      </c>
    </row>
    <row r="3599" spans="1:14" x14ac:dyDescent="0.3">
      <c r="A3599" t="s">
        <v>4645</v>
      </c>
      <c r="B3599" t="s">
        <v>704</v>
      </c>
      <c r="C3599" s="1">
        <v>45562</v>
      </c>
      <c r="E3599" t="s">
        <v>39</v>
      </c>
      <c r="F3599">
        <v>87</v>
      </c>
      <c r="G3599" s="12">
        <v>4263</v>
      </c>
      <c r="H3599" s="12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1047</v>
      </c>
      <c r="N3599" t="b">
        <v>1</v>
      </c>
    </row>
    <row r="3600" spans="1:14" x14ac:dyDescent="0.3">
      <c r="A3600" t="s">
        <v>4646</v>
      </c>
      <c r="B3600" t="s">
        <v>162</v>
      </c>
      <c r="C3600" s="1">
        <v>45401</v>
      </c>
      <c r="E3600" t="s">
        <v>32</v>
      </c>
      <c r="F3600">
        <v>43</v>
      </c>
      <c r="G3600" s="12">
        <v>8557</v>
      </c>
      <c r="H3600" s="12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1047</v>
      </c>
      <c r="N3600" t="b">
        <v>0</v>
      </c>
    </row>
    <row r="3601" spans="1:14" x14ac:dyDescent="0.3">
      <c r="A3601" t="s">
        <v>4647</v>
      </c>
      <c r="B3601" t="s">
        <v>338</v>
      </c>
      <c r="C3601" s="1">
        <v>45422</v>
      </c>
      <c r="E3601" t="s">
        <v>15</v>
      </c>
      <c r="F3601">
        <v>27</v>
      </c>
      <c r="G3601" s="12">
        <v>0</v>
      </c>
      <c r="H3601" s="12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1050</v>
      </c>
      <c r="N3601" t="b">
        <v>1</v>
      </c>
    </row>
    <row r="3602" spans="1:14" x14ac:dyDescent="0.3">
      <c r="A3602" t="s">
        <v>4648</v>
      </c>
      <c r="B3602" t="s">
        <v>418</v>
      </c>
      <c r="C3602" s="1">
        <v>45556</v>
      </c>
      <c r="E3602" t="s">
        <v>15</v>
      </c>
      <c r="F3602">
        <v>22</v>
      </c>
      <c r="G3602" s="12">
        <v>418</v>
      </c>
      <c r="H3602" s="1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1050</v>
      </c>
      <c r="N3602" t="b">
        <v>1</v>
      </c>
    </row>
    <row r="3603" spans="1:14" x14ac:dyDescent="0.3">
      <c r="A3603" t="s">
        <v>4649</v>
      </c>
      <c r="B3603" t="s">
        <v>742</v>
      </c>
      <c r="C3603" s="1">
        <v>45458</v>
      </c>
      <c r="E3603" t="s">
        <v>39</v>
      </c>
      <c r="F3603">
        <v>35</v>
      </c>
      <c r="G3603" s="12">
        <v>1715</v>
      </c>
      <c r="H3603" s="12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1050</v>
      </c>
      <c r="N3603" t="b">
        <v>1</v>
      </c>
    </row>
    <row r="3604" spans="1:14" x14ac:dyDescent="0.3">
      <c r="A3604" t="s">
        <v>4650</v>
      </c>
      <c r="B3604" t="s">
        <v>852</v>
      </c>
      <c r="C3604" s="1">
        <v>45569</v>
      </c>
      <c r="E3604" t="s">
        <v>39</v>
      </c>
      <c r="F3604">
        <v>40</v>
      </c>
      <c r="G3604" s="12">
        <v>1960</v>
      </c>
      <c r="H3604" s="12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1050</v>
      </c>
      <c r="N3604" t="b">
        <v>1</v>
      </c>
    </row>
    <row r="3605" spans="1:14" x14ac:dyDescent="0.3">
      <c r="A3605" t="s">
        <v>4651</v>
      </c>
      <c r="B3605" t="s">
        <v>164</v>
      </c>
      <c r="C3605" s="1">
        <v>45565</v>
      </c>
      <c r="E3605" t="s">
        <v>32</v>
      </c>
      <c r="F3605">
        <v>24</v>
      </c>
      <c r="G3605" s="12">
        <v>4776</v>
      </c>
      <c r="H3605" s="12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1050</v>
      </c>
      <c r="N3605" t="b">
        <v>1</v>
      </c>
    </row>
    <row r="3606" spans="1:14" x14ac:dyDescent="0.3">
      <c r="A3606" t="s">
        <v>4652</v>
      </c>
      <c r="B3606" t="s">
        <v>594</v>
      </c>
      <c r="C3606" s="1">
        <v>45383</v>
      </c>
      <c r="D3606" s="1">
        <v>45527</v>
      </c>
      <c r="E3606" t="s">
        <v>39</v>
      </c>
      <c r="F3606">
        <v>1</v>
      </c>
      <c r="G3606" s="12">
        <v>49</v>
      </c>
      <c r="H3606" s="12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1050</v>
      </c>
      <c r="N3606" t="b">
        <v>0</v>
      </c>
    </row>
    <row r="3607" spans="1:14" x14ac:dyDescent="0.3">
      <c r="A3607" t="s">
        <v>4653</v>
      </c>
      <c r="B3607" t="s">
        <v>114</v>
      </c>
      <c r="C3607" s="1">
        <v>45459</v>
      </c>
      <c r="E3607" t="s">
        <v>32</v>
      </c>
      <c r="F3607">
        <v>36</v>
      </c>
      <c r="G3607" s="12">
        <v>7164</v>
      </c>
      <c r="H3607" s="12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1047</v>
      </c>
      <c r="N3607" t="b">
        <v>1</v>
      </c>
    </row>
    <row r="3608" spans="1:14" x14ac:dyDescent="0.3">
      <c r="A3608" t="s">
        <v>4654</v>
      </c>
      <c r="B3608" t="s">
        <v>854</v>
      </c>
      <c r="C3608" s="1">
        <v>45594</v>
      </c>
      <c r="E3608" t="s">
        <v>39</v>
      </c>
      <c r="F3608">
        <v>39</v>
      </c>
      <c r="G3608" s="12">
        <v>1911</v>
      </c>
      <c r="H3608" s="12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1047</v>
      </c>
      <c r="N3608" t="b">
        <v>1</v>
      </c>
    </row>
    <row r="3609" spans="1:14" x14ac:dyDescent="0.3">
      <c r="A3609" t="s">
        <v>4655</v>
      </c>
      <c r="B3609" t="s">
        <v>49</v>
      </c>
      <c r="C3609" s="1">
        <v>45655</v>
      </c>
      <c r="E3609" t="s">
        <v>15</v>
      </c>
      <c r="F3609">
        <v>59</v>
      </c>
      <c r="G3609" s="12">
        <v>1121</v>
      </c>
      <c r="H3609" s="12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1047</v>
      </c>
      <c r="N3609" t="b">
        <v>1</v>
      </c>
    </row>
    <row r="3610" spans="1:14" x14ac:dyDescent="0.3">
      <c r="A3610" t="s">
        <v>4656</v>
      </c>
      <c r="B3610" t="s">
        <v>278</v>
      </c>
      <c r="C3610" s="1">
        <v>45172</v>
      </c>
      <c r="E3610" t="s">
        <v>15</v>
      </c>
      <c r="F3610">
        <v>74</v>
      </c>
      <c r="G3610" s="12">
        <v>1406</v>
      </c>
      <c r="H3610" s="12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1050</v>
      </c>
      <c r="N3610" t="b">
        <v>1</v>
      </c>
    </row>
    <row r="3611" spans="1:14" x14ac:dyDescent="0.3">
      <c r="A3611" t="s">
        <v>4657</v>
      </c>
      <c r="B3611" t="s">
        <v>95</v>
      </c>
      <c r="C3611" s="1">
        <v>45198</v>
      </c>
      <c r="E3611" t="s">
        <v>32</v>
      </c>
      <c r="F3611">
        <v>24</v>
      </c>
      <c r="G3611" s="12">
        <v>4776</v>
      </c>
      <c r="H3611" s="12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1047</v>
      </c>
      <c r="N3611" t="b">
        <v>1</v>
      </c>
    </row>
    <row r="3612" spans="1:14" x14ac:dyDescent="0.3">
      <c r="A3612" t="s">
        <v>4658</v>
      </c>
      <c r="B3612" t="s">
        <v>826</v>
      </c>
      <c r="C3612" s="1">
        <v>45414</v>
      </c>
      <c r="E3612" t="s">
        <v>15</v>
      </c>
      <c r="F3612">
        <v>56</v>
      </c>
      <c r="G3612" s="12">
        <v>1064</v>
      </c>
      <c r="H3612" s="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1047</v>
      </c>
      <c r="N3612" t="b">
        <v>0</v>
      </c>
    </row>
    <row r="3613" spans="1:14" x14ac:dyDescent="0.3">
      <c r="A3613" t="s">
        <v>4659</v>
      </c>
      <c r="B3613" t="s">
        <v>770</v>
      </c>
      <c r="C3613" s="1">
        <v>45383</v>
      </c>
      <c r="E3613" t="s">
        <v>32</v>
      </c>
      <c r="F3613">
        <v>33</v>
      </c>
      <c r="G3613" s="12">
        <v>6567</v>
      </c>
      <c r="H3613" s="12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1050</v>
      </c>
      <c r="N3613" t="b">
        <v>1</v>
      </c>
    </row>
    <row r="3614" spans="1:14" x14ac:dyDescent="0.3">
      <c r="A3614" t="s">
        <v>4660</v>
      </c>
      <c r="B3614" t="s">
        <v>920</v>
      </c>
      <c r="C3614" s="1">
        <v>45528</v>
      </c>
      <c r="E3614" t="s">
        <v>15</v>
      </c>
      <c r="F3614">
        <v>26</v>
      </c>
      <c r="G3614" s="12">
        <v>494</v>
      </c>
      <c r="H3614" s="12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1047</v>
      </c>
      <c r="N3614" t="b">
        <v>1</v>
      </c>
    </row>
    <row r="3615" spans="1:14" x14ac:dyDescent="0.3">
      <c r="A3615" t="s">
        <v>4661</v>
      </c>
      <c r="B3615" t="s">
        <v>626</v>
      </c>
      <c r="C3615" s="1">
        <v>45602</v>
      </c>
      <c r="E3615" t="s">
        <v>32</v>
      </c>
      <c r="F3615">
        <v>26</v>
      </c>
      <c r="G3615" s="12">
        <v>5174</v>
      </c>
      <c r="H3615" s="12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1050</v>
      </c>
      <c r="N3615" t="b">
        <v>1</v>
      </c>
    </row>
    <row r="3616" spans="1:14" x14ac:dyDescent="0.3">
      <c r="A3616" t="s">
        <v>4662</v>
      </c>
      <c r="B3616" t="s">
        <v>834</v>
      </c>
      <c r="C3616" s="1">
        <v>45163</v>
      </c>
      <c r="E3616" t="s">
        <v>32</v>
      </c>
      <c r="F3616">
        <v>22</v>
      </c>
      <c r="G3616" s="12">
        <v>4378</v>
      </c>
      <c r="H3616" s="12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1047</v>
      </c>
      <c r="N3616" t="b">
        <v>1</v>
      </c>
    </row>
    <row r="3617" spans="1:14" x14ac:dyDescent="0.3">
      <c r="A3617" t="s">
        <v>4663</v>
      </c>
      <c r="B3617" t="s">
        <v>85</v>
      </c>
      <c r="C3617" s="1">
        <v>45587</v>
      </c>
      <c r="E3617" t="s">
        <v>15</v>
      </c>
      <c r="F3617">
        <v>26</v>
      </c>
      <c r="G3617" s="12">
        <v>494</v>
      </c>
      <c r="H3617" s="12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1047</v>
      </c>
      <c r="N3617" t="b">
        <v>1</v>
      </c>
    </row>
    <row r="3618" spans="1:14" x14ac:dyDescent="0.3">
      <c r="A3618" t="s">
        <v>4664</v>
      </c>
      <c r="B3618" t="s">
        <v>970</v>
      </c>
      <c r="C3618" s="1">
        <v>45575</v>
      </c>
      <c r="E3618" t="s">
        <v>15</v>
      </c>
      <c r="F3618">
        <v>8</v>
      </c>
      <c r="G3618" s="12">
        <v>152</v>
      </c>
      <c r="H3618" s="12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1047</v>
      </c>
      <c r="N3618" t="b">
        <v>1</v>
      </c>
    </row>
    <row r="3619" spans="1:14" x14ac:dyDescent="0.3">
      <c r="A3619" t="s">
        <v>4665</v>
      </c>
      <c r="B3619" t="s">
        <v>122</v>
      </c>
      <c r="C3619" s="1">
        <v>45116</v>
      </c>
      <c r="E3619" t="s">
        <v>15</v>
      </c>
      <c r="F3619">
        <v>54</v>
      </c>
      <c r="G3619" s="12">
        <v>1026</v>
      </c>
      <c r="H3619" s="12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1050</v>
      </c>
      <c r="N3619" t="b">
        <v>0</v>
      </c>
    </row>
    <row r="3620" spans="1:14" x14ac:dyDescent="0.3">
      <c r="A3620" t="s">
        <v>4666</v>
      </c>
      <c r="B3620" t="s">
        <v>840</v>
      </c>
      <c r="C3620" s="1">
        <v>45563</v>
      </c>
      <c r="E3620" t="s">
        <v>15</v>
      </c>
      <c r="F3620">
        <v>13</v>
      </c>
      <c r="G3620" s="12">
        <v>247</v>
      </c>
      <c r="H3620" s="12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1047</v>
      </c>
      <c r="N3620" t="b">
        <v>1</v>
      </c>
    </row>
    <row r="3621" spans="1:14" x14ac:dyDescent="0.3">
      <c r="A3621" t="s">
        <v>4667</v>
      </c>
      <c r="B3621" t="s">
        <v>764</v>
      </c>
      <c r="C3621" s="1">
        <v>45503</v>
      </c>
      <c r="E3621" t="s">
        <v>39</v>
      </c>
      <c r="F3621">
        <v>69</v>
      </c>
      <c r="G3621" s="12">
        <v>3381</v>
      </c>
      <c r="H3621" s="12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1050</v>
      </c>
      <c r="N3621" t="b">
        <v>1</v>
      </c>
    </row>
    <row r="3622" spans="1:14" x14ac:dyDescent="0.3">
      <c r="A3622" t="s">
        <v>4668</v>
      </c>
      <c r="B3622" t="s">
        <v>670</v>
      </c>
      <c r="C3622" s="1">
        <v>45555</v>
      </c>
      <c r="D3622" s="1">
        <v>45615</v>
      </c>
      <c r="E3622" t="s">
        <v>15</v>
      </c>
      <c r="F3622">
        <v>10</v>
      </c>
      <c r="G3622" s="12">
        <v>190</v>
      </c>
      <c r="H3622" s="1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1047</v>
      </c>
      <c r="N3622" t="b">
        <v>0</v>
      </c>
    </row>
    <row r="3623" spans="1:14" x14ac:dyDescent="0.3">
      <c r="A3623" t="s">
        <v>4669</v>
      </c>
      <c r="B3623" t="s">
        <v>754</v>
      </c>
      <c r="C3623" s="1">
        <v>45630</v>
      </c>
      <c r="E3623" t="s">
        <v>32</v>
      </c>
      <c r="F3623">
        <v>19</v>
      </c>
      <c r="G3623" s="12">
        <v>0</v>
      </c>
      <c r="H3623" s="12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1047</v>
      </c>
      <c r="N3623" t="b">
        <v>1</v>
      </c>
    </row>
    <row r="3624" spans="1:14" x14ac:dyDescent="0.3">
      <c r="A3624" t="s">
        <v>4670</v>
      </c>
      <c r="B3624" t="s">
        <v>510</v>
      </c>
      <c r="C3624" s="1">
        <v>45365</v>
      </c>
      <c r="E3624" t="s">
        <v>32</v>
      </c>
      <c r="F3624">
        <v>55</v>
      </c>
      <c r="G3624" s="12">
        <v>10945</v>
      </c>
      <c r="H3624" s="12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1047</v>
      </c>
      <c r="N3624" t="b">
        <v>1</v>
      </c>
    </row>
    <row r="3625" spans="1:14" x14ac:dyDescent="0.3">
      <c r="A3625" t="s">
        <v>4671</v>
      </c>
      <c r="B3625" t="s">
        <v>482</v>
      </c>
      <c r="C3625" s="1">
        <v>45631</v>
      </c>
      <c r="E3625" t="s">
        <v>32</v>
      </c>
      <c r="F3625">
        <v>69</v>
      </c>
      <c r="G3625" s="12">
        <v>13731</v>
      </c>
      <c r="H3625" s="12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1047</v>
      </c>
      <c r="N3625" t="b">
        <v>0</v>
      </c>
    </row>
    <row r="3626" spans="1:14" x14ac:dyDescent="0.3">
      <c r="A3626" t="s">
        <v>4672</v>
      </c>
      <c r="B3626" t="s">
        <v>110</v>
      </c>
      <c r="C3626" s="1">
        <v>45230</v>
      </c>
      <c r="E3626" t="s">
        <v>15</v>
      </c>
      <c r="F3626">
        <v>32</v>
      </c>
      <c r="G3626" s="12">
        <v>608</v>
      </c>
      <c r="H3626" s="12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1050</v>
      </c>
      <c r="N3626" t="b">
        <v>1</v>
      </c>
    </row>
    <row r="3627" spans="1:14" x14ac:dyDescent="0.3">
      <c r="A3627" t="s">
        <v>4673</v>
      </c>
      <c r="B3627" t="s">
        <v>176</v>
      </c>
      <c r="C3627" s="1">
        <v>45647</v>
      </c>
      <c r="E3627" t="s">
        <v>32</v>
      </c>
      <c r="F3627">
        <v>68</v>
      </c>
      <c r="G3627" s="12">
        <v>0</v>
      </c>
      <c r="H3627" s="12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1047</v>
      </c>
      <c r="N3627" t="b">
        <v>0</v>
      </c>
    </row>
    <row r="3628" spans="1:14" x14ac:dyDescent="0.3">
      <c r="A3628" t="s">
        <v>4674</v>
      </c>
      <c r="B3628" t="s">
        <v>746</v>
      </c>
      <c r="C3628" s="1">
        <v>45359</v>
      </c>
      <c r="E3628" t="s">
        <v>32</v>
      </c>
      <c r="F3628">
        <v>87</v>
      </c>
      <c r="G3628" s="12">
        <v>0</v>
      </c>
      <c r="H3628" s="12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1047</v>
      </c>
      <c r="N3628" t="b">
        <v>1</v>
      </c>
    </row>
    <row r="3629" spans="1:14" x14ac:dyDescent="0.3">
      <c r="A3629" t="s">
        <v>4675</v>
      </c>
      <c r="B3629" t="s">
        <v>222</v>
      </c>
      <c r="C3629" s="1">
        <v>45434</v>
      </c>
      <c r="E3629" t="s">
        <v>39</v>
      </c>
      <c r="F3629">
        <v>12</v>
      </c>
      <c r="G3629" s="12">
        <v>588</v>
      </c>
      <c r="H3629" s="12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1047</v>
      </c>
      <c r="N3629" t="b">
        <v>1</v>
      </c>
    </row>
    <row r="3630" spans="1:14" x14ac:dyDescent="0.3">
      <c r="A3630" t="s">
        <v>4676</v>
      </c>
      <c r="B3630" t="s">
        <v>196</v>
      </c>
      <c r="C3630" s="1">
        <v>45637</v>
      </c>
      <c r="E3630" t="s">
        <v>32</v>
      </c>
      <c r="F3630">
        <v>38</v>
      </c>
      <c r="G3630" s="12">
        <v>7562</v>
      </c>
      <c r="H3630" s="12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1050</v>
      </c>
      <c r="N3630" t="b">
        <v>1</v>
      </c>
    </row>
    <row r="3631" spans="1:14" x14ac:dyDescent="0.3">
      <c r="A3631" t="s">
        <v>4677</v>
      </c>
      <c r="B3631" t="s">
        <v>644</v>
      </c>
      <c r="C3631" s="1">
        <v>45554</v>
      </c>
      <c r="E3631" t="s">
        <v>32</v>
      </c>
      <c r="F3631">
        <v>13</v>
      </c>
      <c r="G3631" s="12">
        <v>0</v>
      </c>
      <c r="H3631" s="12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1050</v>
      </c>
      <c r="N3631" t="b">
        <v>1</v>
      </c>
    </row>
    <row r="3632" spans="1:14" x14ac:dyDescent="0.3">
      <c r="A3632" t="s">
        <v>4678</v>
      </c>
      <c r="B3632" t="s">
        <v>252</v>
      </c>
      <c r="C3632" s="1">
        <v>45469</v>
      </c>
      <c r="E3632" t="s">
        <v>39</v>
      </c>
      <c r="F3632">
        <v>5</v>
      </c>
      <c r="G3632" s="12">
        <v>245</v>
      </c>
      <c r="H3632" s="1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1050</v>
      </c>
      <c r="N3632" t="b">
        <v>1</v>
      </c>
    </row>
    <row r="3633" spans="1:14" x14ac:dyDescent="0.3">
      <c r="A3633" t="s">
        <v>4679</v>
      </c>
      <c r="B3633" t="s">
        <v>782</v>
      </c>
      <c r="C3633" s="1">
        <v>45216</v>
      </c>
      <c r="E3633" t="s">
        <v>32</v>
      </c>
      <c r="F3633">
        <v>9</v>
      </c>
      <c r="G3633" s="12">
        <v>1791</v>
      </c>
      <c r="H3633" s="12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1047</v>
      </c>
      <c r="N3633" t="b">
        <v>1</v>
      </c>
    </row>
    <row r="3634" spans="1:14" x14ac:dyDescent="0.3">
      <c r="A3634" t="s">
        <v>4680</v>
      </c>
      <c r="B3634" t="s">
        <v>700</v>
      </c>
      <c r="C3634" s="1">
        <v>45657</v>
      </c>
      <c r="E3634" t="s">
        <v>39</v>
      </c>
      <c r="F3634">
        <v>21</v>
      </c>
      <c r="G3634" s="12">
        <v>1029</v>
      </c>
      <c r="H3634" s="12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1050</v>
      </c>
      <c r="N3634" t="b">
        <v>1</v>
      </c>
    </row>
    <row r="3635" spans="1:14" x14ac:dyDescent="0.3">
      <c r="A3635" t="s">
        <v>4681</v>
      </c>
      <c r="B3635" t="s">
        <v>802</v>
      </c>
      <c r="C3635" s="1">
        <v>45573</v>
      </c>
      <c r="D3635" s="1">
        <v>45580</v>
      </c>
      <c r="E3635" t="s">
        <v>15</v>
      </c>
      <c r="F3635">
        <v>41</v>
      </c>
      <c r="G3635" s="12">
        <v>779</v>
      </c>
      <c r="H3635" s="12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1047</v>
      </c>
      <c r="N3635" t="b">
        <v>0</v>
      </c>
    </row>
    <row r="3636" spans="1:14" x14ac:dyDescent="0.3">
      <c r="A3636" t="s">
        <v>4682</v>
      </c>
      <c r="B3636" t="s">
        <v>534</v>
      </c>
      <c r="C3636" s="1">
        <v>45474</v>
      </c>
      <c r="E3636" t="s">
        <v>32</v>
      </c>
      <c r="F3636">
        <v>22</v>
      </c>
      <c r="G3636" s="12">
        <v>4378</v>
      </c>
      <c r="H3636" s="12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1047</v>
      </c>
      <c r="N3636" t="b">
        <v>1</v>
      </c>
    </row>
    <row r="3637" spans="1:14" x14ac:dyDescent="0.3">
      <c r="A3637" t="s">
        <v>4683</v>
      </c>
      <c r="B3637" t="s">
        <v>664</v>
      </c>
      <c r="C3637" s="1">
        <v>45620</v>
      </c>
      <c r="D3637" s="1">
        <v>45648</v>
      </c>
      <c r="E3637" t="s">
        <v>15</v>
      </c>
      <c r="F3637">
        <v>21</v>
      </c>
      <c r="G3637" s="12">
        <v>399</v>
      </c>
      <c r="H3637" s="12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1047</v>
      </c>
      <c r="N3637" t="b">
        <v>0</v>
      </c>
    </row>
    <row r="3638" spans="1:14" x14ac:dyDescent="0.3">
      <c r="A3638" t="s">
        <v>4684</v>
      </c>
      <c r="B3638" t="s">
        <v>792</v>
      </c>
      <c r="C3638" s="1">
        <v>45632</v>
      </c>
      <c r="E3638" t="s">
        <v>15</v>
      </c>
      <c r="F3638">
        <v>22</v>
      </c>
      <c r="G3638" s="12">
        <v>418</v>
      </c>
      <c r="H3638" s="12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1050</v>
      </c>
      <c r="N3638" t="b">
        <v>1</v>
      </c>
    </row>
    <row r="3639" spans="1:14" x14ac:dyDescent="0.3">
      <c r="A3639" t="s">
        <v>4685</v>
      </c>
      <c r="B3639" t="s">
        <v>632</v>
      </c>
      <c r="C3639" s="1">
        <v>45641</v>
      </c>
      <c r="E3639" t="s">
        <v>39</v>
      </c>
      <c r="F3639">
        <v>17</v>
      </c>
      <c r="G3639" s="12">
        <v>833</v>
      </c>
      <c r="H3639" s="12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1047</v>
      </c>
      <c r="N3639" t="b">
        <v>1</v>
      </c>
    </row>
    <row r="3640" spans="1:14" x14ac:dyDescent="0.3">
      <c r="A3640" t="s">
        <v>4686</v>
      </c>
      <c r="B3640" t="s">
        <v>612</v>
      </c>
      <c r="C3640" s="1">
        <v>45592</v>
      </c>
      <c r="E3640" t="s">
        <v>32</v>
      </c>
      <c r="F3640">
        <v>19</v>
      </c>
      <c r="G3640" s="12">
        <v>3781</v>
      </c>
      <c r="H3640" s="12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1050</v>
      </c>
      <c r="N3640" t="b">
        <v>1</v>
      </c>
    </row>
    <row r="3641" spans="1:14" x14ac:dyDescent="0.3">
      <c r="A3641" t="s">
        <v>4687</v>
      </c>
      <c r="B3641" t="s">
        <v>490</v>
      </c>
      <c r="C3641" s="1">
        <v>45606</v>
      </c>
      <c r="E3641" t="s">
        <v>32</v>
      </c>
      <c r="F3641">
        <v>69</v>
      </c>
      <c r="G3641" s="12">
        <v>13731</v>
      </c>
      <c r="H3641" s="12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1050</v>
      </c>
      <c r="N3641" t="b">
        <v>1</v>
      </c>
    </row>
    <row r="3642" spans="1:14" x14ac:dyDescent="0.3">
      <c r="A3642" t="s">
        <v>4688</v>
      </c>
      <c r="B3642" t="s">
        <v>408</v>
      </c>
      <c r="C3642" s="1">
        <v>45600</v>
      </c>
      <c r="E3642" t="s">
        <v>39</v>
      </c>
      <c r="F3642">
        <v>11</v>
      </c>
      <c r="G3642" s="12">
        <v>539</v>
      </c>
      <c r="H3642" s="1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1050</v>
      </c>
      <c r="N3642" t="b">
        <v>1</v>
      </c>
    </row>
    <row r="3643" spans="1:14" x14ac:dyDescent="0.3">
      <c r="A3643" t="s">
        <v>4689</v>
      </c>
      <c r="B3643" t="s">
        <v>350</v>
      </c>
      <c r="C3643" s="1">
        <v>45578</v>
      </c>
      <c r="E3643" t="s">
        <v>15</v>
      </c>
      <c r="F3643">
        <v>19</v>
      </c>
      <c r="G3643" s="12">
        <v>361</v>
      </c>
      <c r="H3643" s="12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1047</v>
      </c>
      <c r="N3643" t="b">
        <v>1</v>
      </c>
    </row>
    <row r="3644" spans="1:14" x14ac:dyDescent="0.3">
      <c r="A3644" t="s">
        <v>4690</v>
      </c>
      <c r="B3644" t="s">
        <v>70</v>
      </c>
      <c r="C3644" s="1">
        <v>45591</v>
      </c>
      <c r="D3644" s="1">
        <v>45650</v>
      </c>
      <c r="E3644" t="s">
        <v>39</v>
      </c>
      <c r="F3644">
        <v>11</v>
      </c>
      <c r="G3644" s="12">
        <v>539</v>
      </c>
      <c r="H3644" s="12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1050</v>
      </c>
      <c r="N3644" t="b">
        <v>1</v>
      </c>
    </row>
    <row r="3645" spans="1:14" x14ac:dyDescent="0.3">
      <c r="A3645" t="s">
        <v>4691</v>
      </c>
      <c r="B3645" t="s">
        <v>362</v>
      </c>
      <c r="C3645" s="1">
        <v>45657</v>
      </c>
      <c r="E3645" t="s">
        <v>39</v>
      </c>
      <c r="F3645">
        <v>73</v>
      </c>
      <c r="G3645" s="12">
        <v>3577</v>
      </c>
      <c r="H3645" s="12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1050</v>
      </c>
      <c r="N3645" t="b">
        <v>0</v>
      </c>
    </row>
    <row r="3646" spans="1:14" x14ac:dyDescent="0.3">
      <c r="A3646" t="s">
        <v>4692</v>
      </c>
      <c r="B3646" t="s">
        <v>918</v>
      </c>
      <c r="C3646" s="1">
        <v>45653</v>
      </c>
      <c r="E3646" t="s">
        <v>39</v>
      </c>
      <c r="F3646">
        <v>33</v>
      </c>
      <c r="G3646" s="12">
        <v>1617</v>
      </c>
      <c r="H3646" s="12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1047</v>
      </c>
      <c r="N3646" t="b">
        <v>1</v>
      </c>
    </row>
    <row r="3647" spans="1:14" x14ac:dyDescent="0.3">
      <c r="A3647" t="s">
        <v>4693</v>
      </c>
      <c r="B3647" t="s">
        <v>174</v>
      </c>
      <c r="C3647" s="1">
        <v>45582</v>
      </c>
      <c r="E3647" t="s">
        <v>39</v>
      </c>
      <c r="F3647">
        <v>7</v>
      </c>
      <c r="G3647" s="12">
        <v>343</v>
      </c>
      <c r="H3647" s="12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1050</v>
      </c>
      <c r="N3647" t="b">
        <v>1</v>
      </c>
    </row>
    <row r="3648" spans="1:14" x14ac:dyDescent="0.3">
      <c r="A3648" t="s">
        <v>4694</v>
      </c>
      <c r="B3648" t="s">
        <v>1002</v>
      </c>
      <c r="C3648" s="1">
        <v>44974</v>
      </c>
      <c r="E3648" t="s">
        <v>15</v>
      </c>
      <c r="F3648">
        <v>4</v>
      </c>
      <c r="G3648" s="12">
        <v>76</v>
      </c>
      <c r="H3648" s="12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1050</v>
      </c>
      <c r="N3648" t="b">
        <v>1</v>
      </c>
    </row>
    <row r="3649" spans="1:14" x14ac:dyDescent="0.3">
      <c r="A3649" t="s">
        <v>4695</v>
      </c>
      <c r="B3649" t="s">
        <v>420</v>
      </c>
      <c r="C3649" s="1">
        <v>45455</v>
      </c>
      <c r="E3649" t="s">
        <v>39</v>
      </c>
      <c r="F3649">
        <v>50</v>
      </c>
      <c r="G3649" s="12">
        <v>2450</v>
      </c>
      <c r="H3649" s="12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1050</v>
      </c>
      <c r="N3649" t="b">
        <v>0</v>
      </c>
    </row>
    <row r="3650" spans="1:14" x14ac:dyDescent="0.3">
      <c r="A3650" t="s">
        <v>4696</v>
      </c>
      <c r="B3650" t="s">
        <v>40</v>
      </c>
      <c r="C3650" s="1">
        <v>45475</v>
      </c>
      <c r="E3650" t="s">
        <v>32</v>
      </c>
      <c r="F3650">
        <v>13</v>
      </c>
      <c r="G3650" s="12">
        <v>2587</v>
      </c>
      <c r="H3650" s="12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1047</v>
      </c>
      <c r="N3650" t="b">
        <v>0</v>
      </c>
    </row>
    <row r="3651" spans="1:14" x14ac:dyDescent="0.3">
      <c r="A3651" t="s">
        <v>4697</v>
      </c>
      <c r="B3651" t="s">
        <v>184</v>
      </c>
      <c r="C3651" s="1">
        <v>45648</v>
      </c>
      <c r="E3651" t="s">
        <v>15</v>
      </c>
      <c r="F3651">
        <v>30</v>
      </c>
      <c r="G3651" s="12">
        <v>570</v>
      </c>
      <c r="H3651" s="12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1047</v>
      </c>
      <c r="N3651" t="b">
        <v>1</v>
      </c>
    </row>
    <row r="3652" spans="1:14" x14ac:dyDescent="0.3">
      <c r="A3652" t="s">
        <v>4698</v>
      </c>
      <c r="B3652" t="s">
        <v>126</v>
      </c>
      <c r="C3652" s="1">
        <v>45597</v>
      </c>
      <c r="E3652" t="s">
        <v>39</v>
      </c>
      <c r="F3652">
        <v>12</v>
      </c>
      <c r="G3652" s="12">
        <v>588</v>
      </c>
      <c r="H3652" s="1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1050</v>
      </c>
      <c r="N3652" t="b">
        <v>1</v>
      </c>
    </row>
    <row r="3653" spans="1:14" x14ac:dyDescent="0.3">
      <c r="A3653" t="s">
        <v>4699</v>
      </c>
      <c r="B3653" t="s">
        <v>182</v>
      </c>
      <c r="C3653" s="1">
        <v>45517</v>
      </c>
      <c r="E3653" t="s">
        <v>39</v>
      </c>
      <c r="F3653">
        <v>44</v>
      </c>
      <c r="G3653" s="12">
        <v>2156</v>
      </c>
      <c r="H3653" s="12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1047</v>
      </c>
      <c r="N3653" t="b">
        <v>1</v>
      </c>
    </row>
    <row r="3654" spans="1:14" x14ac:dyDescent="0.3">
      <c r="A3654" t="s">
        <v>4700</v>
      </c>
      <c r="B3654" t="s">
        <v>49</v>
      </c>
      <c r="C3654" s="1">
        <v>45635</v>
      </c>
      <c r="E3654" t="s">
        <v>39</v>
      </c>
      <c r="F3654">
        <v>59</v>
      </c>
      <c r="G3654" s="12">
        <v>2891</v>
      </c>
      <c r="H3654" s="12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1047</v>
      </c>
      <c r="N3654" t="b">
        <v>0</v>
      </c>
    </row>
    <row r="3655" spans="1:14" x14ac:dyDescent="0.3">
      <c r="A3655" t="s">
        <v>4701</v>
      </c>
      <c r="B3655" t="s">
        <v>340</v>
      </c>
      <c r="C3655" s="1">
        <v>45641</v>
      </c>
      <c r="E3655" t="s">
        <v>39</v>
      </c>
      <c r="F3655">
        <v>13</v>
      </c>
      <c r="G3655" s="12">
        <v>637</v>
      </c>
      <c r="H3655" s="12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1047</v>
      </c>
      <c r="N3655" t="b">
        <v>1</v>
      </c>
    </row>
    <row r="3656" spans="1:14" x14ac:dyDescent="0.3">
      <c r="A3656" t="s">
        <v>4702</v>
      </c>
      <c r="B3656" t="s">
        <v>224</v>
      </c>
      <c r="C3656" s="1">
        <v>45638</v>
      </c>
      <c r="D3656" s="1">
        <v>45653</v>
      </c>
      <c r="E3656" t="s">
        <v>32</v>
      </c>
      <c r="F3656">
        <v>32</v>
      </c>
      <c r="G3656" s="12">
        <v>6368</v>
      </c>
      <c r="H3656" s="12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1050</v>
      </c>
      <c r="N3656" t="b">
        <v>1</v>
      </c>
    </row>
    <row r="3657" spans="1:14" x14ac:dyDescent="0.3">
      <c r="A3657" t="s">
        <v>4703</v>
      </c>
      <c r="B3657" t="s">
        <v>474</v>
      </c>
      <c r="C3657" s="1">
        <v>45269</v>
      </c>
      <c r="E3657" t="s">
        <v>39</v>
      </c>
      <c r="F3657">
        <v>46</v>
      </c>
      <c r="G3657" s="12">
        <v>2254</v>
      </c>
      <c r="H3657" s="12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1047</v>
      </c>
      <c r="N3657" t="b">
        <v>1</v>
      </c>
    </row>
    <row r="3658" spans="1:14" x14ac:dyDescent="0.3">
      <c r="A3658" t="s">
        <v>4704</v>
      </c>
      <c r="B3658" t="s">
        <v>390</v>
      </c>
      <c r="C3658" s="1">
        <v>45096</v>
      </c>
      <c r="D3658" s="1">
        <v>45427</v>
      </c>
      <c r="E3658" t="s">
        <v>15</v>
      </c>
      <c r="F3658">
        <v>61</v>
      </c>
      <c r="G3658" s="12">
        <v>1159</v>
      </c>
      <c r="H3658" s="12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1050</v>
      </c>
      <c r="N3658" t="b">
        <v>0</v>
      </c>
    </row>
    <row r="3659" spans="1:14" x14ac:dyDescent="0.3">
      <c r="A3659" t="s">
        <v>4705</v>
      </c>
      <c r="B3659" t="s">
        <v>652</v>
      </c>
      <c r="C3659" s="1">
        <v>45534</v>
      </c>
      <c r="E3659" t="s">
        <v>15</v>
      </c>
      <c r="F3659">
        <v>73</v>
      </c>
      <c r="G3659" s="12">
        <v>1387</v>
      </c>
      <c r="H3659" s="12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1047</v>
      </c>
      <c r="N3659" t="b">
        <v>1</v>
      </c>
    </row>
    <row r="3660" spans="1:14" x14ac:dyDescent="0.3">
      <c r="A3660" t="s">
        <v>4706</v>
      </c>
      <c r="B3660" t="s">
        <v>560</v>
      </c>
      <c r="C3660" s="1">
        <v>45632</v>
      </c>
      <c r="D3660" s="1">
        <v>45645</v>
      </c>
      <c r="E3660" t="s">
        <v>15</v>
      </c>
      <c r="F3660">
        <v>41</v>
      </c>
      <c r="G3660" s="12">
        <v>779</v>
      </c>
      <c r="H3660" s="12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1050</v>
      </c>
      <c r="N3660" t="b">
        <v>0</v>
      </c>
    </row>
    <row r="3661" spans="1:14" x14ac:dyDescent="0.3">
      <c r="A3661" t="s">
        <v>4707</v>
      </c>
      <c r="B3661" t="s">
        <v>36</v>
      </c>
      <c r="C3661" s="1">
        <v>45516</v>
      </c>
      <c r="E3661" t="s">
        <v>32</v>
      </c>
      <c r="F3661">
        <v>26</v>
      </c>
      <c r="G3661" s="12">
        <v>5174</v>
      </c>
      <c r="H3661" s="12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1047</v>
      </c>
      <c r="N3661" t="b">
        <v>1</v>
      </c>
    </row>
    <row r="3662" spans="1:14" x14ac:dyDescent="0.3">
      <c r="A3662" t="s">
        <v>4708</v>
      </c>
      <c r="B3662" t="s">
        <v>376</v>
      </c>
      <c r="C3662" s="1">
        <v>45647</v>
      </c>
      <c r="D3662" s="1">
        <v>45657</v>
      </c>
      <c r="E3662" t="s">
        <v>39</v>
      </c>
      <c r="F3662">
        <v>32</v>
      </c>
      <c r="G3662" s="12">
        <v>1568</v>
      </c>
      <c r="H3662" s="1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1050</v>
      </c>
      <c r="N3662" t="b">
        <v>1</v>
      </c>
    </row>
    <row r="3663" spans="1:14" x14ac:dyDescent="0.3">
      <c r="A3663" t="s">
        <v>4709</v>
      </c>
      <c r="B3663" t="s">
        <v>656</v>
      </c>
      <c r="C3663" s="1">
        <v>45441</v>
      </c>
      <c r="E3663" t="s">
        <v>32</v>
      </c>
      <c r="F3663">
        <v>25</v>
      </c>
      <c r="G3663" s="12">
        <v>4975</v>
      </c>
      <c r="H3663" s="12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1047</v>
      </c>
      <c r="N3663" t="b">
        <v>1</v>
      </c>
    </row>
    <row r="3664" spans="1:14" x14ac:dyDescent="0.3">
      <c r="A3664" t="s">
        <v>4710</v>
      </c>
      <c r="B3664" t="s">
        <v>572</v>
      </c>
      <c r="C3664" s="1">
        <v>45511</v>
      </c>
      <c r="E3664" t="s">
        <v>39</v>
      </c>
      <c r="F3664">
        <v>50</v>
      </c>
      <c r="G3664" s="12">
        <v>2450</v>
      </c>
      <c r="H3664" s="12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1050</v>
      </c>
      <c r="N3664" t="b">
        <v>1</v>
      </c>
    </row>
    <row r="3665" spans="1:14" x14ac:dyDescent="0.3">
      <c r="A3665" t="s">
        <v>4711</v>
      </c>
      <c r="B3665" t="s">
        <v>856</v>
      </c>
      <c r="C3665" s="1">
        <v>45630</v>
      </c>
      <c r="D3665" s="1">
        <v>45641</v>
      </c>
      <c r="E3665" t="s">
        <v>15</v>
      </c>
      <c r="F3665">
        <v>11</v>
      </c>
      <c r="G3665" s="12">
        <v>209</v>
      </c>
      <c r="H3665" s="12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1050</v>
      </c>
      <c r="N3665" t="b">
        <v>0</v>
      </c>
    </row>
    <row r="3666" spans="1:14" x14ac:dyDescent="0.3">
      <c r="A3666" t="s">
        <v>4712</v>
      </c>
      <c r="B3666" t="s">
        <v>93</v>
      </c>
      <c r="C3666" s="1">
        <v>45474</v>
      </c>
      <c r="E3666" t="s">
        <v>39</v>
      </c>
      <c r="F3666">
        <v>14</v>
      </c>
      <c r="G3666" s="12">
        <v>686</v>
      </c>
      <c r="H3666" s="12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1050</v>
      </c>
      <c r="N3666" t="b">
        <v>1</v>
      </c>
    </row>
    <row r="3667" spans="1:14" x14ac:dyDescent="0.3">
      <c r="A3667" t="s">
        <v>4713</v>
      </c>
      <c r="B3667" t="s">
        <v>456</v>
      </c>
      <c r="C3667" s="1">
        <v>45326</v>
      </c>
      <c r="E3667" t="s">
        <v>15</v>
      </c>
      <c r="F3667">
        <v>28</v>
      </c>
      <c r="G3667" s="12">
        <v>532</v>
      </c>
      <c r="H3667" s="12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1050</v>
      </c>
      <c r="N3667" t="b">
        <v>1</v>
      </c>
    </row>
    <row r="3668" spans="1:14" x14ac:dyDescent="0.3">
      <c r="A3668" t="s">
        <v>4714</v>
      </c>
      <c r="B3668" t="s">
        <v>734</v>
      </c>
      <c r="C3668" s="1">
        <v>45579</v>
      </c>
      <c r="E3668" t="s">
        <v>39</v>
      </c>
      <c r="F3668">
        <v>29</v>
      </c>
      <c r="G3668" s="12">
        <v>1421</v>
      </c>
      <c r="H3668" s="12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1050</v>
      </c>
      <c r="N3668" t="b">
        <v>0</v>
      </c>
    </row>
    <row r="3669" spans="1:14" x14ac:dyDescent="0.3">
      <c r="A3669" t="s">
        <v>4715</v>
      </c>
      <c r="B3669" t="s">
        <v>834</v>
      </c>
      <c r="C3669" s="1">
        <v>45342</v>
      </c>
      <c r="D3669" s="1">
        <v>45516</v>
      </c>
      <c r="E3669" t="s">
        <v>32</v>
      </c>
      <c r="F3669">
        <v>26</v>
      </c>
      <c r="G3669" s="12">
        <v>5174</v>
      </c>
      <c r="H3669" s="12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1050</v>
      </c>
      <c r="N3669" t="b">
        <v>1</v>
      </c>
    </row>
    <row r="3670" spans="1:14" x14ac:dyDescent="0.3">
      <c r="A3670" t="s">
        <v>4716</v>
      </c>
      <c r="B3670" t="s">
        <v>744</v>
      </c>
      <c r="C3670" s="1">
        <v>45272</v>
      </c>
      <c r="D3670" s="1">
        <v>45436</v>
      </c>
      <c r="E3670" t="s">
        <v>15</v>
      </c>
      <c r="F3670">
        <v>16</v>
      </c>
      <c r="G3670" s="12">
        <v>304</v>
      </c>
      <c r="H3670" s="12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1047</v>
      </c>
      <c r="N3670" t="b">
        <v>1</v>
      </c>
    </row>
    <row r="3671" spans="1:14" x14ac:dyDescent="0.3">
      <c r="A3671" t="s">
        <v>4717</v>
      </c>
      <c r="B3671" t="s">
        <v>754</v>
      </c>
      <c r="C3671" s="1">
        <v>45636</v>
      </c>
      <c r="E3671" t="s">
        <v>32</v>
      </c>
      <c r="F3671">
        <v>19</v>
      </c>
      <c r="G3671" s="12">
        <v>3781</v>
      </c>
      <c r="H3671" s="12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1047</v>
      </c>
      <c r="N3671" t="b">
        <v>0</v>
      </c>
    </row>
    <row r="3672" spans="1:14" x14ac:dyDescent="0.3">
      <c r="A3672" t="s">
        <v>4718</v>
      </c>
      <c r="B3672" t="s">
        <v>862</v>
      </c>
      <c r="C3672" s="1">
        <v>45600</v>
      </c>
      <c r="E3672" t="s">
        <v>15</v>
      </c>
      <c r="F3672">
        <v>50</v>
      </c>
      <c r="G3672" s="12">
        <v>950</v>
      </c>
      <c r="H3672" s="1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1050</v>
      </c>
      <c r="N3672" t="b">
        <v>1</v>
      </c>
    </row>
    <row r="3673" spans="1:14" x14ac:dyDescent="0.3">
      <c r="A3673" t="s">
        <v>4719</v>
      </c>
      <c r="B3673" t="s">
        <v>606</v>
      </c>
      <c r="C3673" s="1">
        <v>45590</v>
      </c>
      <c r="E3673" t="s">
        <v>15</v>
      </c>
      <c r="F3673">
        <v>17</v>
      </c>
      <c r="G3673" s="12">
        <v>323</v>
      </c>
      <c r="H3673" s="12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1050</v>
      </c>
      <c r="N3673" t="b">
        <v>0</v>
      </c>
    </row>
    <row r="3674" spans="1:14" x14ac:dyDescent="0.3">
      <c r="A3674" t="s">
        <v>4720</v>
      </c>
      <c r="B3674" t="s">
        <v>552</v>
      </c>
      <c r="C3674" s="1">
        <v>45306</v>
      </c>
      <c r="E3674" t="s">
        <v>39</v>
      </c>
      <c r="F3674">
        <v>8</v>
      </c>
      <c r="G3674" s="12">
        <v>392</v>
      </c>
      <c r="H3674" s="12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1047</v>
      </c>
      <c r="N3674" t="b">
        <v>0</v>
      </c>
    </row>
    <row r="3675" spans="1:14" x14ac:dyDescent="0.3">
      <c r="A3675" t="s">
        <v>4721</v>
      </c>
      <c r="B3675" t="s">
        <v>668</v>
      </c>
      <c r="C3675" s="1">
        <v>45410</v>
      </c>
      <c r="E3675" t="s">
        <v>15</v>
      </c>
      <c r="F3675">
        <v>1</v>
      </c>
      <c r="G3675" s="12">
        <v>19</v>
      </c>
      <c r="H3675" s="12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1050</v>
      </c>
      <c r="N3675" t="b">
        <v>0</v>
      </c>
    </row>
    <row r="3676" spans="1:14" x14ac:dyDescent="0.3">
      <c r="A3676" t="s">
        <v>4722</v>
      </c>
      <c r="B3676" t="s">
        <v>502</v>
      </c>
      <c r="C3676" s="1">
        <v>45537</v>
      </c>
      <c r="E3676" t="s">
        <v>32</v>
      </c>
      <c r="F3676">
        <v>44</v>
      </c>
      <c r="G3676" s="12">
        <v>8756</v>
      </c>
      <c r="H3676" s="12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1050</v>
      </c>
      <c r="N3676" t="b">
        <v>1</v>
      </c>
    </row>
    <row r="3677" spans="1:14" x14ac:dyDescent="0.3">
      <c r="A3677" t="s">
        <v>4723</v>
      </c>
      <c r="B3677" t="s">
        <v>97</v>
      </c>
      <c r="C3677" s="1">
        <v>45446</v>
      </c>
      <c r="E3677" t="s">
        <v>39</v>
      </c>
      <c r="F3677">
        <v>37</v>
      </c>
      <c r="G3677" s="12">
        <v>1813</v>
      </c>
      <c r="H3677" s="12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1047</v>
      </c>
      <c r="N3677" t="b">
        <v>1</v>
      </c>
    </row>
    <row r="3678" spans="1:14" x14ac:dyDescent="0.3">
      <c r="A3678" t="s">
        <v>4724</v>
      </c>
      <c r="B3678" t="s">
        <v>840</v>
      </c>
      <c r="C3678" s="1">
        <v>45574</v>
      </c>
      <c r="E3678" t="s">
        <v>32</v>
      </c>
      <c r="F3678">
        <v>14</v>
      </c>
      <c r="G3678" s="12">
        <v>2786</v>
      </c>
      <c r="H3678" s="12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1047</v>
      </c>
      <c r="N3678" t="b">
        <v>0</v>
      </c>
    </row>
    <row r="3679" spans="1:14" x14ac:dyDescent="0.3">
      <c r="A3679" t="s">
        <v>4725</v>
      </c>
      <c r="B3679" t="s">
        <v>402</v>
      </c>
      <c r="C3679" s="1">
        <v>45636</v>
      </c>
      <c r="E3679" t="s">
        <v>15</v>
      </c>
      <c r="F3679">
        <v>28</v>
      </c>
      <c r="G3679" s="12">
        <v>532</v>
      </c>
      <c r="H3679" s="12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1050</v>
      </c>
      <c r="N3679" t="b">
        <v>1</v>
      </c>
    </row>
    <row r="3680" spans="1:14" x14ac:dyDescent="0.3">
      <c r="A3680" t="s">
        <v>4726</v>
      </c>
      <c r="B3680" t="s">
        <v>282</v>
      </c>
      <c r="C3680" s="1">
        <v>45613</v>
      </c>
      <c r="E3680" t="s">
        <v>32</v>
      </c>
      <c r="F3680">
        <v>33</v>
      </c>
      <c r="G3680" s="12">
        <v>6567</v>
      </c>
      <c r="H3680" s="12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1047</v>
      </c>
      <c r="N3680" t="b">
        <v>1</v>
      </c>
    </row>
    <row r="3681" spans="1:14" x14ac:dyDescent="0.3">
      <c r="A3681" t="s">
        <v>4727</v>
      </c>
      <c r="B3681" t="s">
        <v>364</v>
      </c>
      <c r="C3681" s="1">
        <v>45521</v>
      </c>
      <c r="E3681" t="s">
        <v>32</v>
      </c>
      <c r="F3681">
        <v>55</v>
      </c>
      <c r="G3681" s="12">
        <v>10945</v>
      </c>
      <c r="H3681" s="12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1050</v>
      </c>
      <c r="N3681" t="b">
        <v>1</v>
      </c>
    </row>
    <row r="3682" spans="1:14" x14ac:dyDescent="0.3">
      <c r="A3682" t="s">
        <v>4728</v>
      </c>
      <c r="B3682" t="s">
        <v>604</v>
      </c>
      <c r="C3682" s="1">
        <v>45609</v>
      </c>
      <c r="E3682" t="s">
        <v>39</v>
      </c>
      <c r="F3682">
        <v>12</v>
      </c>
      <c r="G3682" s="12">
        <v>588</v>
      </c>
      <c r="H3682" s="1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1050</v>
      </c>
      <c r="N3682" t="b">
        <v>1</v>
      </c>
    </row>
    <row r="3683" spans="1:14" x14ac:dyDescent="0.3">
      <c r="A3683" t="s">
        <v>4729</v>
      </c>
      <c r="B3683" t="s">
        <v>526</v>
      </c>
      <c r="C3683" s="1">
        <v>45386</v>
      </c>
      <c r="E3683" t="s">
        <v>32</v>
      </c>
      <c r="F3683">
        <v>13</v>
      </c>
      <c r="G3683" s="12">
        <v>2587</v>
      </c>
      <c r="H3683" s="12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1047</v>
      </c>
      <c r="N3683" t="b">
        <v>1</v>
      </c>
    </row>
    <row r="3684" spans="1:14" x14ac:dyDescent="0.3">
      <c r="A3684" t="s">
        <v>4730</v>
      </c>
      <c r="B3684" t="s">
        <v>872</v>
      </c>
      <c r="C3684" s="1">
        <v>45641</v>
      </c>
      <c r="E3684" t="s">
        <v>32</v>
      </c>
      <c r="F3684">
        <v>12</v>
      </c>
      <c r="G3684" s="12">
        <v>0</v>
      </c>
      <c r="H3684" s="12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1047</v>
      </c>
      <c r="N3684" t="b">
        <v>1</v>
      </c>
    </row>
    <row r="3685" spans="1:14" x14ac:dyDescent="0.3">
      <c r="A3685" t="s">
        <v>4731</v>
      </c>
      <c r="B3685" t="s">
        <v>1010</v>
      </c>
      <c r="C3685" s="1">
        <v>45598</v>
      </c>
      <c r="E3685" t="s">
        <v>39</v>
      </c>
      <c r="F3685">
        <v>16</v>
      </c>
      <c r="G3685" s="12">
        <v>784</v>
      </c>
      <c r="H3685" s="12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1047</v>
      </c>
      <c r="N3685" t="b">
        <v>0</v>
      </c>
    </row>
    <row r="3686" spans="1:14" x14ac:dyDescent="0.3">
      <c r="A3686" t="s">
        <v>4732</v>
      </c>
      <c r="B3686" t="s">
        <v>782</v>
      </c>
      <c r="C3686" s="1">
        <v>45169</v>
      </c>
      <c r="E3686" t="s">
        <v>32</v>
      </c>
      <c r="F3686">
        <v>9</v>
      </c>
      <c r="G3686" s="12">
        <v>1791</v>
      </c>
      <c r="H3686" s="12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1050</v>
      </c>
      <c r="N3686" t="b">
        <v>1</v>
      </c>
    </row>
    <row r="3687" spans="1:14" x14ac:dyDescent="0.3">
      <c r="A3687" t="s">
        <v>4733</v>
      </c>
      <c r="B3687" t="s">
        <v>284</v>
      </c>
      <c r="C3687" s="1">
        <v>45363</v>
      </c>
      <c r="E3687" t="s">
        <v>39</v>
      </c>
      <c r="F3687">
        <v>23</v>
      </c>
      <c r="G3687" s="12">
        <v>1127</v>
      </c>
      <c r="H3687" s="12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1047</v>
      </c>
      <c r="N3687" t="b">
        <v>0</v>
      </c>
    </row>
    <row r="3688" spans="1:14" x14ac:dyDescent="0.3">
      <c r="A3688" t="s">
        <v>4734</v>
      </c>
      <c r="B3688" t="s">
        <v>334</v>
      </c>
      <c r="C3688" s="1">
        <v>45476</v>
      </c>
      <c r="E3688" t="s">
        <v>15</v>
      </c>
      <c r="F3688">
        <v>4</v>
      </c>
      <c r="G3688" s="12">
        <v>76</v>
      </c>
      <c r="H3688" s="12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1047</v>
      </c>
      <c r="N3688" t="b">
        <v>1</v>
      </c>
    </row>
    <row r="3689" spans="1:14" x14ac:dyDescent="0.3">
      <c r="A3689" t="s">
        <v>4735</v>
      </c>
      <c r="B3689" t="s">
        <v>332</v>
      </c>
      <c r="C3689" s="1">
        <v>44962</v>
      </c>
      <c r="E3689" t="s">
        <v>15</v>
      </c>
      <c r="F3689">
        <v>47</v>
      </c>
      <c r="G3689" s="12">
        <v>0</v>
      </c>
      <c r="H3689" s="12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1050</v>
      </c>
      <c r="N3689" t="b">
        <v>0</v>
      </c>
    </row>
    <row r="3690" spans="1:14" x14ac:dyDescent="0.3">
      <c r="A3690" t="s">
        <v>4736</v>
      </c>
      <c r="B3690" t="s">
        <v>110</v>
      </c>
      <c r="C3690" s="1">
        <v>45427</v>
      </c>
      <c r="E3690" t="s">
        <v>39</v>
      </c>
      <c r="F3690">
        <v>32</v>
      </c>
      <c r="G3690" s="12">
        <v>1568</v>
      </c>
      <c r="H3690" s="12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1047</v>
      </c>
      <c r="N3690" t="b">
        <v>1</v>
      </c>
    </row>
    <row r="3691" spans="1:14" x14ac:dyDescent="0.3">
      <c r="A3691" t="s">
        <v>4737</v>
      </c>
      <c r="B3691" t="s">
        <v>486</v>
      </c>
      <c r="C3691" s="1">
        <v>45503</v>
      </c>
      <c r="E3691" t="s">
        <v>39</v>
      </c>
      <c r="F3691">
        <v>60</v>
      </c>
      <c r="G3691" s="12">
        <v>2940</v>
      </c>
      <c r="H3691" s="12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1047</v>
      </c>
      <c r="N3691" t="b">
        <v>1</v>
      </c>
    </row>
    <row r="3692" spans="1:14" x14ac:dyDescent="0.3">
      <c r="A3692" t="s">
        <v>4738</v>
      </c>
      <c r="B3692" t="s">
        <v>638</v>
      </c>
      <c r="C3692" s="1">
        <v>45647</v>
      </c>
      <c r="D3692" s="1">
        <v>45648</v>
      </c>
      <c r="E3692" t="s">
        <v>39</v>
      </c>
      <c r="F3692">
        <v>19</v>
      </c>
      <c r="G3692" s="12">
        <v>931</v>
      </c>
      <c r="H3692" s="1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1050</v>
      </c>
      <c r="N3692" t="b">
        <v>1</v>
      </c>
    </row>
    <row r="3693" spans="1:14" x14ac:dyDescent="0.3">
      <c r="A3693" t="s">
        <v>4739</v>
      </c>
      <c r="B3693" t="s">
        <v>496</v>
      </c>
      <c r="C3693" s="1">
        <v>45583</v>
      </c>
      <c r="E3693" t="s">
        <v>15</v>
      </c>
      <c r="F3693">
        <v>28</v>
      </c>
      <c r="G3693" s="12">
        <v>0</v>
      </c>
      <c r="H3693" s="12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1050</v>
      </c>
      <c r="N3693" t="b">
        <v>1</v>
      </c>
    </row>
    <row r="3694" spans="1:14" x14ac:dyDescent="0.3">
      <c r="A3694" t="s">
        <v>4740</v>
      </c>
      <c r="B3694" t="s">
        <v>320</v>
      </c>
      <c r="C3694" s="1">
        <v>45444</v>
      </c>
      <c r="E3694" t="s">
        <v>32</v>
      </c>
      <c r="F3694">
        <v>24</v>
      </c>
      <c r="G3694" s="12">
        <v>4776</v>
      </c>
      <c r="H3694" s="12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1047</v>
      </c>
      <c r="N3694" t="b">
        <v>1</v>
      </c>
    </row>
    <row r="3695" spans="1:14" x14ac:dyDescent="0.3">
      <c r="A3695" t="s">
        <v>4741</v>
      </c>
      <c r="B3695" t="s">
        <v>360</v>
      </c>
      <c r="C3695" s="1">
        <v>45651</v>
      </c>
      <c r="E3695" t="s">
        <v>15</v>
      </c>
      <c r="F3695">
        <v>31</v>
      </c>
      <c r="G3695" s="12">
        <v>589</v>
      </c>
      <c r="H3695" s="12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1047</v>
      </c>
      <c r="N3695" t="b">
        <v>0</v>
      </c>
    </row>
    <row r="3696" spans="1:14" x14ac:dyDescent="0.3">
      <c r="A3696" t="s">
        <v>4742</v>
      </c>
      <c r="B3696" t="s">
        <v>80</v>
      </c>
      <c r="C3696" s="1">
        <v>45628</v>
      </c>
      <c r="E3696" t="s">
        <v>39</v>
      </c>
      <c r="F3696">
        <v>19</v>
      </c>
      <c r="G3696" s="12">
        <v>931</v>
      </c>
      <c r="H3696" s="12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1050</v>
      </c>
      <c r="N3696" t="b">
        <v>1</v>
      </c>
    </row>
    <row r="3697" spans="1:14" x14ac:dyDescent="0.3">
      <c r="A3697" t="s">
        <v>4743</v>
      </c>
      <c r="B3697" t="s">
        <v>406</v>
      </c>
      <c r="C3697" s="1">
        <v>45445</v>
      </c>
      <c r="E3697" t="s">
        <v>39</v>
      </c>
      <c r="F3697">
        <v>13</v>
      </c>
      <c r="G3697" s="12">
        <v>637</v>
      </c>
      <c r="H3697" s="12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1050</v>
      </c>
      <c r="N3697" t="b">
        <v>1</v>
      </c>
    </row>
    <row r="3698" spans="1:14" x14ac:dyDescent="0.3">
      <c r="A3698" t="s">
        <v>4744</v>
      </c>
      <c r="B3698" t="s">
        <v>592</v>
      </c>
      <c r="C3698" s="1">
        <v>45170</v>
      </c>
      <c r="E3698" t="s">
        <v>32</v>
      </c>
      <c r="F3698">
        <v>64</v>
      </c>
      <c r="G3698" s="12">
        <v>12736</v>
      </c>
      <c r="H3698" s="12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1050</v>
      </c>
      <c r="N3698" t="b">
        <v>0</v>
      </c>
    </row>
    <row r="3699" spans="1:14" x14ac:dyDescent="0.3">
      <c r="A3699" t="s">
        <v>4745</v>
      </c>
      <c r="B3699" t="s">
        <v>690</v>
      </c>
      <c r="C3699" s="1">
        <v>45462</v>
      </c>
      <c r="E3699" t="s">
        <v>39</v>
      </c>
      <c r="F3699">
        <v>32</v>
      </c>
      <c r="G3699" s="12">
        <v>1568</v>
      </c>
      <c r="H3699" s="12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1047</v>
      </c>
      <c r="N3699" t="b">
        <v>1</v>
      </c>
    </row>
    <row r="3700" spans="1:14" x14ac:dyDescent="0.3">
      <c r="A3700" t="s">
        <v>4746</v>
      </c>
      <c r="B3700" t="s">
        <v>364</v>
      </c>
      <c r="C3700" s="1">
        <v>45586</v>
      </c>
      <c r="E3700" t="s">
        <v>15</v>
      </c>
      <c r="F3700">
        <v>15</v>
      </c>
      <c r="G3700" s="12">
        <v>285</v>
      </c>
      <c r="H3700" s="12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1050</v>
      </c>
      <c r="N3700" t="b">
        <v>0</v>
      </c>
    </row>
    <row r="3701" spans="1:14" x14ac:dyDescent="0.3">
      <c r="A3701" t="s">
        <v>4747</v>
      </c>
      <c r="B3701" t="s">
        <v>360</v>
      </c>
      <c r="C3701" s="1">
        <v>45551</v>
      </c>
      <c r="E3701" t="s">
        <v>32</v>
      </c>
      <c r="F3701">
        <v>23</v>
      </c>
      <c r="G3701" s="12">
        <v>4577</v>
      </c>
      <c r="H3701" s="12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1047</v>
      </c>
      <c r="N3701" t="b">
        <v>1</v>
      </c>
    </row>
    <row r="3702" spans="1:14" x14ac:dyDescent="0.3">
      <c r="A3702" t="s">
        <v>4748</v>
      </c>
      <c r="B3702" t="s">
        <v>934</v>
      </c>
      <c r="C3702" s="1">
        <v>45632</v>
      </c>
      <c r="E3702" t="s">
        <v>15</v>
      </c>
      <c r="F3702">
        <v>46</v>
      </c>
      <c r="G3702" s="12">
        <v>874</v>
      </c>
      <c r="H3702" s="1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1047</v>
      </c>
      <c r="N3702" t="b">
        <v>0</v>
      </c>
    </row>
    <row r="3703" spans="1:14" x14ac:dyDescent="0.3">
      <c r="A3703" t="s">
        <v>4749</v>
      </c>
      <c r="B3703" t="s">
        <v>538</v>
      </c>
      <c r="C3703" s="1">
        <v>45117</v>
      </c>
      <c r="D3703" s="1">
        <v>45260</v>
      </c>
      <c r="E3703" t="s">
        <v>15</v>
      </c>
      <c r="F3703">
        <v>5</v>
      </c>
      <c r="G3703" s="12">
        <v>95</v>
      </c>
      <c r="H3703" s="12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1047</v>
      </c>
      <c r="N3703" t="b">
        <v>0</v>
      </c>
    </row>
    <row r="3704" spans="1:14" x14ac:dyDescent="0.3">
      <c r="A3704" t="s">
        <v>4750</v>
      </c>
      <c r="B3704" t="s">
        <v>134</v>
      </c>
      <c r="C3704" s="1">
        <v>45557</v>
      </c>
      <c r="E3704" t="s">
        <v>15</v>
      </c>
      <c r="F3704">
        <v>22</v>
      </c>
      <c r="G3704" s="12">
        <v>418</v>
      </c>
      <c r="H3704" s="12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1047</v>
      </c>
      <c r="N3704" t="b">
        <v>1</v>
      </c>
    </row>
    <row r="3705" spans="1:14" x14ac:dyDescent="0.3">
      <c r="A3705" t="s">
        <v>4751</v>
      </c>
      <c r="B3705" t="s">
        <v>124</v>
      </c>
      <c r="C3705" s="1">
        <v>45531</v>
      </c>
      <c r="E3705" t="s">
        <v>39</v>
      </c>
      <c r="F3705">
        <v>7</v>
      </c>
      <c r="G3705" s="12">
        <v>0</v>
      </c>
      <c r="H3705" s="12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1050</v>
      </c>
      <c r="N3705" t="b">
        <v>0</v>
      </c>
    </row>
    <row r="3706" spans="1:14" x14ac:dyDescent="0.3">
      <c r="A3706" t="s">
        <v>4752</v>
      </c>
      <c r="B3706" t="s">
        <v>112</v>
      </c>
      <c r="C3706" s="1">
        <v>45634</v>
      </c>
      <c r="E3706" t="s">
        <v>39</v>
      </c>
      <c r="F3706">
        <v>7</v>
      </c>
      <c r="G3706" s="12">
        <v>343</v>
      </c>
      <c r="H3706" s="12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1047</v>
      </c>
      <c r="N3706" t="b">
        <v>1</v>
      </c>
    </row>
    <row r="3707" spans="1:14" x14ac:dyDescent="0.3">
      <c r="A3707" t="s">
        <v>4753</v>
      </c>
      <c r="B3707" t="s">
        <v>534</v>
      </c>
      <c r="C3707" s="1">
        <v>45503</v>
      </c>
      <c r="E3707" t="s">
        <v>32</v>
      </c>
      <c r="F3707">
        <v>45</v>
      </c>
      <c r="G3707" s="12">
        <v>8955</v>
      </c>
      <c r="H3707" s="12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1047</v>
      </c>
      <c r="N3707" t="b">
        <v>1</v>
      </c>
    </row>
    <row r="3708" spans="1:14" x14ac:dyDescent="0.3">
      <c r="A3708" t="s">
        <v>4754</v>
      </c>
      <c r="B3708" t="s">
        <v>566</v>
      </c>
      <c r="C3708" s="1">
        <v>45602</v>
      </c>
      <c r="E3708" t="s">
        <v>32</v>
      </c>
      <c r="F3708">
        <v>61</v>
      </c>
      <c r="G3708" s="12">
        <v>12139</v>
      </c>
      <c r="H3708" s="12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1050</v>
      </c>
      <c r="N3708" t="b">
        <v>1</v>
      </c>
    </row>
    <row r="3709" spans="1:14" x14ac:dyDescent="0.3">
      <c r="A3709" t="s">
        <v>4755</v>
      </c>
      <c r="B3709" t="s">
        <v>740</v>
      </c>
      <c r="C3709" s="1">
        <v>45514</v>
      </c>
      <c r="E3709" t="s">
        <v>32</v>
      </c>
      <c r="F3709">
        <v>26</v>
      </c>
      <c r="G3709" s="12">
        <v>5174</v>
      </c>
      <c r="H3709" s="12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1047</v>
      </c>
      <c r="N3709" t="b">
        <v>0</v>
      </c>
    </row>
    <row r="3710" spans="1:14" x14ac:dyDescent="0.3">
      <c r="A3710" t="s">
        <v>4756</v>
      </c>
      <c r="B3710" t="s">
        <v>862</v>
      </c>
      <c r="C3710" s="1">
        <v>45287</v>
      </c>
      <c r="E3710" t="s">
        <v>39</v>
      </c>
      <c r="F3710">
        <v>53</v>
      </c>
      <c r="G3710" s="12">
        <v>2597</v>
      </c>
      <c r="H3710" s="12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1047</v>
      </c>
      <c r="N3710" t="b">
        <v>1</v>
      </c>
    </row>
    <row r="3711" spans="1:14" x14ac:dyDescent="0.3">
      <c r="A3711" t="s">
        <v>4757</v>
      </c>
      <c r="B3711" t="s">
        <v>148</v>
      </c>
      <c r="C3711" s="1">
        <v>45252</v>
      </c>
      <c r="E3711" t="s">
        <v>15</v>
      </c>
      <c r="F3711">
        <v>9</v>
      </c>
      <c r="G3711" s="12">
        <v>0</v>
      </c>
      <c r="H3711" s="12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1047</v>
      </c>
      <c r="N3711" t="b">
        <v>1</v>
      </c>
    </row>
    <row r="3712" spans="1:14" x14ac:dyDescent="0.3">
      <c r="A3712" t="s">
        <v>4758</v>
      </c>
      <c r="B3712" t="s">
        <v>85</v>
      </c>
      <c r="C3712" s="1">
        <v>45557</v>
      </c>
      <c r="E3712" t="s">
        <v>32</v>
      </c>
      <c r="F3712">
        <v>7</v>
      </c>
      <c r="G3712" s="12">
        <v>1393</v>
      </c>
      <c r="H3712" s="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1047</v>
      </c>
      <c r="N3712" t="b">
        <v>1</v>
      </c>
    </row>
    <row r="3713" spans="1:14" x14ac:dyDescent="0.3">
      <c r="A3713" t="s">
        <v>4759</v>
      </c>
      <c r="B3713" t="s">
        <v>80</v>
      </c>
      <c r="C3713" s="1">
        <v>45513</v>
      </c>
      <c r="E3713" t="s">
        <v>32</v>
      </c>
      <c r="F3713">
        <v>39</v>
      </c>
      <c r="G3713" s="12">
        <v>7761</v>
      </c>
      <c r="H3713" s="12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1047</v>
      </c>
      <c r="N3713" t="b">
        <v>1</v>
      </c>
    </row>
    <row r="3714" spans="1:14" x14ac:dyDescent="0.3">
      <c r="A3714" t="s">
        <v>4760</v>
      </c>
      <c r="B3714" t="s">
        <v>520</v>
      </c>
      <c r="C3714" s="1">
        <v>45556</v>
      </c>
      <c r="E3714" t="s">
        <v>15</v>
      </c>
      <c r="F3714">
        <v>41</v>
      </c>
      <c r="G3714" s="12">
        <v>779</v>
      </c>
      <c r="H3714" s="12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1047</v>
      </c>
      <c r="N3714" t="b">
        <v>1</v>
      </c>
    </row>
    <row r="3715" spans="1:14" x14ac:dyDescent="0.3">
      <c r="A3715" t="s">
        <v>4761</v>
      </c>
      <c r="B3715" t="s">
        <v>806</v>
      </c>
      <c r="C3715" s="1">
        <v>45657</v>
      </c>
      <c r="E3715" t="s">
        <v>15</v>
      </c>
      <c r="F3715">
        <v>12</v>
      </c>
      <c r="G3715" s="12">
        <v>228</v>
      </c>
      <c r="H3715" s="12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1047</v>
      </c>
      <c r="N3715" t="b">
        <v>1</v>
      </c>
    </row>
    <row r="3716" spans="1:14" x14ac:dyDescent="0.3">
      <c r="A3716" t="s">
        <v>4762</v>
      </c>
      <c r="B3716" t="s">
        <v>542</v>
      </c>
      <c r="C3716" s="1">
        <v>45339</v>
      </c>
      <c r="E3716" t="s">
        <v>39</v>
      </c>
      <c r="F3716">
        <v>8</v>
      </c>
      <c r="G3716" s="12">
        <v>392</v>
      </c>
      <c r="H3716" s="12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1050</v>
      </c>
      <c r="N3716" t="b">
        <v>1</v>
      </c>
    </row>
    <row r="3717" spans="1:14" x14ac:dyDescent="0.3">
      <c r="A3717" t="s">
        <v>4763</v>
      </c>
      <c r="B3717" t="s">
        <v>804</v>
      </c>
      <c r="C3717" s="1">
        <v>45457</v>
      </c>
      <c r="E3717" t="s">
        <v>15</v>
      </c>
      <c r="F3717">
        <v>3</v>
      </c>
      <c r="G3717" s="12">
        <v>57</v>
      </c>
      <c r="H3717" s="12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1050</v>
      </c>
      <c r="N3717" t="b">
        <v>0</v>
      </c>
    </row>
    <row r="3718" spans="1:14" x14ac:dyDescent="0.3">
      <c r="A3718" t="s">
        <v>4764</v>
      </c>
      <c r="B3718" t="s">
        <v>534</v>
      </c>
      <c r="C3718" s="1">
        <v>45310</v>
      </c>
      <c r="E3718" t="s">
        <v>32</v>
      </c>
      <c r="F3718">
        <v>19</v>
      </c>
      <c r="G3718" s="12">
        <v>3781</v>
      </c>
      <c r="H3718" s="12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1050</v>
      </c>
      <c r="N3718" t="b">
        <v>1</v>
      </c>
    </row>
    <row r="3719" spans="1:14" x14ac:dyDescent="0.3">
      <c r="A3719" t="s">
        <v>4765</v>
      </c>
      <c r="B3719" t="s">
        <v>592</v>
      </c>
      <c r="C3719" s="1">
        <v>45213</v>
      </c>
      <c r="E3719" t="s">
        <v>15</v>
      </c>
      <c r="F3719">
        <v>64</v>
      </c>
      <c r="G3719" s="12">
        <v>1216</v>
      </c>
      <c r="H3719" s="12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1047</v>
      </c>
      <c r="N3719" t="b">
        <v>1</v>
      </c>
    </row>
    <row r="3720" spans="1:14" x14ac:dyDescent="0.3">
      <c r="A3720" t="s">
        <v>4766</v>
      </c>
      <c r="B3720" t="s">
        <v>632</v>
      </c>
      <c r="C3720" s="1">
        <v>45265</v>
      </c>
      <c r="E3720" t="s">
        <v>15</v>
      </c>
      <c r="F3720">
        <v>17</v>
      </c>
      <c r="G3720" s="12">
        <v>323</v>
      </c>
      <c r="H3720" s="12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1047</v>
      </c>
      <c r="N3720" t="b">
        <v>1</v>
      </c>
    </row>
    <row r="3721" spans="1:14" x14ac:dyDescent="0.3">
      <c r="A3721" t="s">
        <v>4767</v>
      </c>
      <c r="B3721" t="s">
        <v>626</v>
      </c>
      <c r="C3721" s="1">
        <v>45618</v>
      </c>
      <c r="E3721" t="s">
        <v>15</v>
      </c>
      <c r="F3721">
        <v>22</v>
      </c>
      <c r="G3721" s="12">
        <v>418</v>
      </c>
      <c r="H3721" s="12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1050</v>
      </c>
      <c r="N3721" t="b">
        <v>0</v>
      </c>
    </row>
    <row r="3722" spans="1:14" x14ac:dyDescent="0.3">
      <c r="A3722" t="s">
        <v>4768</v>
      </c>
      <c r="B3722" t="s">
        <v>748</v>
      </c>
      <c r="C3722" s="1">
        <v>45466</v>
      </c>
      <c r="E3722" t="s">
        <v>32</v>
      </c>
      <c r="F3722">
        <v>22</v>
      </c>
      <c r="G3722" s="12">
        <v>4378</v>
      </c>
      <c r="H3722" s="1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1050</v>
      </c>
      <c r="N3722" t="b">
        <v>0</v>
      </c>
    </row>
    <row r="3723" spans="1:14" x14ac:dyDescent="0.3">
      <c r="A3723" t="s">
        <v>4769</v>
      </c>
      <c r="B3723" t="s">
        <v>550</v>
      </c>
      <c r="C3723" s="1">
        <v>45121</v>
      </c>
      <c r="E3723" t="s">
        <v>39</v>
      </c>
      <c r="F3723">
        <v>29</v>
      </c>
      <c r="G3723" s="12">
        <v>1421</v>
      </c>
      <c r="H3723" s="12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1047</v>
      </c>
      <c r="N3723" t="b">
        <v>1</v>
      </c>
    </row>
    <row r="3724" spans="1:14" x14ac:dyDescent="0.3">
      <c r="A3724" t="s">
        <v>4770</v>
      </c>
      <c r="B3724" t="s">
        <v>184</v>
      </c>
      <c r="C3724" s="1">
        <v>45590</v>
      </c>
      <c r="E3724" t="s">
        <v>15</v>
      </c>
      <c r="F3724">
        <v>13</v>
      </c>
      <c r="G3724" s="12">
        <v>0</v>
      </c>
      <c r="H3724" s="12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1050</v>
      </c>
      <c r="N3724" t="b">
        <v>1</v>
      </c>
    </row>
    <row r="3725" spans="1:14" x14ac:dyDescent="0.3">
      <c r="A3725" t="s">
        <v>4771</v>
      </c>
      <c r="B3725" t="s">
        <v>302</v>
      </c>
      <c r="C3725" s="1">
        <v>45529</v>
      </c>
      <c r="E3725" t="s">
        <v>39</v>
      </c>
      <c r="F3725">
        <v>47</v>
      </c>
      <c r="G3725" s="12">
        <v>2303</v>
      </c>
      <c r="H3725" s="12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1050</v>
      </c>
      <c r="N3725" t="b">
        <v>0</v>
      </c>
    </row>
    <row r="3726" spans="1:14" x14ac:dyDescent="0.3">
      <c r="A3726" t="s">
        <v>4772</v>
      </c>
      <c r="B3726" t="s">
        <v>192</v>
      </c>
      <c r="C3726" s="1">
        <v>45446</v>
      </c>
      <c r="E3726" t="s">
        <v>32</v>
      </c>
      <c r="F3726">
        <v>9</v>
      </c>
      <c r="G3726" s="12">
        <v>1791</v>
      </c>
      <c r="H3726" s="12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1050</v>
      </c>
      <c r="N3726" t="b">
        <v>1</v>
      </c>
    </row>
    <row r="3727" spans="1:14" x14ac:dyDescent="0.3">
      <c r="A3727" t="s">
        <v>4773</v>
      </c>
      <c r="B3727" t="s">
        <v>372</v>
      </c>
      <c r="C3727" s="1">
        <v>45480</v>
      </c>
      <c r="E3727" t="s">
        <v>39</v>
      </c>
      <c r="F3727">
        <v>40</v>
      </c>
      <c r="G3727" s="12">
        <v>0</v>
      </c>
      <c r="H3727" s="12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1050</v>
      </c>
      <c r="N3727" t="b">
        <v>0</v>
      </c>
    </row>
    <row r="3728" spans="1:14" x14ac:dyDescent="0.3">
      <c r="A3728" t="s">
        <v>4774</v>
      </c>
      <c r="B3728" t="s">
        <v>432</v>
      </c>
      <c r="C3728" s="1">
        <v>45440</v>
      </c>
      <c r="E3728" t="s">
        <v>32</v>
      </c>
      <c r="F3728">
        <v>34</v>
      </c>
      <c r="G3728" s="12">
        <v>6766</v>
      </c>
      <c r="H3728" s="12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1050</v>
      </c>
      <c r="N3728" t="b">
        <v>1</v>
      </c>
    </row>
    <row r="3729" spans="1:14" x14ac:dyDescent="0.3">
      <c r="A3729" t="s">
        <v>4775</v>
      </c>
      <c r="B3729" t="s">
        <v>492</v>
      </c>
      <c r="C3729" s="1">
        <v>45602</v>
      </c>
      <c r="E3729" t="s">
        <v>39</v>
      </c>
      <c r="F3729">
        <v>20</v>
      </c>
      <c r="G3729" s="12">
        <v>980</v>
      </c>
      <c r="H3729" s="12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1050</v>
      </c>
      <c r="N3729" t="b">
        <v>1</v>
      </c>
    </row>
    <row r="3730" spans="1:14" x14ac:dyDescent="0.3">
      <c r="A3730" t="s">
        <v>4776</v>
      </c>
      <c r="B3730" t="s">
        <v>238</v>
      </c>
      <c r="C3730" s="1">
        <v>45266</v>
      </c>
      <c r="E3730" t="s">
        <v>15</v>
      </c>
      <c r="F3730">
        <v>1</v>
      </c>
      <c r="G3730" s="12">
        <v>19</v>
      </c>
      <c r="H3730" s="12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1047</v>
      </c>
      <c r="N3730" t="b">
        <v>1</v>
      </c>
    </row>
    <row r="3731" spans="1:14" x14ac:dyDescent="0.3">
      <c r="A3731" t="s">
        <v>4777</v>
      </c>
      <c r="B3731" t="s">
        <v>426</v>
      </c>
      <c r="C3731" s="1">
        <v>45518</v>
      </c>
      <c r="E3731" t="s">
        <v>32</v>
      </c>
      <c r="F3731">
        <v>45</v>
      </c>
      <c r="G3731" s="12">
        <v>8955</v>
      </c>
      <c r="H3731" s="12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1047</v>
      </c>
      <c r="N3731" t="b">
        <v>1</v>
      </c>
    </row>
    <row r="3732" spans="1:14" x14ac:dyDescent="0.3">
      <c r="A3732" t="s">
        <v>4778</v>
      </c>
      <c r="B3732" t="s">
        <v>234</v>
      </c>
      <c r="C3732" s="1">
        <v>45596</v>
      </c>
      <c r="E3732" t="s">
        <v>32</v>
      </c>
      <c r="F3732">
        <v>19</v>
      </c>
      <c r="G3732" s="12">
        <v>3781</v>
      </c>
      <c r="H3732" s="1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1050</v>
      </c>
      <c r="N3732" t="b">
        <v>0</v>
      </c>
    </row>
    <row r="3733" spans="1:14" x14ac:dyDescent="0.3">
      <c r="A3733" t="s">
        <v>4779</v>
      </c>
      <c r="B3733" t="s">
        <v>882</v>
      </c>
      <c r="C3733" s="1">
        <v>45636</v>
      </c>
      <c r="E3733" t="s">
        <v>32</v>
      </c>
      <c r="F3733">
        <v>8</v>
      </c>
      <c r="G3733" s="12">
        <v>0</v>
      </c>
      <c r="H3733" s="12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1050</v>
      </c>
      <c r="N3733" t="b">
        <v>1</v>
      </c>
    </row>
    <row r="3734" spans="1:14" x14ac:dyDescent="0.3">
      <c r="A3734" t="s">
        <v>4780</v>
      </c>
      <c r="B3734" t="s">
        <v>398</v>
      </c>
      <c r="C3734" s="1">
        <v>45494</v>
      </c>
      <c r="E3734" t="s">
        <v>15</v>
      </c>
      <c r="F3734">
        <v>22</v>
      </c>
      <c r="G3734" s="12">
        <v>418</v>
      </c>
      <c r="H3734" s="12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1047</v>
      </c>
      <c r="N3734" t="b">
        <v>1</v>
      </c>
    </row>
    <row r="3735" spans="1:14" x14ac:dyDescent="0.3">
      <c r="A3735" t="s">
        <v>4781</v>
      </c>
      <c r="B3735" t="s">
        <v>610</v>
      </c>
      <c r="C3735" s="1">
        <v>45650</v>
      </c>
      <c r="E3735" t="s">
        <v>39</v>
      </c>
      <c r="F3735">
        <v>17</v>
      </c>
      <c r="G3735" s="12">
        <v>833</v>
      </c>
      <c r="H3735" s="12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1047</v>
      </c>
      <c r="N3735" t="b">
        <v>1</v>
      </c>
    </row>
    <row r="3736" spans="1:14" x14ac:dyDescent="0.3">
      <c r="A3736" t="s">
        <v>4782</v>
      </c>
      <c r="B3736" t="s">
        <v>552</v>
      </c>
      <c r="C3736" s="1">
        <v>45270</v>
      </c>
      <c r="E3736" t="s">
        <v>39</v>
      </c>
      <c r="F3736">
        <v>8</v>
      </c>
      <c r="G3736" s="12">
        <v>0</v>
      </c>
      <c r="H3736" s="12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1047</v>
      </c>
      <c r="N3736" t="b">
        <v>1</v>
      </c>
    </row>
    <row r="3737" spans="1:14" x14ac:dyDescent="0.3">
      <c r="A3737" t="s">
        <v>4783</v>
      </c>
      <c r="B3737" t="s">
        <v>250</v>
      </c>
      <c r="C3737" s="1">
        <v>45248</v>
      </c>
      <c r="E3737" t="s">
        <v>39</v>
      </c>
      <c r="F3737">
        <v>71</v>
      </c>
      <c r="G3737" s="12">
        <v>3479</v>
      </c>
      <c r="H3737" s="12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1047</v>
      </c>
      <c r="N3737" t="b">
        <v>1</v>
      </c>
    </row>
    <row r="3738" spans="1:14" x14ac:dyDescent="0.3">
      <c r="A3738" t="s">
        <v>4784</v>
      </c>
      <c r="B3738" t="s">
        <v>540</v>
      </c>
      <c r="C3738" s="1">
        <v>45630</v>
      </c>
      <c r="E3738" t="s">
        <v>32</v>
      </c>
      <c r="F3738">
        <v>16</v>
      </c>
      <c r="G3738" s="12">
        <v>3184</v>
      </c>
      <c r="H3738" s="12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1050</v>
      </c>
      <c r="N3738" t="b">
        <v>1</v>
      </c>
    </row>
    <row r="3739" spans="1:14" x14ac:dyDescent="0.3">
      <c r="A3739" t="s">
        <v>4785</v>
      </c>
      <c r="B3739" t="s">
        <v>498</v>
      </c>
      <c r="C3739" s="1">
        <v>45383</v>
      </c>
      <c r="E3739" t="s">
        <v>32</v>
      </c>
      <c r="F3739">
        <v>10</v>
      </c>
      <c r="G3739" s="12">
        <v>1990</v>
      </c>
      <c r="H3739" s="12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1047</v>
      </c>
      <c r="N3739" t="b">
        <v>1</v>
      </c>
    </row>
    <row r="3740" spans="1:14" x14ac:dyDescent="0.3">
      <c r="A3740" t="s">
        <v>4786</v>
      </c>
      <c r="B3740" t="s">
        <v>972</v>
      </c>
      <c r="C3740" s="1">
        <v>45487</v>
      </c>
      <c r="D3740" s="1">
        <v>45630</v>
      </c>
      <c r="E3740" t="s">
        <v>39</v>
      </c>
      <c r="F3740">
        <v>2</v>
      </c>
      <c r="G3740" s="12">
        <v>98</v>
      </c>
      <c r="H3740" s="12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1050</v>
      </c>
      <c r="N3740" t="b">
        <v>1</v>
      </c>
    </row>
    <row r="3741" spans="1:14" x14ac:dyDescent="0.3">
      <c r="A3741" t="s">
        <v>4787</v>
      </c>
      <c r="B3741" t="s">
        <v>844</v>
      </c>
      <c r="C3741" s="1">
        <v>45480</v>
      </c>
      <c r="E3741" t="s">
        <v>15</v>
      </c>
      <c r="F3741">
        <v>3</v>
      </c>
      <c r="G3741" s="12">
        <v>57</v>
      </c>
      <c r="H3741" s="12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1047</v>
      </c>
      <c r="N3741" t="b">
        <v>1</v>
      </c>
    </row>
    <row r="3742" spans="1:14" x14ac:dyDescent="0.3">
      <c r="A3742" t="s">
        <v>4788</v>
      </c>
      <c r="B3742" t="s">
        <v>934</v>
      </c>
      <c r="C3742" s="1">
        <v>45502</v>
      </c>
      <c r="E3742" t="s">
        <v>15</v>
      </c>
      <c r="F3742">
        <v>46</v>
      </c>
      <c r="G3742" s="12">
        <v>874</v>
      </c>
      <c r="H3742" s="1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1047</v>
      </c>
      <c r="N3742" t="b">
        <v>1</v>
      </c>
    </row>
    <row r="3743" spans="1:14" x14ac:dyDescent="0.3">
      <c r="A3743" t="s">
        <v>4789</v>
      </c>
      <c r="B3743" t="s">
        <v>906</v>
      </c>
      <c r="C3743" s="1">
        <v>45089</v>
      </c>
      <c r="E3743" t="s">
        <v>39</v>
      </c>
      <c r="F3743">
        <v>16</v>
      </c>
      <c r="G3743" s="12">
        <v>784</v>
      </c>
      <c r="H3743" s="12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1047</v>
      </c>
      <c r="N3743" t="b">
        <v>1</v>
      </c>
    </row>
    <row r="3744" spans="1:14" x14ac:dyDescent="0.3">
      <c r="A3744" t="s">
        <v>4790</v>
      </c>
      <c r="B3744" t="s">
        <v>340</v>
      </c>
      <c r="C3744" s="1">
        <v>45634</v>
      </c>
      <c r="E3744" t="s">
        <v>39</v>
      </c>
      <c r="F3744">
        <v>12</v>
      </c>
      <c r="G3744" s="12">
        <v>588</v>
      </c>
      <c r="H3744" s="12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1047</v>
      </c>
      <c r="N3744" t="b">
        <v>1</v>
      </c>
    </row>
    <row r="3745" spans="1:14" x14ac:dyDescent="0.3">
      <c r="A3745" t="s">
        <v>4791</v>
      </c>
      <c r="B3745" t="s">
        <v>128</v>
      </c>
      <c r="C3745" s="1">
        <v>45208</v>
      </c>
      <c r="E3745" t="s">
        <v>39</v>
      </c>
      <c r="F3745">
        <v>21</v>
      </c>
      <c r="G3745" s="12">
        <v>1029</v>
      </c>
      <c r="H3745" s="12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1047</v>
      </c>
      <c r="N3745" t="b">
        <v>1</v>
      </c>
    </row>
    <row r="3746" spans="1:14" x14ac:dyDescent="0.3">
      <c r="A3746" t="s">
        <v>4792</v>
      </c>
      <c r="B3746" t="s">
        <v>690</v>
      </c>
      <c r="C3746" s="1">
        <v>45394</v>
      </c>
      <c r="E3746" t="s">
        <v>39</v>
      </c>
      <c r="F3746">
        <v>41</v>
      </c>
      <c r="G3746" s="12">
        <v>2009</v>
      </c>
      <c r="H3746" s="12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1050</v>
      </c>
      <c r="N3746" t="b">
        <v>1</v>
      </c>
    </row>
    <row r="3747" spans="1:14" x14ac:dyDescent="0.3">
      <c r="A3747" t="s">
        <v>4793</v>
      </c>
      <c r="B3747" t="s">
        <v>106</v>
      </c>
      <c r="C3747" s="1">
        <v>45641</v>
      </c>
      <c r="E3747" t="s">
        <v>39</v>
      </c>
      <c r="F3747">
        <v>91</v>
      </c>
      <c r="G3747" s="12">
        <v>4459</v>
      </c>
      <c r="H3747" s="12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1047</v>
      </c>
      <c r="N3747" t="b">
        <v>0</v>
      </c>
    </row>
    <row r="3748" spans="1:14" x14ac:dyDescent="0.3">
      <c r="A3748" t="s">
        <v>4794</v>
      </c>
      <c r="B3748" t="s">
        <v>334</v>
      </c>
      <c r="C3748" s="1">
        <v>45360</v>
      </c>
      <c r="E3748" t="s">
        <v>15</v>
      </c>
      <c r="F3748">
        <v>7</v>
      </c>
      <c r="G3748" s="12">
        <v>133</v>
      </c>
      <c r="H3748" s="12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1050</v>
      </c>
      <c r="N3748" t="b">
        <v>1</v>
      </c>
    </row>
    <row r="3749" spans="1:14" x14ac:dyDescent="0.3">
      <c r="A3749" t="s">
        <v>4795</v>
      </c>
      <c r="B3749" t="s">
        <v>174</v>
      </c>
      <c r="C3749" s="1">
        <v>45339</v>
      </c>
      <c r="E3749" t="s">
        <v>39</v>
      </c>
      <c r="F3749">
        <v>26</v>
      </c>
      <c r="G3749" s="12">
        <v>1274</v>
      </c>
      <c r="H3749" s="12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1047</v>
      </c>
      <c r="N3749" t="b">
        <v>1</v>
      </c>
    </row>
    <row r="3750" spans="1:14" x14ac:dyDescent="0.3">
      <c r="A3750" t="s">
        <v>4796</v>
      </c>
      <c r="B3750" t="s">
        <v>152</v>
      </c>
      <c r="C3750" s="1">
        <v>45080</v>
      </c>
      <c r="E3750" t="s">
        <v>39</v>
      </c>
      <c r="F3750">
        <v>41</v>
      </c>
      <c r="G3750" s="12">
        <v>2009</v>
      </c>
      <c r="H3750" s="12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1047</v>
      </c>
      <c r="N3750" t="b">
        <v>0</v>
      </c>
    </row>
    <row r="3751" spans="1:14" x14ac:dyDescent="0.3">
      <c r="A3751" t="s">
        <v>4797</v>
      </c>
      <c r="B3751" t="s">
        <v>40</v>
      </c>
      <c r="C3751" s="1">
        <v>45146</v>
      </c>
      <c r="E3751" t="s">
        <v>15</v>
      </c>
      <c r="F3751">
        <v>3</v>
      </c>
      <c r="G3751" s="12">
        <v>57</v>
      </c>
      <c r="H3751" s="12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1047</v>
      </c>
      <c r="N3751" t="b">
        <v>1</v>
      </c>
    </row>
    <row r="3752" spans="1:14" x14ac:dyDescent="0.3">
      <c r="A3752" t="s">
        <v>4798</v>
      </c>
      <c r="B3752" t="s">
        <v>496</v>
      </c>
      <c r="C3752" s="1">
        <v>45622</v>
      </c>
      <c r="D3752" s="1">
        <v>45657</v>
      </c>
      <c r="E3752" t="s">
        <v>32</v>
      </c>
      <c r="F3752">
        <v>23</v>
      </c>
      <c r="G3752" s="12">
        <v>4577</v>
      </c>
      <c r="H3752" s="1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1050</v>
      </c>
      <c r="N3752" t="b">
        <v>1</v>
      </c>
    </row>
    <row r="3753" spans="1:14" x14ac:dyDescent="0.3">
      <c r="A3753" t="s">
        <v>4799</v>
      </c>
      <c r="B3753" t="s">
        <v>306</v>
      </c>
      <c r="C3753" s="1">
        <v>45535</v>
      </c>
      <c r="E3753" t="s">
        <v>32</v>
      </c>
      <c r="F3753">
        <v>19</v>
      </c>
      <c r="G3753" s="12">
        <v>3781</v>
      </c>
      <c r="H3753" s="12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1050</v>
      </c>
      <c r="N3753" t="b">
        <v>0</v>
      </c>
    </row>
    <row r="3754" spans="1:14" x14ac:dyDescent="0.3">
      <c r="A3754" t="s">
        <v>4800</v>
      </c>
      <c r="B3754" t="s">
        <v>93</v>
      </c>
      <c r="C3754" s="1">
        <v>45657</v>
      </c>
      <c r="E3754" t="s">
        <v>32</v>
      </c>
      <c r="F3754">
        <v>14</v>
      </c>
      <c r="G3754" s="12">
        <v>2786</v>
      </c>
      <c r="H3754" s="12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1047</v>
      </c>
      <c r="N3754" t="b">
        <v>1</v>
      </c>
    </row>
    <row r="3755" spans="1:14" x14ac:dyDescent="0.3">
      <c r="A3755" t="s">
        <v>4801</v>
      </c>
      <c r="B3755" t="s">
        <v>250</v>
      </c>
      <c r="C3755" s="1">
        <v>45129</v>
      </c>
      <c r="E3755" t="s">
        <v>39</v>
      </c>
      <c r="F3755">
        <v>8</v>
      </c>
      <c r="G3755" s="12">
        <v>392</v>
      </c>
      <c r="H3755" s="12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1050</v>
      </c>
      <c r="N3755" t="b">
        <v>1</v>
      </c>
    </row>
    <row r="3756" spans="1:14" x14ac:dyDescent="0.3">
      <c r="A3756" t="s">
        <v>4802</v>
      </c>
      <c r="B3756" t="s">
        <v>57</v>
      </c>
      <c r="C3756" s="1">
        <v>45196</v>
      </c>
      <c r="E3756" t="s">
        <v>39</v>
      </c>
      <c r="F3756">
        <v>21</v>
      </c>
      <c r="G3756" s="12">
        <v>1029</v>
      </c>
      <c r="H3756" s="12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1050</v>
      </c>
      <c r="N3756" t="b">
        <v>0</v>
      </c>
    </row>
    <row r="3757" spans="1:14" x14ac:dyDescent="0.3">
      <c r="A3757" t="s">
        <v>4803</v>
      </c>
      <c r="B3757" t="s">
        <v>880</v>
      </c>
      <c r="C3757" s="1">
        <v>45562</v>
      </c>
      <c r="E3757" t="s">
        <v>39</v>
      </c>
      <c r="F3757">
        <v>63</v>
      </c>
      <c r="G3757" s="12">
        <v>3087</v>
      </c>
      <c r="H3757" s="12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1047</v>
      </c>
      <c r="N3757" t="b">
        <v>1</v>
      </c>
    </row>
    <row r="3758" spans="1:14" x14ac:dyDescent="0.3">
      <c r="A3758" t="s">
        <v>4804</v>
      </c>
      <c r="B3758" t="s">
        <v>1026</v>
      </c>
      <c r="C3758" s="1">
        <v>45151</v>
      </c>
      <c r="E3758" t="s">
        <v>32</v>
      </c>
      <c r="F3758">
        <v>18</v>
      </c>
      <c r="G3758" s="12">
        <v>0</v>
      </c>
      <c r="H3758" s="12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1047</v>
      </c>
      <c r="N3758" t="b">
        <v>1</v>
      </c>
    </row>
    <row r="3759" spans="1:14" x14ac:dyDescent="0.3">
      <c r="A3759" t="s">
        <v>4805</v>
      </c>
      <c r="B3759" t="s">
        <v>702</v>
      </c>
      <c r="C3759" s="1">
        <v>45407</v>
      </c>
      <c r="E3759" t="s">
        <v>39</v>
      </c>
      <c r="F3759">
        <v>123</v>
      </c>
      <c r="G3759" s="12">
        <v>6027</v>
      </c>
      <c r="H3759" s="12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1050</v>
      </c>
      <c r="N3759" t="b">
        <v>1</v>
      </c>
    </row>
    <row r="3760" spans="1:14" x14ac:dyDescent="0.3">
      <c r="A3760" t="s">
        <v>4806</v>
      </c>
      <c r="B3760" t="s">
        <v>766</v>
      </c>
      <c r="C3760" s="1">
        <v>45537</v>
      </c>
      <c r="E3760" t="s">
        <v>15</v>
      </c>
      <c r="F3760">
        <v>105</v>
      </c>
      <c r="G3760" s="12">
        <v>1995</v>
      </c>
      <c r="H3760" s="12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1050</v>
      </c>
      <c r="N3760" t="b">
        <v>1</v>
      </c>
    </row>
    <row r="3761" spans="1:14" x14ac:dyDescent="0.3">
      <c r="A3761" t="s">
        <v>4807</v>
      </c>
      <c r="B3761" t="s">
        <v>51</v>
      </c>
      <c r="C3761" s="1">
        <v>45308</v>
      </c>
      <c r="E3761" t="s">
        <v>15</v>
      </c>
      <c r="F3761">
        <v>7</v>
      </c>
      <c r="G3761" s="12">
        <v>133</v>
      </c>
      <c r="H3761" s="12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1047</v>
      </c>
      <c r="N3761" t="b">
        <v>1</v>
      </c>
    </row>
    <row r="3762" spans="1:14" x14ac:dyDescent="0.3">
      <c r="A3762" t="s">
        <v>4808</v>
      </c>
      <c r="B3762" t="s">
        <v>736</v>
      </c>
      <c r="C3762" s="1">
        <v>45464</v>
      </c>
      <c r="E3762" t="s">
        <v>15</v>
      </c>
      <c r="F3762">
        <v>26</v>
      </c>
      <c r="G3762" s="12">
        <v>494</v>
      </c>
      <c r="H3762" s="1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1047</v>
      </c>
      <c r="N3762" t="b">
        <v>1</v>
      </c>
    </row>
    <row r="3763" spans="1:14" x14ac:dyDescent="0.3">
      <c r="A3763" t="s">
        <v>4809</v>
      </c>
      <c r="B3763" t="s">
        <v>924</v>
      </c>
      <c r="C3763" s="1">
        <v>45562</v>
      </c>
      <c r="E3763" t="s">
        <v>39</v>
      </c>
      <c r="F3763">
        <v>12</v>
      </c>
      <c r="G3763" s="12">
        <v>588</v>
      </c>
      <c r="H3763" s="12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1050</v>
      </c>
      <c r="N3763" t="b">
        <v>1</v>
      </c>
    </row>
    <row r="3764" spans="1:14" x14ac:dyDescent="0.3">
      <c r="A3764" t="s">
        <v>4810</v>
      </c>
      <c r="B3764" t="s">
        <v>840</v>
      </c>
      <c r="C3764" s="1">
        <v>45563</v>
      </c>
      <c r="E3764" t="s">
        <v>32</v>
      </c>
      <c r="F3764">
        <v>12</v>
      </c>
      <c r="G3764" s="12">
        <v>0</v>
      </c>
      <c r="H3764" s="12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1047</v>
      </c>
      <c r="N3764" t="b">
        <v>1</v>
      </c>
    </row>
    <row r="3765" spans="1:14" x14ac:dyDescent="0.3">
      <c r="A3765" t="s">
        <v>4811</v>
      </c>
      <c r="B3765" t="s">
        <v>322</v>
      </c>
      <c r="C3765" s="1">
        <v>45443</v>
      </c>
      <c r="E3765" t="s">
        <v>15</v>
      </c>
      <c r="F3765">
        <v>27</v>
      </c>
      <c r="G3765" s="12">
        <v>513</v>
      </c>
      <c r="H3765" s="12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1050</v>
      </c>
      <c r="N3765" t="b">
        <v>1</v>
      </c>
    </row>
    <row r="3766" spans="1:14" x14ac:dyDescent="0.3">
      <c r="A3766" t="s">
        <v>4812</v>
      </c>
      <c r="B3766" t="s">
        <v>496</v>
      </c>
      <c r="C3766" s="1">
        <v>45653</v>
      </c>
      <c r="E3766" t="s">
        <v>39</v>
      </c>
      <c r="F3766">
        <v>77</v>
      </c>
      <c r="G3766" s="12">
        <v>0</v>
      </c>
      <c r="H3766" s="12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1047</v>
      </c>
      <c r="N3766" t="b">
        <v>1</v>
      </c>
    </row>
    <row r="3767" spans="1:14" x14ac:dyDescent="0.3">
      <c r="A3767" t="s">
        <v>4813</v>
      </c>
      <c r="B3767" t="s">
        <v>412</v>
      </c>
      <c r="C3767" s="1">
        <v>45527</v>
      </c>
      <c r="E3767" t="s">
        <v>32</v>
      </c>
      <c r="F3767">
        <v>19</v>
      </c>
      <c r="G3767" s="12">
        <v>3781</v>
      </c>
      <c r="H3767" s="12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1047</v>
      </c>
      <c r="N3767" t="b">
        <v>1</v>
      </c>
    </row>
    <row r="3768" spans="1:14" x14ac:dyDescent="0.3">
      <c r="A3768" t="s">
        <v>4814</v>
      </c>
      <c r="B3768" t="s">
        <v>358</v>
      </c>
      <c r="C3768" s="1">
        <v>45617</v>
      </c>
      <c r="E3768" t="s">
        <v>32</v>
      </c>
      <c r="F3768">
        <v>14</v>
      </c>
      <c r="G3768" s="12">
        <v>2786</v>
      </c>
      <c r="H3768" s="12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1050</v>
      </c>
      <c r="N3768" t="b">
        <v>1</v>
      </c>
    </row>
    <row r="3769" spans="1:14" x14ac:dyDescent="0.3">
      <c r="A3769" t="s">
        <v>4815</v>
      </c>
      <c r="B3769" t="s">
        <v>446</v>
      </c>
      <c r="C3769" s="1">
        <v>45408</v>
      </c>
      <c r="E3769" t="s">
        <v>32</v>
      </c>
      <c r="F3769">
        <v>19</v>
      </c>
      <c r="G3769" s="12">
        <v>3781</v>
      </c>
      <c r="H3769" s="12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1050</v>
      </c>
      <c r="N3769" t="b">
        <v>1</v>
      </c>
    </row>
    <row r="3770" spans="1:14" x14ac:dyDescent="0.3">
      <c r="A3770" t="s">
        <v>4816</v>
      </c>
      <c r="B3770" t="s">
        <v>410</v>
      </c>
      <c r="C3770" s="1">
        <v>45503</v>
      </c>
      <c r="E3770" t="s">
        <v>39</v>
      </c>
      <c r="F3770">
        <v>14</v>
      </c>
      <c r="G3770" s="12">
        <v>686</v>
      </c>
      <c r="H3770" s="12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1050</v>
      </c>
      <c r="N3770" t="b">
        <v>0</v>
      </c>
    </row>
    <row r="3771" spans="1:14" x14ac:dyDescent="0.3">
      <c r="A3771" t="s">
        <v>4817</v>
      </c>
      <c r="B3771" t="s">
        <v>180</v>
      </c>
      <c r="C3771" s="1">
        <v>45612</v>
      </c>
      <c r="E3771" t="s">
        <v>39</v>
      </c>
      <c r="F3771">
        <v>7</v>
      </c>
      <c r="G3771" s="12">
        <v>343</v>
      </c>
      <c r="H3771" s="12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1050</v>
      </c>
      <c r="N3771" t="b">
        <v>1</v>
      </c>
    </row>
    <row r="3772" spans="1:14" x14ac:dyDescent="0.3">
      <c r="A3772" t="s">
        <v>4818</v>
      </c>
      <c r="B3772" t="s">
        <v>398</v>
      </c>
      <c r="C3772" s="1">
        <v>45478</v>
      </c>
      <c r="E3772" t="s">
        <v>15</v>
      </c>
      <c r="F3772">
        <v>16</v>
      </c>
      <c r="G3772" s="12">
        <v>304</v>
      </c>
      <c r="H3772" s="1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1050</v>
      </c>
      <c r="N3772" t="b">
        <v>1</v>
      </c>
    </row>
    <row r="3773" spans="1:14" x14ac:dyDescent="0.3">
      <c r="A3773" t="s">
        <v>4819</v>
      </c>
      <c r="B3773" t="s">
        <v>936</v>
      </c>
      <c r="C3773" s="1">
        <v>45562</v>
      </c>
      <c r="E3773" t="s">
        <v>39</v>
      </c>
      <c r="F3773">
        <v>17</v>
      </c>
      <c r="G3773" s="12">
        <v>0</v>
      </c>
      <c r="H3773" s="12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1050</v>
      </c>
      <c r="N3773" t="b">
        <v>0</v>
      </c>
    </row>
    <row r="3774" spans="1:14" x14ac:dyDescent="0.3">
      <c r="A3774" t="s">
        <v>4820</v>
      </c>
      <c r="B3774" t="s">
        <v>690</v>
      </c>
      <c r="C3774" s="1">
        <v>45535</v>
      </c>
      <c r="E3774" t="s">
        <v>39</v>
      </c>
      <c r="F3774">
        <v>32</v>
      </c>
      <c r="G3774" s="12">
        <v>1568</v>
      </c>
      <c r="H3774" s="12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1047</v>
      </c>
      <c r="N3774" t="b">
        <v>1</v>
      </c>
    </row>
    <row r="3775" spans="1:14" x14ac:dyDescent="0.3">
      <c r="A3775" t="s">
        <v>4821</v>
      </c>
      <c r="B3775" t="s">
        <v>940</v>
      </c>
      <c r="C3775" s="1">
        <v>45420</v>
      </c>
      <c r="E3775" t="s">
        <v>39</v>
      </c>
      <c r="F3775">
        <v>29</v>
      </c>
      <c r="G3775" s="12">
        <v>1421</v>
      </c>
      <c r="H3775" s="12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1047</v>
      </c>
      <c r="N3775" t="b">
        <v>1</v>
      </c>
    </row>
    <row r="3776" spans="1:14" x14ac:dyDescent="0.3">
      <c r="A3776" t="s">
        <v>4822</v>
      </c>
      <c r="B3776" t="s">
        <v>642</v>
      </c>
      <c r="C3776" s="1">
        <v>45418</v>
      </c>
      <c r="E3776" t="s">
        <v>32</v>
      </c>
      <c r="F3776">
        <v>28</v>
      </c>
      <c r="G3776" s="12">
        <v>5572</v>
      </c>
      <c r="H3776" s="12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1047</v>
      </c>
      <c r="N3776" t="b">
        <v>1</v>
      </c>
    </row>
    <row r="3777" spans="1:14" x14ac:dyDescent="0.3">
      <c r="A3777" t="s">
        <v>4823</v>
      </c>
      <c r="B3777" t="s">
        <v>900</v>
      </c>
      <c r="C3777" s="1">
        <v>45656</v>
      </c>
      <c r="E3777" t="s">
        <v>32</v>
      </c>
      <c r="F3777">
        <v>40</v>
      </c>
      <c r="G3777" s="12">
        <v>7960</v>
      </c>
      <c r="H3777" s="12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1047</v>
      </c>
      <c r="N3777" t="b">
        <v>1</v>
      </c>
    </row>
    <row r="3778" spans="1:14" x14ac:dyDescent="0.3">
      <c r="A3778" t="s">
        <v>4824</v>
      </c>
      <c r="B3778" t="s">
        <v>864</v>
      </c>
      <c r="C3778" s="1">
        <v>45652</v>
      </c>
      <c r="E3778" t="s">
        <v>15</v>
      </c>
      <c r="F3778">
        <v>17</v>
      </c>
      <c r="G3778" s="12">
        <v>0</v>
      </c>
      <c r="H3778" s="12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1050</v>
      </c>
      <c r="N3778" t="b">
        <v>0</v>
      </c>
    </row>
    <row r="3779" spans="1:14" x14ac:dyDescent="0.3">
      <c r="A3779" t="s">
        <v>4825</v>
      </c>
      <c r="B3779" t="s">
        <v>112</v>
      </c>
      <c r="C3779" s="1">
        <v>45636</v>
      </c>
      <c r="E3779" t="s">
        <v>15</v>
      </c>
      <c r="F3779">
        <v>30</v>
      </c>
      <c r="G3779" s="12">
        <v>0</v>
      </c>
      <c r="H3779" s="12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1047</v>
      </c>
      <c r="N3779" t="b">
        <v>1</v>
      </c>
    </row>
    <row r="3780" spans="1:14" x14ac:dyDescent="0.3">
      <c r="A3780" t="s">
        <v>4826</v>
      </c>
      <c r="B3780" t="s">
        <v>562</v>
      </c>
      <c r="C3780" s="1">
        <v>45443</v>
      </c>
      <c r="E3780" t="s">
        <v>32</v>
      </c>
      <c r="F3780">
        <v>71</v>
      </c>
      <c r="G3780" s="12">
        <v>14129</v>
      </c>
      <c r="H3780" s="12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1047</v>
      </c>
      <c r="N3780" t="b">
        <v>1</v>
      </c>
    </row>
    <row r="3781" spans="1:14" x14ac:dyDescent="0.3">
      <c r="A3781" t="s">
        <v>4827</v>
      </c>
      <c r="B3781" t="s">
        <v>290</v>
      </c>
      <c r="C3781" s="1">
        <v>45619</v>
      </c>
      <c r="E3781" t="s">
        <v>32</v>
      </c>
      <c r="F3781">
        <v>93</v>
      </c>
      <c r="G3781" s="12">
        <v>18507</v>
      </c>
      <c r="H3781" s="12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1047</v>
      </c>
      <c r="N3781" t="b">
        <v>1</v>
      </c>
    </row>
    <row r="3782" spans="1:14" x14ac:dyDescent="0.3">
      <c r="A3782" t="s">
        <v>4828</v>
      </c>
      <c r="B3782" t="s">
        <v>786</v>
      </c>
      <c r="C3782" s="1">
        <v>45510</v>
      </c>
      <c r="E3782" t="s">
        <v>32</v>
      </c>
      <c r="F3782">
        <v>22</v>
      </c>
      <c r="G3782" s="12">
        <v>4378</v>
      </c>
      <c r="H3782" s="1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1050</v>
      </c>
      <c r="N3782" t="b">
        <v>0</v>
      </c>
    </row>
    <row r="3783" spans="1:14" x14ac:dyDescent="0.3">
      <c r="A3783" t="s">
        <v>4829</v>
      </c>
      <c r="B3783" t="s">
        <v>530</v>
      </c>
      <c r="C3783" s="1">
        <v>45571</v>
      </c>
      <c r="E3783" t="s">
        <v>39</v>
      </c>
      <c r="F3783">
        <v>2</v>
      </c>
      <c r="G3783" s="12">
        <v>98</v>
      </c>
      <c r="H3783" s="12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1050</v>
      </c>
      <c r="N3783" t="b">
        <v>1</v>
      </c>
    </row>
    <row r="3784" spans="1:14" x14ac:dyDescent="0.3">
      <c r="A3784" t="s">
        <v>4830</v>
      </c>
      <c r="B3784" t="s">
        <v>590</v>
      </c>
      <c r="C3784" s="1">
        <v>45591</v>
      </c>
      <c r="E3784" t="s">
        <v>32</v>
      </c>
      <c r="F3784">
        <v>11</v>
      </c>
      <c r="G3784" s="12">
        <v>0</v>
      </c>
      <c r="H3784" s="12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1050</v>
      </c>
      <c r="N3784" t="b">
        <v>1</v>
      </c>
    </row>
    <row r="3785" spans="1:14" x14ac:dyDescent="0.3">
      <c r="A3785" t="s">
        <v>4831</v>
      </c>
      <c r="B3785" t="s">
        <v>254</v>
      </c>
      <c r="C3785" s="1">
        <v>45635</v>
      </c>
      <c r="E3785" t="s">
        <v>39</v>
      </c>
      <c r="F3785">
        <v>38</v>
      </c>
      <c r="G3785" s="12">
        <v>1862</v>
      </c>
      <c r="H3785" s="12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1050</v>
      </c>
      <c r="N3785" t="b">
        <v>1</v>
      </c>
    </row>
    <row r="3786" spans="1:14" x14ac:dyDescent="0.3">
      <c r="A3786" t="s">
        <v>4832</v>
      </c>
      <c r="B3786" t="s">
        <v>734</v>
      </c>
      <c r="C3786" s="1">
        <v>45646</v>
      </c>
      <c r="E3786" t="s">
        <v>15</v>
      </c>
      <c r="F3786">
        <v>29</v>
      </c>
      <c r="G3786" s="12">
        <v>551</v>
      </c>
      <c r="H3786" s="12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1047</v>
      </c>
      <c r="N3786" t="b">
        <v>1</v>
      </c>
    </row>
    <row r="3787" spans="1:14" x14ac:dyDescent="0.3">
      <c r="A3787" t="s">
        <v>4833</v>
      </c>
      <c r="B3787" t="s">
        <v>684</v>
      </c>
      <c r="C3787" s="1">
        <v>45573</v>
      </c>
      <c r="E3787" t="s">
        <v>39</v>
      </c>
      <c r="F3787">
        <v>29</v>
      </c>
      <c r="G3787" s="12">
        <v>1421</v>
      </c>
      <c r="H3787" s="12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1047</v>
      </c>
      <c r="N3787" t="b">
        <v>1</v>
      </c>
    </row>
    <row r="3788" spans="1:14" x14ac:dyDescent="0.3">
      <c r="A3788" t="s">
        <v>4834</v>
      </c>
      <c r="B3788" t="s">
        <v>884</v>
      </c>
      <c r="C3788" s="1">
        <v>45405</v>
      </c>
      <c r="E3788" t="s">
        <v>32</v>
      </c>
      <c r="F3788">
        <v>24</v>
      </c>
      <c r="G3788" s="12">
        <v>4776</v>
      </c>
      <c r="H3788" s="12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1047</v>
      </c>
      <c r="N3788" t="b">
        <v>0</v>
      </c>
    </row>
    <row r="3789" spans="1:14" x14ac:dyDescent="0.3">
      <c r="A3789" t="s">
        <v>4835</v>
      </c>
      <c r="B3789" t="s">
        <v>944</v>
      </c>
      <c r="C3789" s="1">
        <v>45657</v>
      </c>
      <c r="E3789" t="s">
        <v>15</v>
      </c>
      <c r="F3789">
        <v>7</v>
      </c>
      <c r="G3789" s="12">
        <v>133</v>
      </c>
      <c r="H3789" s="12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1050</v>
      </c>
      <c r="N3789" t="b">
        <v>1</v>
      </c>
    </row>
    <row r="3790" spans="1:14" x14ac:dyDescent="0.3">
      <c r="A3790" t="s">
        <v>4836</v>
      </c>
      <c r="B3790" t="s">
        <v>176</v>
      </c>
      <c r="C3790" s="1">
        <v>45632</v>
      </c>
      <c r="E3790" t="s">
        <v>32</v>
      </c>
      <c r="F3790">
        <v>37</v>
      </c>
      <c r="G3790" s="12">
        <v>0</v>
      </c>
      <c r="H3790" s="12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1050</v>
      </c>
      <c r="N3790" t="b">
        <v>1</v>
      </c>
    </row>
    <row r="3791" spans="1:14" x14ac:dyDescent="0.3">
      <c r="A3791" t="s">
        <v>4837</v>
      </c>
      <c r="B3791" t="s">
        <v>276</v>
      </c>
      <c r="C3791" s="1">
        <v>45371</v>
      </c>
      <c r="E3791" t="s">
        <v>39</v>
      </c>
      <c r="F3791">
        <v>9</v>
      </c>
      <c r="G3791" s="12">
        <v>441</v>
      </c>
      <c r="H3791" s="12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1047</v>
      </c>
      <c r="N3791" t="b">
        <v>1</v>
      </c>
    </row>
    <row r="3792" spans="1:14" x14ac:dyDescent="0.3">
      <c r="A3792" t="s">
        <v>4838</v>
      </c>
      <c r="B3792" t="s">
        <v>584</v>
      </c>
      <c r="C3792" s="1">
        <v>45634</v>
      </c>
      <c r="E3792" t="s">
        <v>15</v>
      </c>
      <c r="F3792">
        <v>12</v>
      </c>
      <c r="G3792" s="12">
        <v>228</v>
      </c>
      <c r="H3792" s="1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1047</v>
      </c>
      <c r="N3792" t="b">
        <v>1</v>
      </c>
    </row>
    <row r="3793" spans="1:14" x14ac:dyDescent="0.3">
      <c r="A3793" t="s">
        <v>4839</v>
      </c>
      <c r="B3793" t="s">
        <v>51</v>
      </c>
      <c r="C3793" s="1">
        <v>45046</v>
      </c>
      <c r="E3793" t="s">
        <v>15</v>
      </c>
      <c r="F3793">
        <v>15</v>
      </c>
      <c r="G3793" s="12">
        <v>285</v>
      </c>
      <c r="H3793" s="12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1050</v>
      </c>
      <c r="N3793" t="b">
        <v>0</v>
      </c>
    </row>
    <row r="3794" spans="1:14" x14ac:dyDescent="0.3">
      <c r="A3794" t="s">
        <v>4840</v>
      </c>
      <c r="B3794" t="s">
        <v>152</v>
      </c>
      <c r="C3794" s="1">
        <v>45261</v>
      </c>
      <c r="E3794" t="s">
        <v>15</v>
      </c>
      <c r="F3794">
        <v>41</v>
      </c>
      <c r="G3794" s="12">
        <v>779</v>
      </c>
      <c r="H3794" s="12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1047</v>
      </c>
      <c r="N3794" t="b">
        <v>1</v>
      </c>
    </row>
    <row r="3795" spans="1:14" x14ac:dyDescent="0.3">
      <c r="A3795" t="s">
        <v>4841</v>
      </c>
      <c r="B3795" t="s">
        <v>97</v>
      </c>
      <c r="C3795" s="1">
        <v>45245</v>
      </c>
      <c r="E3795" t="s">
        <v>39</v>
      </c>
      <c r="F3795">
        <v>60</v>
      </c>
      <c r="G3795" s="12">
        <v>0</v>
      </c>
      <c r="H3795" s="12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1047</v>
      </c>
      <c r="N3795" t="b">
        <v>1</v>
      </c>
    </row>
    <row r="3796" spans="1:14" x14ac:dyDescent="0.3">
      <c r="A3796" t="s">
        <v>4842</v>
      </c>
      <c r="B3796" t="s">
        <v>462</v>
      </c>
      <c r="C3796" s="1">
        <v>45434</v>
      </c>
      <c r="E3796" t="s">
        <v>32</v>
      </c>
      <c r="F3796">
        <v>47</v>
      </c>
      <c r="G3796" s="12">
        <v>9353</v>
      </c>
      <c r="H3796" s="12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1050</v>
      </c>
      <c r="N3796" t="b">
        <v>1</v>
      </c>
    </row>
    <row r="3797" spans="1:14" x14ac:dyDescent="0.3">
      <c r="A3797" t="s">
        <v>4843</v>
      </c>
      <c r="B3797" t="s">
        <v>33</v>
      </c>
      <c r="C3797" s="1">
        <v>45568</v>
      </c>
      <c r="E3797" t="s">
        <v>32</v>
      </c>
      <c r="F3797">
        <v>25</v>
      </c>
      <c r="G3797" s="12">
        <v>0</v>
      </c>
      <c r="H3797" s="12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1050</v>
      </c>
      <c r="N3797" t="b">
        <v>1</v>
      </c>
    </row>
    <row r="3798" spans="1:14" x14ac:dyDescent="0.3">
      <c r="A3798" t="s">
        <v>4844</v>
      </c>
      <c r="B3798" t="s">
        <v>380</v>
      </c>
      <c r="C3798" s="1">
        <v>45543</v>
      </c>
      <c r="E3798" t="s">
        <v>39</v>
      </c>
      <c r="F3798">
        <v>12</v>
      </c>
      <c r="G3798" s="12">
        <v>588</v>
      </c>
      <c r="H3798" s="12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1047</v>
      </c>
      <c r="N3798" t="b">
        <v>1</v>
      </c>
    </row>
    <row r="3799" spans="1:14" x14ac:dyDescent="0.3">
      <c r="A3799" t="s">
        <v>4845</v>
      </c>
      <c r="B3799" t="s">
        <v>340</v>
      </c>
      <c r="C3799" s="1">
        <v>45633</v>
      </c>
      <c r="E3799" t="s">
        <v>32</v>
      </c>
      <c r="F3799">
        <v>18</v>
      </c>
      <c r="G3799" s="12">
        <v>0</v>
      </c>
      <c r="H3799" s="12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1050</v>
      </c>
      <c r="N3799" t="b">
        <v>1</v>
      </c>
    </row>
    <row r="3800" spans="1:14" x14ac:dyDescent="0.3">
      <c r="A3800" t="s">
        <v>4846</v>
      </c>
      <c r="B3800" t="s">
        <v>680</v>
      </c>
      <c r="C3800" s="1">
        <v>45623</v>
      </c>
      <c r="E3800" t="s">
        <v>32</v>
      </c>
      <c r="F3800">
        <v>8</v>
      </c>
      <c r="G3800" s="12">
        <v>1592</v>
      </c>
      <c r="H3800" s="12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1050</v>
      </c>
      <c r="N3800" t="b">
        <v>1</v>
      </c>
    </row>
    <row r="3801" spans="1:14" x14ac:dyDescent="0.3">
      <c r="A3801" t="s">
        <v>4847</v>
      </c>
      <c r="B3801" t="s">
        <v>59</v>
      </c>
      <c r="C3801" s="1">
        <v>45646</v>
      </c>
      <c r="E3801" t="s">
        <v>39</v>
      </c>
      <c r="F3801">
        <v>15</v>
      </c>
      <c r="G3801" s="12">
        <v>735</v>
      </c>
      <c r="H3801" s="12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1050</v>
      </c>
      <c r="N3801" t="b">
        <v>0</v>
      </c>
    </row>
    <row r="3802" spans="1:14" x14ac:dyDescent="0.3">
      <c r="A3802" t="s">
        <v>4848</v>
      </c>
      <c r="B3802" t="s">
        <v>57</v>
      </c>
      <c r="C3802" s="1">
        <v>45307</v>
      </c>
      <c r="E3802" t="s">
        <v>32</v>
      </c>
      <c r="F3802">
        <v>71</v>
      </c>
      <c r="G3802" s="12">
        <v>14129</v>
      </c>
      <c r="H3802" s="1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1050</v>
      </c>
      <c r="N3802" t="b">
        <v>1</v>
      </c>
    </row>
    <row r="3803" spans="1:14" x14ac:dyDescent="0.3">
      <c r="A3803" t="s">
        <v>4849</v>
      </c>
      <c r="B3803" t="s">
        <v>910</v>
      </c>
      <c r="C3803" s="1">
        <v>45646</v>
      </c>
      <c r="E3803" t="s">
        <v>32</v>
      </c>
      <c r="F3803">
        <v>5</v>
      </c>
      <c r="G3803" s="12">
        <v>995</v>
      </c>
      <c r="H3803" s="12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1047</v>
      </c>
      <c r="N3803" t="b">
        <v>1</v>
      </c>
    </row>
    <row r="3804" spans="1:14" x14ac:dyDescent="0.3">
      <c r="A3804" t="s">
        <v>4850</v>
      </c>
      <c r="B3804" t="s">
        <v>462</v>
      </c>
      <c r="C3804" s="1">
        <v>45603</v>
      </c>
      <c r="E3804" t="s">
        <v>32</v>
      </c>
      <c r="F3804">
        <v>31</v>
      </c>
      <c r="G3804" s="12">
        <v>6169</v>
      </c>
      <c r="H3804" s="12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1050</v>
      </c>
      <c r="N3804" t="b">
        <v>1</v>
      </c>
    </row>
    <row r="3805" spans="1:14" x14ac:dyDescent="0.3">
      <c r="A3805" t="s">
        <v>4851</v>
      </c>
      <c r="B3805" t="s">
        <v>1000</v>
      </c>
      <c r="C3805" s="1">
        <v>45629</v>
      </c>
      <c r="E3805" t="s">
        <v>15</v>
      </c>
      <c r="F3805">
        <v>53</v>
      </c>
      <c r="G3805" s="12">
        <v>1007</v>
      </c>
      <c r="H3805" s="12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1050</v>
      </c>
      <c r="N3805" t="b">
        <v>1</v>
      </c>
    </row>
    <row r="3806" spans="1:14" x14ac:dyDescent="0.3">
      <c r="A3806" t="s">
        <v>4852</v>
      </c>
      <c r="B3806" t="s">
        <v>66</v>
      </c>
      <c r="C3806" s="1">
        <v>45498</v>
      </c>
      <c r="E3806" t="s">
        <v>15</v>
      </c>
      <c r="F3806">
        <v>31</v>
      </c>
      <c r="G3806" s="12">
        <v>589</v>
      </c>
      <c r="H3806" s="12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1050</v>
      </c>
      <c r="N3806" t="b">
        <v>1</v>
      </c>
    </row>
    <row r="3807" spans="1:14" x14ac:dyDescent="0.3">
      <c r="A3807" t="s">
        <v>4853</v>
      </c>
      <c r="B3807" t="s">
        <v>288</v>
      </c>
      <c r="C3807" s="1">
        <v>45636</v>
      </c>
      <c r="E3807" t="s">
        <v>15</v>
      </c>
      <c r="F3807">
        <v>7</v>
      </c>
      <c r="G3807" s="12">
        <v>133</v>
      </c>
      <c r="H3807" s="12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1047</v>
      </c>
      <c r="N3807" t="b">
        <v>1</v>
      </c>
    </row>
    <row r="3808" spans="1:14" x14ac:dyDescent="0.3">
      <c r="A3808" t="s">
        <v>4854</v>
      </c>
      <c r="B3808" t="s">
        <v>280</v>
      </c>
      <c r="C3808" s="1">
        <v>45600</v>
      </c>
      <c r="E3808" t="s">
        <v>15</v>
      </c>
      <c r="F3808">
        <v>7</v>
      </c>
      <c r="G3808" s="12">
        <v>133</v>
      </c>
      <c r="H3808" s="12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1050</v>
      </c>
      <c r="N3808" t="b">
        <v>1</v>
      </c>
    </row>
    <row r="3809" spans="1:14" x14ac:dyDescent="0.3">
      <c r="A3809" t="s">
        <v>4855</v>
      </c>
      <c r="B3809" t="s">
        <v>418</v>
      </c>
      <c r="C3809" s="1">
        <v>45648</v>
      </c>
      <c r="E3809" t="s">
        <v>39</v>
      </c>
      <c r="F3809">
        <v>29</v>
      </c>
      <c r="G3809" s="12">
        <v>1421</v>
      </c>
      <c r="H3809" s="12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1047</v>
      </c>
      <c r="N3809" t="b">
        <v>1</v>
      </c>
    </row>
    <row r="3810" spans="1:14" x14ac:dyDescent="0.3">
      <c r="A3810" t="s">
        <v>4856</v>
      </c>
      <c r="B3810" t="s">
        <v>648</v>
      </c>
      <c r="C3810" s="1">
        <v>45609</v>
      </c>
      <c r="E3810" t="s">
        <v>15</v>
      </c>
      <c r="F3810">
        <v>22</v>
      </c>
      <c r="G3810" s="12">
        <v>418</v>
      </c>
      <c r="H3810" s="12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1050</v>
      </c>
      <c r="N3810" t="b">
        <v>1</v>
      </c>
    </row>
    <row r="3811" spans="1:14" x14ac:dyDescent="0.3">
      <c r="A3811" t="s">
        <v>4857</v>
      </c>
      <c r="B3811" t="s">
        <v>346</v>
      </c>
      <c r="C3811" s="1">
        <v>45615</v>
      </c>
      <c r="E3811" t="s">
        <v>32</v>
      </c>
      <c r="F3811">
        <v>15</v>
      </c>
      <c r="G3811" s="12">
        <v>2985</v>
      </c>
      <c r="H3811" s="12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1050</v>
      </c>
      <c r="N3811" t="b">
        <v>1</v>
      </c>
    </row>
    <row r="3812" spans="1:14" x14ac:dyDescent="0.3">
      <c r="A3812" t="s">
        <v>4858</v>
      </c>
      <c r="B3812" t="s">
        <v>250</v>
      </c>
      <c r="C3812" s="1">
        <v>45483</v>
      </c>
      <c r="E3812" t="s">
        <v>15</v>
      </c>
      <c r="F3812">
        <v>37</v>
      </c>
      <c r="G3812" s="12">
        <v>703</v>
      </c>
      <c r="H3812" s="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1047</v>
      </c>
      <c r="N3812" t="b">
        <v>1</v>
      </c>
    </row>
    <row r="3813" spans="1:14" x14ac:dyDescent="0.3">
      <c r="A3813" t="s">
        <v>4859</v>
      </c>
      <c r="B3813" t="s">
        <v>730</v>
      </c>
      <c r="C3813" s="1">
        <v>45439</v>
      </c>
      <c r="D3813" s="1">
        <v>45611</v>
      </c>
      <c r="E3813" t="s">
        <v>32</v>
      </c>
      <c r="F3813">
        <v>41</v>
      </c>
      <c r="G3813" s="12">
        <v>8159</v>
      </c>
      <c r="H3813" s="12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1047</v>
      </c>
      <c r="N3813" t="b">
        <v>1</v>
      </c>
    </row>
    <row r="3814" spans="1:14" x14ac:dyDescent="0.3">
      <c r="A3814" t="s">
        <v>4860</v>
      </c>
      <c r="B3814" t="s">
        <v>986</v>
      </c>
      <c r="C3814" s="1">
        <v>45409</v>
      </c>
      <c r="E3814" t="s">
        <v>39</v>
      </c>
      <c r="F3814">
        <v>3</v>
      </c>
      <c r="G3814" s="12">
        <v>147</v>
      </c>
      <c r="H3814" s="12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1047</v>
      </c>
      <c r="N3814" t="b">
        <v>1</v>
      </c>
    </row>
    <row r="3815" spans="1:14" x14ac:dyDescent="0.3">
      <c r="A3815" t="s">
        <v>4861</v>
      </c>
      <c r="B3815" t="s">
        <v>544</v>
      </c>
      <c r="C3815" s="1">
        <v>45540</v>
      </c>
      <c r="E3815" t="s">
        <v>39</v>
      </c>
      <c r="F3815">
        <v>37</v>
      </c>
      <c r="G3815" s="12">
        <v>1813</v>
      </c>
      <c r="H3815" s="12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1050</v>
      </c>
      <c r="N3815" t="b">
        <v>1</v>
      </c>
    </row>
    <row r="3816" spans="1:14" x14ac:dyDescent="0.3">
      <c r="A3816" t="s">
        <v>4862</v>
      </c>
      <c r="B3816" t="s">
        <v>742</v>
      </c>
      <c r="C3816" s="1">
        <v>45652</v>
      </c>
      <c r="E3816" t="s">
        <v>39</v>
      </c>
      <c r="F3816">
        <v>28</v>
      </c>
      <c r="G3816" s="12">
        <v>1372</v>
      </c>
      <c r="H3816" s="12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1047</v>
      </c>
      <c r="N3816" t="b">
        <v>0</v>
      </c>
    </row>
    <row r="3817" spans="1:14" x14ac:dyDescent="0.3">
      <c r="A3817" t="s">
        <v>4863</v>
      </c>
      <c r="B3817" t="s">
        <v>288</v>
      </c>
      <c r="C3817" s="1">
        <v>45657</v>
      </c>
      <c r="E3817" t="s">
        <v>15</v>
      </c>
      <c r="F3817">
        <v>34</v>
      </c>
      <c r="G3817" s="12">
        <v>646</v>
      </c>
      <c r="H3817" s="12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1050</v>
      </c>
      <c r="N3817" t="b">
        <v>1</v>
      </c>
    </row>
    <row r="3818" spans="1:14" x14ac:dyDescent="0.3">
      <c r="A3818" t="s">
        <v>4864</v>
      </c>
      <c r="B3818" t="s">
        <v>208</v>
      </c>
      <c r="C3818" s="1">
        <v>45636</v>
      </c>
      <c r="E3818" t="s">
        <v>39</v>
      </c>
      <c r="F3818">
        <v>24</v>
      </c>
      <c r="G3818" s="12">
        <v>1176</v>
      </c>
      <c r="H3818" s="12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1047</v>
      </c>
      <c r="N3818" t="b">
        <v>1</v>
      </c>
    </row>
    <row r="3819" spans="1:14" x14ac:dyDescent="0.3">
      <c r="A3819" t="s">
        <v>4865</v>
      </c>
      <c r="B3819" t="s">
        <v>68</v>
      </c>
      <c r="C3819" s="1">
        <v>45544</v>
      </c>
      <c r="E3819" t="s">
        <v>32</v>
      </c>
      <c r="F3819">
        <v>9</v>
      </c>
      <c r="G3819" s="12">
        <v>1791</v>
      </c>
      <c r="H3819" s="12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1050</v>
      </c>
      <c r="N3819" t="b">
        <v>0</v>
      </c>
    </row>
    <row r="3820" spans="1:14" x14ac:dyDescent="0.3">
      <c r="A3820" t="s">
        <v>4866</v>
      </c>
      <c r="B3820" t="s">
        <v>466</v>
      </c>
      <c r="C3820" s="1">
        <v>45131</v>
      </c>
      <c r="E3820" t="s">
        <v>32</v>
      </c>
      <c r="F3820">
        <v>11</v>
      </c>
      <c r="G3820" s="12">
        <v>2189</v>
      </c>
      <c r="H3820" s="12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1047</v>
      </c>
      <c r="N3820" t="b">
        <v>1</v>
      </c>
    </row>
    <row r="3821" spans="1:14" x14ac:dyDescent="0.3">
      <c r="A3821" t="s">
        <v>4867</v>
      </c>
      <c r="B3821" t="s">
        <v>1020</v>
      </c>
      <c r="C3821" s="1">
        <v>45490</v>
      </c>
      <c r="E3821" t="s">
        <v>15</v>
      </c>
      <c r="F3821">
        <v>31</v>
      </c>
      <c r="G3821" s="12">
        <v>589</v>
      </c>
      <c r="H3821" s="12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1050</v>
      </c>
      <c r="N3821" t="b">
        <v>1</v>
      </c>
    </row>
    <row r="3822" spans="1:14" x14ac:dyDescent="0.3">
      <c r="A3822" t="s">
        <v>4868</v>
      </c>
      <c r="B3822" t="s">
        <v>526</v>
      </c>
      <c r="C3822" s="1">
        <v>45320</v>
      </c>
      <c r="E3822" t="s">
        <v>15</v>
      </c>
      <c r="F3822">
        <v>55</v>
      </c>
      <c r="G3822" s="12">
        <v>1045</v>
      </c>
      <c r="H3822" s="1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1050</v>
      </c>
      <c r="N3822" t="b">
        <v>1</v>
      </c>
    </row>
    <row r="3823" spans="1:14" x14ac:dyDescent="0.3">
      <c r="A3823" t="s">
        <v>4869</v>
      </c>
      <c r="B3823" t="s">
        <v>824</v>
      </c>
      <c r="C3823" s="1">
        <v>45238</v>
      </c>
      <c r="E3823" t="s">
        <v>39</v>
      </c>
      <c r="F3823">
        <v>17</v>
      </c>
      <c r="G3823" s="12">
        <v>833</v>
      </c>
      <c r="H3823" s="12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1047</v>
      </c>
      <c r="N3823" t="b">
        <v>1</v>
      </c>
    </row>
    <row r="3824" spans="1:14" x14ac:dyDescent="0.3">
      <c r="A3824" t="s">
        <v>4870</v>
      </c>
      <c r="B3824" t="s">
        <v>338</v>
      </c>
      <c r="C3824" s="1">
        <v>45321</v>
      </c>
      <c r="E3824" t="s">
        <v>15</v>
      </c>
      <c r="F3824">
        <v>27</v>
      </c>
      <c r="G3824" s="12">
        <v>513</v>
      </c>
      <c r="H3824" s="12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1050</v>
      </c>
      <c r="N3824" t="b">
        <v>1</v>
      </c>
    </row>
    <row r="3825" spans="1:14" x14ac:dyDescent="0.3">
      <c r="A3825" t="s">
        <v>4871</v>
      </c>
      <c r="B3825" t="s">
        <v>916</v>
      </c>
      <c r="C3825" s="1">
        <v>45649</v>
      </c>
      <c r="E3825" t="s">
        <v>15</v>
      </c>
      <c r="F3825">
        <v>13</v>
      </c>
      <c r="G3825" s="12">
        <v>247</v>
      </c>
      <c r="H3825" s="12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1050</v>
      </c>
      <c r="N3825" t="b">
        <v>1</v>
      </c>
    </row>
    <row r="3826" spans="1:14" x14ac:dyDescent="0.3">
      <c r="A3826" t="s">
        <v>4872</v>
      </c>
      <c r="B3826" t="s">
        <v>856</v>
      </c>
      <c r="C3826" s="1">
        <v>45633</v>
      </c>
      <c r="E3826" t="s">
        <v>15</v>
      </c>
      <c r="F3826">
        <v>4</v>
      </c>
      <c r="G3826" s="12">
        <v>76</v>
      </c>
      <c r="H3826" s="12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1047</v>
      </c>
      <c r="N3826" t="b">
        <v>1</v>
      </c>
    </row>
    <row r="3827" spans="1:14" x14ac:dyDescent="0.3">
      <c r="A3827" t="s">
        <v>4873</v>
      </c>
      <c r="B3827" t="s">
        <v>198</v>
      </c>
      <c r="C3827" s="1">
        <v>45108</v>
      </c>
      <c r="E3827" t="s">
        <v>15</v>
      </c>
      <c r="F3827">
        <v>38</v>
      </c>
      <c r="G3827" s="12">
        <v>722</v>
      </c>
      <c r="H3827" s="12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1047</v>
      </c>
      <c r="N3827" t="b">
        <v>1</v>
      </c>
    </row>
    <row r="3828" spans="1:14" x14ac:dyDescent="0.3">
      <c r="A3828" t="s">
        <v>4874</v>
      </c>
      <c r="B3828" t="s">
        <v>478</v>
      </c>
      <c r="C3828" s="1">
        <v>45418</v>
      </c>
      <c r="D3828" s="1">
        <v>45621</v>
      </c>
      <c r="E3828" t="s">
        <v>39</v>
      </c>
      <c r="F3828">
        <v>19</v>
      </c>
      <c r="G3828" s="12">
        <v>931</v>
      </c>
      <c r="H3828" s="12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1050</v>
      </c>
      <c r="N3828" t="b">
        <v>1</v>
      </c>
    </row>
    <row r="3829" spans="1:14" x14ac:dyDescent="0.3">
      <c r="A3829" t="s">
        <v>4875</v>
      </c>
      <c r="B3829" t="s">
        <v>47</v>
      </c>
      <c r="C3829" s="1">
        <v>45650</v>
      </c>
      <c r="E3829" t="s">
        <v>32</v>
      </c>
      <c r="F3829">
        <v>18</v>
      </c>
      <c r="G3829" s="12">
        <v>3582</v>
      </c>
      <c r="H3829" s="12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1050</v>
      </c>
      <c r="N3829" t="b">
        <v>1</v>
      </c>
    </row>
    <row r="3830" spans="1:14" x14ac:dyDescent="0.3">
      <c r="A3830" t="s">
        <v>4876</v>
      </c>
      <c r="B3830" t="s">
        <v>680</v>
      </c>
      <c r="C3830" s="1">
        <v>45655</v>
      </c>
      <c r="E3830" t="s">
        <v>15</v>
      </c>
      <c r="F3830">
        <v>20</v>
      </c>
      <c r="G3830" s="12">
        <v>380</v>
      </c>
      <c r="H3830" s="12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1050</v>
      </c>
      <c r="N3830" t="b">
        <v>1</v>
      </c>
    </row>
    <row r="3831" spans="1:14" x14ac:dyDescent="0.3">
      <c r="A3831" t="s">
        <v>4877</v>
      </c>
      <c r="B3831" t="s">
        <v>514</v>
      </c>
      <c r="C3831" s="1">
        <v>45484</v>
      </c>
      <c r="E3831" t="s">
        <v>39</v>
      </c>
      <c r="F3831">
        <v>46</v>
      </c>
      <c r="G3831" s="12">
        <v>2254</v>
      </c>
      <c r="H3831" s="12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1050</v>
      </c>
      <c r="N3831" t="b">
        <v>1</v>
      </c>
    </row>
    <row r="3832" spans="1:14" x14ac:dyDescent="0.3">
      <c r="A3832" t="s">
        <v>4878</v>
      </c>
      <c r="B3832" t="s">
        <v>600</v>
      </c>
      <c r="C3832" s="1">
        <v>45543</v>
      </c>
      <c r="E3832" t="s">
        <v>15</v>
      </c>
      <c r="F3832">
        <v>49</v>
      </c>
      <c r="G3832" s="12">
        <v>931</v>
      </c>
      <c r="H3832" s="1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1047</v>
      </c>
      <c r="N3832" t="b">
        <v>0</v>
      </c>
    </row>
    <row r="3833" spans="1:14" x14ac:dyDescent="0.3">
      <c r="A3833" t="s">
        <v>4879</v>
      </c>
      <c r="B3833" t="s">
        <v>118</v>
      </c>
      <c r="C3833" s="1">
        <v>45546</v>
      </c>
      <c r="E3833" t="s">
        <v>32</v>
      </c>
      <c r="F3833">
        <v>4</v>
      </c>
      <c r="G3833" s="12">
        <v>796</v>
      </c>
      <c r="H3833" s="12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1050</v>
      </c>
      <c r="N3833" t="b">
        <v>1</v>
      </c>
    </row>
    <row r="3834" spans="1:14" x14ac:dyDescent="0.3">
      <c r="A3834" t="s">
        <v>4880</v>
      </c>
      <c r="B3834" t="s">
        <v>516</v>
      </c>
      <c r="C3834" s="1">
        <v>45522</v>
      </c>
      <c r="E3834" t="s">
        <v>32</v>
      </c>
      <c r="F3834">
        <v>3</v>
      </c>
      <c r="G3834" s="12">
        <v>0</v>
      </c>
      <c r="H3834" s="12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1047</v>
      </c>
      <c r="N3834" t="b">
        <v>0</v>
      </c>
    </row>
    <row r="3835" spans="1:14" x14ac:dyDescent="0.3">
      <c r="A3835" t="s">
        <v>4881</v>
      </c>
      <c r="B3835" t="s">
        <v>958</v>
      </c>
      <c r="C3835" s="1">
        <v>45656</v>
      </c>
      <c r="E3835" t="s">
        <v>15</v>
      </c>
      <c r="F3835">
        <v>20</v>
      </c>
      <c r="G3835" s="12">
        <v>380</v>
      </c>
      <c r="H3835" s="12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1047</v>
      </c>
      <c r="N3835" t="b">
        <v>0</v>
      </c>
    </row>
    <row r="3836" spans="1:14" x14ac:dyDescent="0.3">
      <c r="A3836" t="s">
        <v>4882</v>
      </c>
      <c r="B3836" t="s">
        <v>51</v>
      </c>
      <c r="C3836" s="1">
        <v>45195</v>
      </c>
      <c r="D3836" s="1">
        <v>45487</v>
      </c>
      <c r="E3836" t="s">
        <v>15</v>
      </c>
      <c r="F3836">
        <v>62</v>
      </c>
      <c r="G3836" s="12">
        <v>0</v>
      </c>
      <c r="H3836" s="12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1047</v>
      </c>
      <c r="N3836" t="b">
        <v>1</v>
      </c>
    </row>
    <row r="3837" spans="1:14" x14ac:dyDescent="0.3">
      <c r="A3837" t="s">
        <v>4883</v>
      </c>
      <c r="B3837" t="s">
        <v>710</v>
      </c>
      <c r="C3837" s="1">
        <v>45418</v>
      </c>
      <c r="E3837" t="s">
        <v>39</v>
      </c>
      <c r="F3837">
        <v>23</v>
      </c>
      <c r="G3837" s="12">
        <v>1127</v>
      </c>
      <c r="H3837" s="12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1050</v>
      </c>
      <c r="N3837" t="b">
        <v>1</v>
      </c>
    </row>
    <row r="3838" spans="1:14" x14ac:dyDescent="0.3">
      <c r="A3838" t="s">
        <v>4884</v>
      </c>
      <c r="B3838" t="s">
        <v>600</v>
      </c>
      <c r="C3838" s="1">
        <v>45380</v>
      </c>
      <c r="E3838" t="s">
        <v>39</v>
      </c>
      <c r="F3838">
        <v>13</v>
      </c>
      <c r="G3838" s="12">
        <v>637</v>
      </c>
      <c r="H3838" s="12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1047</v>
      </c>
      <c r="N3838" t="b">
        <v>1</v>
      </c>
    </row>
    <row r="3839" spans="1:14" x14ac:dyDescent="0.3">
      <c r="A3839" t="s">
        <v>4885</v>
      </c>
      <c r="B3839" t="s">
        <v>1024</v>
      </c>
      <c r="C3839" s="1">
        <v>45653</v>
      </c>
      <c r="E3839" t="s">
        <v>32</v>
      </c>
      <c r="F3839">
        <v>33</v>
      </c>
      <c r="G3839" s="12">
        <v>6567</v>
      </c>
      <c r="H3839" s="12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1047</v>
      </c>
      <c r="N3839" t="b">
        <v>1</v>
      </c>
    </row>
    <row r="3840" spans="1:14" x14ac:dyDescent="0.3">
      <c r="A3840" t="s">
        <v>4886</v>
      </c>
      <c r="B3840" t="s">
        <v>626</v>
      </c>
      <c r="C3840" s="1">
        <v>45578</v>
      </c>
      <c r="E3840" t="s">
        <v>15</v>
      </c>
      <c r="F3840">
        <v>22</v>
      </c>
      <c r="G3840" s="12">
        <v>418</v>
      </c>
      <c r="H3840" s="12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1047</v>
      </c>
      <c r="N3840" t="b">
        <v>1</v>
      </c>
    </row>
    <row r="3841" spans="1:14" x14ac:dyDescent="0.3">
      <c r="A3841" t="s">
        <v>4887</v>
      </c>
      <c r="B3841" t="s">
        <v>266</v>
      </c>
      <c r="C3841" s="1">
        <v>45533</v>
      </c>
      <c r="E3841" t="s">
        <v>15</v>
      </c>
      <c r="F3841">
        <v>1</v>
      </c>
      <c r="G3841" s="12">
        <v>19</v>
      </c>
      <c r="H3841" s="12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1050</v>
      </c>
      <c r="N3841" t="b">
        <v>1</v>
      </c>
    </row>
    <row r="3842" spans="1:14" x14ac:dyDescent="0.3">
      <c r="A3842" t="s">
        <v>4888</v>
      </c>
      <c r="B3842" t="s">
        <v>166</v>
      </c>
      <c r="C3842" s="1">
        <v>45397</v>
      </c>
      <c r="D3842" s="1">
        <v>45587</v>
      </c>
      <c r="E3842" t="s">
        <v>15</v>
      </c>
      <c r="F3842">
        <v>18</v>
      </c>
      <c r="G3842" s="12">
        <v>342</v>
      </c>
      <c r="H3842" s="1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1047</v>
      </c>
      <c r="N3842" t="b">
        <v>1</v>
      </c>
    </row>
    <row r="3843" spans="1:14" x14ac:dyDescent="0.3">
      <c r="A3843" t="s">
        <v>4889</v>
      </c>
      <c r="B3843" t="s">
        <v>552</v>
      </c>
      <c r="C3843" s="1">
        <v>45264</v>
      </c>
      <c r="E3843" t="s">
        <v>15</v>
      </c>
      <c r="F3843">
        <v>10</v>
      </c>
      <c r="G3843" s="12">
        <v>190</v>
      </c>
      <c r="H3843" s="12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1050</v>
      </c>
      <c r="N3843" t="b">
        <v>1</v>
      </c>
    </row>
    <row r="3844" spans="1:14" x14ac:dyDescent="0.3">
      <c r="A3844" t="s">
        <v>4890</v>
      </c>
      <c r="B3844" t="s">
        <v>628</v>
      </c>
      <c r="C3844" s="1">
        <v>45433</v>
      </c>
      <c r="E3844" t="s">
        <v>15</v>
      </c>
      <c r="F3844">
        <v>45</v>
      </c>
      <c r="G3844" s="12">
        <v>855</v>
      </c>
      <c r="H3844" s="12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1050</v>
      </c>
      <c r="N3844" t="b">
        <v>1</v>
      </c>
    </row>
    <row r="3845" spans="1:14" x14ac:dyDescent="0.3">
      <c r="A3845" t="s">
        <v>4891</v>
      </c>
      <c r="B3845" t="s">
        <v>930</v>
      </c>
      <c r="C3845" s="1">
        <v>45147</v>
      </c>
      <c r="E3845" t="s">
        <v>39</v>
      </c>
      <c r="F3845">
        <v>40</v>
      </c>
      <c r="G3845" s="12">
        <v>1960</v>
      </c>
      <c r="H3845" s="12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1047</v>
      </c>
      <c r="N3845" t="b">
        <v>1</v>
      </c>
    </row>
    <row r="3846" spans="1:14" x14ac:dyDescent="0.3">
      <c r="A3846" t="s">
        <v>4892</v>
      </c>
      <c r="B3846" t="s">
        <v>910</v>
      </c>
      <c r="C3846" s="1">
        <v>45649</v>
      </c>
      <c r="E3846" t="s">
        <v>15</v>
      </c>
      <c r="F3846">
        <v>39</v>
      </c>
      <c r="G3846" s="12">
        <v>741</v>
      </c>
      <c r="H3846" s="12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1047</v>
      </c>
      <c r="N3846" t="b">
        <v>1</v>
      </c>
    </row>
    <row r="3847" spans="1:14" x14ac:dyDescent="0.3">
      <c r="A3847" t="s">
        <v>4893</v>
      </c>
      <c r="B3847" t="s">
        <v>708</v>
      </c>
      <c r="C3847" s="1">
        <v>45546</v>
      </c>
      <c r="E3847" t="s">
        <v>39</v>
      </c>
      <c r="F3847">
        <v>16</v>
      </c>
      <c r="G3847" s="12">
        <v>784</v>
      </c>
      <c r="H3847" s="12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1050</v>
      </c>
      <c r="N3847" t="b">
        <v>0</v>
      </c>
    </row>
    <row r="3848" spans="1:14" x14ac:dyDescent="0.3">
      <c r="A3848" t="s">
        <v>4894</v>
      </c>
      <c r="B3848" t="s">
        <v>248</v>
      </c>
      <c r="C3848" s="1">
        <v>45079</v>
      </c>
      <c r="D3848" s="1">
        <v>45476</v>
      </c>
      <c r="E3848" t="s">
        <v>15</v>
      </c>
      <c r="F3848">
        <v>18</v>
      </c>
      <c r="G3848" s="12">
        <v>342</v>
      </c>
      <c r="H3848" s="12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1047</v>
      </c>
      <c r="N3848" t="b">
        <v>1</v>
      </c>
    </row>
    <row r="3849" spans="1:14" x14ac:dyDescent="0.3">
      <c r="A3849" t="s">
        <v>4895</v>
      </c>
      <c r="B3849" t="s">
        <v>178</v>
      </c>
      <c r="C3849" s="1">
        <v>45151</v>
      </c>
      <c r="E3849" t="s">
        <v>32</v>
      </c>
      <c r="F3849">
        <v>9</v>
      </c>
      <c r="G3849" s="12">
        <v>1791</v>
      </c>
      <c r="H3849" s="12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1047</v>
      </c>
      <c r="N3849" t="b">
        <v>1</v>
      </c>
    </row>
    <row r="3850" spans="1:14" x14ac:dyDescent="0.3">
      <c r="A3850" t="s">
        <v>4896</v>
      </c>
      <c r="B3850" t="s">
        <v>910</v>
      </c>
      <c r="C3850" s="1">
        <v>45636</v>
      </c>
      <c r="E3850" t="s">
        <v>39</v>
      </c>
      <c r="F3850">
        <v>16</v>
      </c>
      <c r="G3850" s="12">
        <v>784</v>
      </c>
      <c r="H3850" s="12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1047</v>
      </c>
      <c r="N3850" t="b">
        <v>1</v>
      </c>
    </row>
    <row r="3851" spans="1:14" x14ac:dyDescent="0.3">
      <c r="A3851" t="s">
        <v>4897</v>
      </c>
      <c r="B3851" t="s">
        <v>608</v>
      </c>
      <c r="C3851" s="1">
        <v>45256</v>
      </c>
      <c r="E3851" t="s">
        <v>15</v>
      </c>
      <c r="F3851">
        <v>4</v>
      </c>
      <c r="G3851" s="12">
        <v>76</v>
      </c>
      <c r="H3851" s="12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1050</v>
      </c>
      <c r="N3851" t="b">
        <v>1</v>
      </c>
    </row>
    <row r="3852" spans="1:14" x14ac:dyDescent="0.3">
      <c r="A3852" t="s">
        <v>4898</v>
      </c>
      <c r="B3852" t="s">
        <v>888</v>
      </c>
      <c r="C3852" s="1">
        <v>45613</v>
      </c>
      <c r="E3852" t="s">
        <v>39</v>
      </c>
      <c r="F3852">
        <v>16</v>
      </c>
      <c r="G3852" s="12">
        <v>784</v>
      </c>
      <c r="H3852" s="1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1047</v>
      </c>
      <c r="N3852" t="b">
        <v>1</v>
      </c>
    </row>
    <row r="3853" spans="1:14" x14ac:dyDescent="0.3">
      <c r="A3853" t="s">
        <v>4899</v>
      </c>
      <c r="B3853" t="s">
        <v>876</v>
      </c>
      <c r="C3853" s="1">
        <v>45435</v>
      </c>
      <c r="E3853" t="s">
        <v>39</v>
      </c>
      <c r="F3853">
        <v>12</v>
      </c>
      <c r="G3853" s="12">
        <v>588</v>
      </c>
      <c r="H3853" s="12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1047</v>
      </c>
      <c r="N3853" t="b">
        <v>1</v>
      </c>
    </row>
    <row r="3854" spans="1:14" x14ac:dyDescent="0.3">
      <c r="A3854" t="s">
        <v>4900</v>
      </c>
      <c r="B3854" t="s">
        <v>800</v>
      </c>
      <c r="C3854" s="1">
        <v>45489</v>
      </c>
      <c r="E3854" t="s">
        <v>15</v>
      </c>
      <c r="F3854">
        <v>27</v>
      </c>
      <c r="G3854" s="12">
        <v>513</v>
      </c>
      <c r="H3854" s="12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1050</v>
      </c>
      <c r="N3854" t="b">
        <v>1</v>
      </c>
    </row>
    <row r="3855" spans="1:14" x14ac:dyDescent="0.3">
      <c r="A3855" t="s">
        <v>4901</v>
      </c>
      <c r="B3855" t="s">
        <v>828</v>
      </c>
      <c r="C3855" s="1">
        <v>45558</v>
      </c>
      <c r="D3855" s="1">
        <v>45582</v>
      </c>
      <c r="E3855" t="s">
        <v>15</v>
      </c>
      <c r="F3855">
        <v>69</v>
      </c>
      <c r="G3855" s="12">
        <v>1311</v>
      </c>
      <c r="H3855" s="12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1050</v>
      </c>
      <c r="N3855" t="b">
        <v>0</v>
      </c>
    </row>
    <row r="3856" spans="1:14" x14ac:dyDescent="0.3">
      <c r="A3856" t="s">
        <v>4902</v>
      </c>
      <c r="B3856" t="s">
        <v>430</v>
      </c>
      <c r="C3856" s="1">
        <v>45455</v>
      </c>
      <c r="E3856" t="s">
        <v>32</v>
      </c>
      <c r="F3856">
        <v>3</v>
      </c>
      <c r="G3856" s="12">
        <v>0</v>
      </c>
      <c r="H3856" s="12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1047</v>
      </c>
      <c r="N3856" t="b">
        <v>1</v>
      </c>
    </row>
    <row r="3857" spans="1:14" x14ac:dyDescent="0.3">
      <c r="A3857" t="s">
        <v>4903</v>
      </c>
      <c r="B3857" t="s">
        <v>796</v>
      </c>
      <c r="C3857" s="1">
        <v>45399</v>
      </c>
      <c r="E3857" t="s">
        <v>39</v>
      </c>
      <c r="F3857">
        <v>40</v>
      </c>
      <c r="G3857" s="12">
        <v>1960</v>
      </c>
      <c r="H3857" s="12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1050</v>
      </c>
      <c r="N3857" t="b">
        <v>1</v>
      </c>
    </row>
    <row r="3858" spans="1:14" x14ac:dyDescent="0.3">
      <c r="A3858" t="s">
        <v>4904</v>
      </c>
      <c r="B3858" t="s">
        <v>690</v>
      </c>
      <c r="C3858" s="1">
        <v>45622</v>
      </c>
      <c r="E3858" t="s">
        <v>15</v>
      </c>
      <c r="F3858">
        <v>32</v>
      </c>
      <c r="G3858" s="12">
        <v>608</v>
      </c>
      <c r="H3858" s="12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1047</v>
      </c>
      <c r="N3858" t="b">
        <v>1</v>
      </c>
    </row>
    <row r="3859" spans="1:14" x14ac:dyDescent="0.3">
      <c r="A3859" t="s">
        <v>4905</v>
      </c>
      <c r="B3859" t="s">
        <v>642</v>
      </c>
      <c r="C3859" s="1">
        <v>45510</v>
      </c>
      <c r="E3859" t="s">
        <v>39</v>
      </c>
      <c r="F3859">
        <v>28</v>
      </c>
      <c r="G3859" s="12">
        <v>1372</v>
      </c>
      <c r="H3859" s="12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1050</v>
      </c>
      <c r="N3859" t="b">
        <v>1</v>
      </c>
    </row>
    <row r="3860" spans="1:14" x14ac:dyDescent="0.3">
      <c r="A3860" t="s">
        <v>4906</v>
      </c>
      <c r="B3860" t="s">
        <v>820</v>
      </c>
      <c r="C3860" s="1">
        <v>45385</v>
      </c>
      <c r="E3860" t="s">
        <v>39</v>
      </c>
      <c r="F3860">
        <v>55</v>
      </c>
      <c r="G3860" s="12">
        <v>0</v>
      </c>
      <c r="H3860" s="12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1047</v>
      </c>
      <c r="N3860" t="b">
        <v>1</v>
      </c>
    </row>
    <row r="3861" spans="1:14" x14ac:dyDescent="0.3">
      <c r="A3861" t="s">
        <v>4907</v>
      </c>
      <c r="B3861" t="s">
        <v>456</v>
      </c>
      <c r="C3861" s="1">
        <v>45141</v>
      </c>
      <c r="E3861" t="s">
        <v>32</v>
      </c>
      <c r="F3861">
        <v>16</v>
      </c>
      <c r="G3861" s="12">
        <v>3184</v>
      </c>
      <c r="H3861" s="12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1047</v>
      </c>
      <c r="N3861" t="b">
        <v>1</v>
      </c>
    </row>
    <row r="3862" spans="1:14" x14ac:dyDescent="0.3">
      <c r="A3862" t="s">
        <v>4908</v>
      </c>
      <c r="B3862" t="s">
        <v>750</v>
      </c>
      <c r="C3862" s="1">
        <v>45595</v>
      </c>
      <c r="E3862" t="s">
        <v>32</v>
      </c>
      <c r="F3862">
        <v>30</v>
      </c>
      <c r="G3862" s="12">
        <v>5970</v>
      </c>
      <c r="H3862" s="1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1047</v>
      </c>
      <c r="N3862" t="b">
        <v>1</v>
      </c>
    </row>
    <row r="3863" spans="1:14" x14ac:dyDescent="0.3">
      <c r="A3863" t="s">
        <v>4909</v>
      </c>
      <c r="B3863" t="s">
        <v>408</v>
      </c>
      <c r="C3863" s="1">
        <v>45487</v>
      </c>
      <c r="E3863" t="s">
        <v>39</v>
      </c>
      <c r="F3863">
        <v>13</v>
      </c>
      <c r="G3863" s="12">
        <v>637</v>
      </c>
      <c r="H3863" s="12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1050</v>
      </c>
      <c r="N3863" t="b">
        <v>1</v>
      </c>
    </row>
    <row r="3864" spans="1:14" x14ac:dyDescent="0.3">
      <c r="A3864" t="s">
        <v>4910</v>
      </c>
      <c r="B3864" t="s">
        <v>504</v>
      </c>
      <c r="C3864" s="1">
        <v>45411</v>
      </c>
      <c r="E3864" t="s">
        <v>39</v>
      </c>
      <c r="F3864">
        <v>18</v>
      </c>
      <c r="G3864" s="12">
        <v>882</v>
      </c>
      <c r="H3864" s="12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1050</v>
      </c>
      <c r="N3864" t="b">
        <v>1</v>
      </c>
    </row>
    <row r="3865" spans="1:14" x14ac:dyDescent="0.3">
      <c r="A3865" t="s">
        <v>4911</v>
      </c>
      <c r="B3865" t="s">
        <v>970</v>
      </c>
      <c r="C3865" s="1">
        <v>45351</v>
      </c>
      <c r="E3865" t="s">
        <v>39</v>
      </c>
      <c r="F3865">
        <v>29</v>
      </c>
      <c r="G3865" s="12">
        <v>1421</v>
      </c>
      <c r="H3865" s="12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1050</v>
      </c>
      <c r="N3865" t="b">
        <v>1</v>
      </c>
    </row>
    <row r="3866" spans="1:14" x14ac:dyDescent="0.3">
      <c r="A3866" t="s">
        <v>4912</v>
      </c>
      <c r="B3866" t="s">
        <v>424</v>
      </c>
      <c r="C3866" s="1">
        <v>45559</v>
      </c>
      <c r="E3866" t="s">
        <v>32</v>
      </c>
      <c r="F3866">
        <v>20</v>
      </c>
      <c r="G3866" s="12">
        <v>3980</v>
      </c>
      <c r="H3866" s="12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1047</v>
      </c>
      <c r="N3866" t="b">
        <v>0</v>
      </c>
    </row>
    <row r="3867" spans="1:14" x14ac:dyDescent="0.3">
      <c r="A3867" t="s">
        <v>4913</v>
      </c>
      <c r="B3867" t="s">
        <v>510</v>
      </c>
      <c r="C3867" s="1">
        <v>45416</v>
      </c>
      <c r="E3867" t="s">
        <v>15</v>
      </c>
      <c r="F3867">
        <v>55</v>
      </c>
      <c r="G3867" s="12">
        <v>1045</v>
      </c>
      <c r="H3867" s="12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1050</v>
      </c>
      <c r="N3867" t="b">
        <v>1</v>
      </c>
    </row>
    <row r="3868" spans="1:14" x14ac:dyDescent="0.3">
      <c r="A3868" t="s">
        <v>4914</v>
      </c>
      <c r="B3868" t="s">
        <v>1028</v>
      </c>
      <c r="C3868" s="1">
        <v>45582</v>
      </c>
      <c r="E3868" t="s">
        <v>32</v>
      </c>
      <c r="F3868">
        <v>22</v>
      </c>
      <c r="G3868" s="12">
        <v>4378</v>
      </c>
      <c r="H3868" s="12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1047</v>
      </c>
      <c r="N3868" t="b">
        <v>0</v>
      </c>
    </row>
    <row r="3869" spans="1:14" x14ac:dyDescent="0.3">
      <c r="A3869" t="s">
        <v>4915</v>
      </c>
      <c r="B3869" t="s">
        <v>286</v>
      </c>
      <c r="C3869" s="1">
        <v>45583</v>
      </c>
      <c r="E3869" t="s">
        <v>39</v>
      </c>
      <c r="F3869">
        <v>38</v>
      </c>
      <c r="G3869" s="12">
        <v>1862</v>
      </c>
      <c r="H3869" s="12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1050</v>
      </c>
      <c r="N3869" t="b">
        <v>1</v>
      </c>
    </row>
    <row r="3870" spans="1:14" x14ac:dyDescent="0.3">
      <c r="A3870" t="s">
        <v>4916</v>
      </c>
      <c r="B3870" t="s">
        <v>924</v>
      </c>
      <c r="C3870" s="1">
        <v>45491</v>
      </c>
      <c r="E3870" t="s">
        <v>32</v>
      </c>
      <c r="F3870">
        <v>19</v>
      </c>
      <c r="G3870" s="12">
        <v>3781</v>
      </c>
      <c r="H3870" s="12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1047</v>
      </c>
      <c r="N3870" t="b">
        <v>1</v>
      </c>
    </row>
    <row r="3871" spans="1:14" x14ac:dyDescent="0.3">
      <c r="A3871" t="s">
        <v>4917</v>
      </c>
      <c r="B3871" t="s">
        <v>350</v>
      </c>
      <c r="C3871" s="1">
        <v>45612</v>
      </c>
      <c r="E3871" t="s">
        <v>15</v>
      </c>
      <c r="F3871">
        <v>19</v>
      </c>
      <c r="G3871" s="12">
        <v>0</v>
      </c>
      <c r="H3871" s="12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1047</v>
      </c>
      <c r="N3871" t="b">
        <v>1</v>
      </c>
    </row>
    <row r="3872" spans="1:14" x14ac:dyDescent="0.3">
      <c r="A3872" t="s">
        <v>4918</v>
      </c>
      <c r="B3872" t="s">
        <v>386</v>
      </c>
      <c r="C3872" s="1">
        <v>45608</v>
      </c>
      <c r="E3872" t="s">
        <v>15</v>
      </c>
      <c r="F3872">
        <v>29</v>
      </c>
      <c r="G3872" s="12">
        <v>551</v>
      </c>
      <c r="H3872" s="1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1050</v>
      </c>
      <c r="N3872" t="b">
        <v>1</v>
      </c>
    </row>
    <row r="3873" spans="1:14" x14ac:dyDescent="0.3">
      <c r="A3873" t="s">
        <v>4919</v>
      </c>
      <c r="B3873" t="s">
        <v>560</v>
      </c>
      <c r="C3873" s="1">
        <v>45644</v>
      </c>
      <c r="E3873" t="s">
        <v>39</v>
      </c>
      <c r="F3873">
        <v>41</v>
      </c>
      <c r="G3873" s="12">
        <v>2009</v>
      </c>
      <c r="H3873" s="12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1050</v>
      </c>
      <c r="N3873" t="b">
        <v>1</v>
      </c>
    </row>
    <row r="3874" spans="1:14" x14ac:dyDescent="0.3">
      <c r="A3874" t="s">
        <v>4920</v>
      </c>
      <c r="B3874" t="s">
        <v>300</v>
      </c>
      <c r="C3874" s="1">
        <v>45623</v>
      </c>
      <c r="E3874" t="s">
        <v>39</v>
      </c>
      <c r="F3874">
        <v>45</v>
      </c>
      <c r="G3874" s="12">
        <v>0</v>
      </c>
      <c r="H3874" s="12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1047</v>
      </c>
      <c r="N3874" t="b">
        <v>1</v>
      </c>
    </row>
    <row r="3875" spans="1:14" x14ac:dyDescent="0.3">
      <c r="A3875" t="s">
        <v>4921</v>
      </c>
      <c r="B3875" t="s">
        <v>816</v>
      </c>
      <c r="C3875" s="1">
        <v>45647</v>
      </c>
      <c r="E3875" t="s">
        <v>15</v>
      </c>
      <c r="F3875">
        <v>71</v>
      </c>
      <c r="G3875" s="12">
        <v>1349</v>
      </c>
      <c r="H3875" s="12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1050</v>
      </c>
      <c r="N3875" t="b">
        <v>1</v>
      </c>
    </row>
    <row r="3876" spans="1:14" x14ac:dyDescent="0.3">
      <c r="A3876" t="s">
        <v>4922</v>
      </c>
      <c r="B3876" t="s">
        <v>224</v>
      </c>
      <c r="C3876" s="1">
        <v>45650</v>
      </c>
      <c r="D3876" s="1">
        <v>45655</v>
      </c>
      <c r="E3876" t="s">
        <v>32</v>
      </c>
      <c r="F3876">
        <v>23</v>
      </c>
      <c r="G3876" s="12">
        <v>4577</v>
      </c>
      <c r="H3876" s="12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1050</v>
      </c>
      <c r="N3876" t="b">
        <v>0</v>
      </c>
    </row>
    <row r="3877" spans="1:14" x14ac:dyDescent="0.3">
      <c r="A3877" t="s">
        <v>4923</v>
      </c>
      <c r="B3877" t="s">
        <v>238</v>
      </c>
      <c r="C3877" s="1">
        <v>45550</v>
      </c>
      <c r="E3877" t="s">
        <v>32</v>
      </c>
      <c r="F3877">
        <v>17</v>
      </c>
      <c r="G3877" s="12">
        <v>3383</v>
      </c>
      <c r="H3877" s="12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1047</v>
      </c>
      <c r="N3877" t="b">
        <v>1</v>
      </c>
    </row>
    <row r="3878" spans="1:14" x14ac:dyDescent="0.3">
      <c r="A3878" t="s">
        <v>4924</v>
      </c>
      <c r="B3878" t="s">
        <v>150</v>
      </c>
      <c r="C3878" s="1">
        <v>45628</v>
      </c>
      <c r="D3878" s="1">
        <v>45656</v>
      </c>
      <c r="E3878" t="s">
        <v>32</v>
      </c>
      <c r="F3878">
        <v>8</v>
      </c>
      <c r="G3878" s="12">
        <v>1592</v>
      </c>
      <c r="H3878" s="12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1050</v>
      </c>
      <c r="N3878" t="b">
        <v>1</v>
      </c>
    </row>
    <row r="3879" spans="1:14" x14ac:dyDescent="0.3">
      <c r="A3879" t="s">
        <v>4925</v>
      </c>
      <c r="B3879" t="s">
        <v>682</v>
      </c>
      <c r="C3879" s="1">
        <v>45394</v>
      </c>
      <c r="E3879" t="s">
        <v>15</v>
      </c>
      <c r="F3879">
        <v>13</v>
      </c>
      <c r="G3879" s="12">
        <v>247</v>
      </c>
      <c r="H3879" s="12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1050</v>
      </c>
      <c r="N3879" t="b">
        <v>1</v>
      </c>
    </row>
    <row r="3880" spans="1:14" x14ac:dyDescent="0.3">
      <c r="A3880" t="s">
        <v>4926</v>
      </c>
      <c r="B3880" t="s">
        <v>216</v>
      </c>
      <c r="C3880" s="1">
        <v>45654</v>
      </c>
      <c r="E3880" t="s">
        <v>39</v>
      </c>
      <c r="F3880">
        <v>31</v>
      </c>
      <c r="G3880" s="12">
        <v>1519</v>
      </c>
      <c r="H3880" s="12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1050</v>
      </c>
      <c r="N3880" t="b">
        <v>1</v>
      </c>
    </row>
    <row r="3881" spans="1:14" x14ac:dyDescent="0.3">
      <c r="A3881" t="s">
        <v>4927</v>
      </c>
      <c r="B3881" t="s">
        <v>280</v>
      </c>
      <c r="C3881" s="1">
        <v>45355</v>
      </c>
      <c r="E3881" t="s">
        <v>39</v>
      </c>
      <c r="F3881">
        <v>7</v>
      </c>
      <c r="G3881" s="12">
        <v>343</v>
      </c>
      <c r="H3881" s="12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1050</v>
      </c>
      <c r="N3881" t="b">
        <v>1</v>
      </c>
    </row>
    <row r="3882" spans="1:14" x14ac:dyDescent="0.3">
      <c r="A3882" t="s">
        <v>4928</v>
      </c>
      <c r="B3882" t="s">
        <v>984</v>
      </c>
      <c r="C3882" s="1">
        <v>45642</v>
      </c>
      <c r="E3882" t="s">
        <v>39</v>
      </c>
      <c r="F3882">
        <v>19</v>
      </c>
      <c r="G3882" s="12">
        <v>931</v>
      </c>
      <c r="H3882" s="1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1050</v>
      </c>
      <c r="N3882" t="b">
        <v>1</v>
      </c>
    </row>
    <row r="3883" spans="1:14" x14ac:dyDescent="0.3">
      <c r="A3883" t="s">
        <v>4929</v>
      </c>
      <c r="B3883" t="s">
        <v>178</v>
      </c>
      <c r="C3883" s="1">
        <v>45281</v>
      </c>
      <c r="E3883" t="s">
        <v>32</v>
      </c>
      <c r="F3883">
        <v>11</v>
      </c>
      <c r="G3883" s="12">
        <v>2189</v>
      </c>
      <c r="H3883" s="12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1047</v>
      </c>
      <c r="N3883" t="b">
        <v>1</v>
      </c>
    </row>
    <row r="3884" spans="1:14" x14ac:dyDescent="0.3">
      <c r="A3884" t="s">
        <v>4930</v>
      </c>
      <c r="B3884" t="s">
        <v>288</v>
      </c>
      <c r="C3884" s="1">
        <v>45421</v>
      </c>
      <c r="E3884" t="s">
        <v>39</v>
      </c>
      <c r="F3884">
        <v>26</v>
      </c>
      <c r="G3884" s="12">
        <v>1274</v>
      </c>
      <c r="H3884" s="12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1050</v>
      </c>
      <c r="N3884" t="b">
        <v>0</v>
      </c>
    </row>
    <row r="3885" spans="1:14" x14ac:dyDescent="0.3">
      <c r="A3885" t="s">
        <v>4931</v>
      </c>
      <c r="B3885" t="s">
        <v>16</v>
      </c>
      <c r="C3885" s="1">
        <v>45189</v>
      </c>
      <c r="E3885" t="s">
        <v>15</v>
      </c>
      <c r="F3885">
        <v>22</v>
      </c>
      <c r="G3885" s="12">
        <v>418</v>
      </c>
      <c r="H3885" s="12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1050</v>
      </c>
      <c r="N3885" t="b">
        <v>0</v>
      </c>
    </row>
    <row r="3886" spans="1:14" x14ac:dyDescent="0.3">
      <c r="A3886" t="s">
        <v>4932</v>
      </c>
      <c r="B3886" t="s">
        <v>980</v>
      </c>
      <c r="C3886" s="1">
        <v>45619</v>
      </c>
      <c r="E3886" t="s">
        <v>39</v>
      </c>
      <c r="F3886">
        <v>67</v>
      </c>
      <c r="G3886" s="12">
        <v>3283</v>
      </c>
      <c r="H3886" s="12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1050</v>
      </c>
      <c r="N3886" t="b">
        <v>0</v>
      </c>
    </row>
    <row r="3887" spans="1:14" x14ac:dyDescent="0.3">
      <c r="A3887" t="s">
        <v>4933</v>
      </c>
      <c r="B3887" t="s">
        <v>552</v>
      </c>
      <c r="C3887" s="1">
        <v>45548</v>
      </c>
      <c r="E3887" t="s">
        <v>39</v>
      </c>
      <c r="F3887">
        <v>8</v>
      </c>
      <c r="G3887" s="12">
        <v>392</v>
      </c>
      <c r="H3887" s="12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1047</v>
      </c>
      <c r="N3887" t="b">
        <v>0</v>
      </c>
    </row>
    <row r="3888" spans="1:14" x14ac:dyDescent="0.3">
      <c r="A3888" t="s">
        <v>4934</v>
      </c>
      <c r="B3888" t="s">
        <v>302</v>
      </c>
      <c r="C3888" s="1">
        <v>45271</v>
      </c>
      <c r="E3888" t="s">
        <v>39</v>
      </c>
      <c r="F3888">
        <v>47</v>
      </c>
      <c r="G3888" s="12">
        <v>2303</v>
      </c>
      <c r="H3888" s="12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1050</v>
      </c>
      <c r="N3888" t="b">
        <v>1</v>
      </c>
    </row>
    <row r="3889" spans="1:14" x14ac:dyDescent="0.3">
      <c r="A3889" t="s">
        <v>4935</v>
      </c>
      <c r="B3889" t="s">
        <v>638</v>
      </c>
      <c r="C3889" s="1">
        <v>45636</v>
      </c>
      <c r="E3889" t="s">
        <v>39</v>
      </c>
      <c r="F3889">
        <v>19</v>
      </c>
      <c r="G3889" s="12">
        <v>931</v>
      </c>
      <c r="H3889" s="12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1050</v>
      </c>
      <c r="N3889" t="b">
        <v>1</v>
      </c>
    </row>
    <row r="3890" spans="1:14" x14ac:dyDescent="0.3">
      <c r="A3890" t="s">
        <v>4936</v>
      </c>
      <c r="B3890" t="s">
        <v>426</v>
      </c>
      <c r="C3890" s="1">
        <v>45571</v>
      </c>
      <c r="D3890" s="1">
        <v>45588</v>
      </c>
      <c r="E3890" t="s">
        <v>15</v>
      </c>
      <c r="F3890">
        <v>97</v>
      </c>
      <c r="G3890" s="12">
        <v>1843</v>
      </c>
      <c r="H3890" s="12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1047</v>
      </c>
      <c r="N3890" t="b">
        <v>1</v>
      </c>
    </row>
    <row r="3891" spans="1:14" x14ac:dyDescent="0.3">
      <c r="A3891" t="s">
        <v>4937</v>
      </c>
      <c r="B3891" t="s">
        <v>154</v>
      </c>
      <c r="C3891" s="1">
        <v>45607</v>
      </c>
      <c r="E3891" t="s">
        <v>15</v>
      </c>
      <c r="F3891">
        <v>33</v>
      </c>
      <c r="G3891" s="12">
        <v>0</v>
      </c>
      <c r="H3891" s="12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1047</v>
      </c>
      <c r="N3891" t="b">
        <v>0</v>
      </c>
    </row>
    <row r="3892" spans="1:14" x14ac:dyDescent="0.3">
      <c r="A3892" t="s">
        <v>4938</v>
      </c>
      <c r="B3892" t="s">
        <v>896</v>
      </c>
      <c r="C3892" s="1">
        <v>45445</v>
      </c>
      <c r="E3892" t="s">
        <v>39</v>
      </c>
      <c r="F3892">
        <v>24</v>
      </c>
      <c r="G3892" s="12">
        <v>1176</v>
      </c>
      <c r="H3892" s="1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1047</v>
      </c>
      <c r="N3892" t="b">
        <v>1</v>
      </c>
    </row>
    <row r="3893" spans="1:14" x14ac:dyDescent="0.3">
      <c r="A3893" t="s">
        <v>4939</v>
      </c>
      <c r="B3893" t="s">
        <v>590</v>
      </c>
      <c r="C3893" s="1">
        <v>45609</v>
      </c>
      <c r="D3893" s="1">
        <v>45617</v>
      </c>
      <c r="E3893" t="s">
        <v>39</v>
      </c>
      <c r="F3893">
        <v>39</v>
      </c>
      <c r="G3893" s="12">
        <v>0</v>
      </c>
      <c r="H3893" s="12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1047</v>
      </c>
      <c r="N3893" t="b">
        <v>0</v>
      </c>
    </row>
    <row r="3894" spans="1:14" x14ac:dyDescent="0.3">
      <c r="A3894" t="s">
        <v>4940</v>
      </c>
      <c r="B3894" t="s">
        <v>976</v>
      </c>
      <c r="C3894" s="1">
        <v>45481</v>
      </c>
      <c r="E3894" t="s">
        <v>15</v>
      </c>
      <c r="F3894">
        <v>54</v>
      </c>
      <c r="G3894" s="12">
        <v>1026</v>
      </c>
      <c r="H3894" s="12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1047</v>
      </c>
      <c r="N3894" t="b">
        <v>1</v>
      </c>
    </row>
    <row r="3895" spans="1:14" x14ac:dyDescent="0.3">
      <c r="A3895" t="s">
        <v>4941</v>
      </c>
      <c r="B3895" t="s">
        <v>942</v>
      </c>
      <c r="C3895" s="1">
        <v>45635</v>
      </c>
      <c r="E3895" t="s">
        <v>15</v>
      </c>
      <c r="F3895">
        <v>13</v>
      </c>
      <c r="G3895" s="12">
        <v>247</v>
      </c>
      <c r="H3895" s="12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1047</v>
      </c>
      <c r="N3895" t="b">
        <v>1</v>
      </c>
    </row>
    <row r="3896" spans="1:14" x14ac:dyDescent="0.3">
      <c r="A3896" t="s">
        <v>4942</v>
      </c>
      <c r="B3896" t="s">
        <v>144</v>
      </c>
      <c r="C3896" s="1">
        <v>45568</v>
      </c>
      <c r="E3896" t="s">
        <v>32</v>
      </c>
      <c r="F3896">
        <v>5</v>
      </c>
      <c r="G3896" s="12">
        <v>995</v>
      </c>
      <c r="H3896" s="12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1050</v>
      </c>
      <c r="N3896" t="b">
        <v>0</v>
      </c>
    </row>
    <row r="3897" spans="1:14" x14ac:dyDescent="0.3">
      <c r="A3897" t="s">
        <v>4943</v>
      </c>
      <c r="B3897" t="s">
        <v>320</v>
      </c>
      <c r="C3897" s="1">
        <v>45513</v>
      </c>
      <c r="D3897" s="1">
        <v>45572</v>
      </c>
      <c r="E3897" t="s">
        <v>15</v>
      </c>
      <c r="F3897">
        <v>25</v>
      </c>
      <c r="G3897" s="12">
        <v>475</v>
      </c>
      <c r="H3897" s="12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1047</v>
      </c>
      <c r="N3897" t="b">
        <v>1</v>
      </c>
    </row>
    <row r="3898" spans="1:14" x14ac:dyDescent="0.3">
      <c r="A3898" t="s">
        <v>4944</v>
      </c>
      <c r="B3898" t="s">
        <v>662</v>
      </c>
      <c r="C3898" s="1">
        <v>45621</v>
      </c>
      <c r="E3898" t="s">
        <v>32</v>
      </c>
      <c r="F3898">
        <v>79</v>
      </c>
      <c r="G3898" s="12">
        <v>0</v>
      </c>
      <c r="H3898" s="12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1050</v>
      </c>
      <c r="N3898" t="b">
        <v>1</v>
      </c>
    </row>
    <row r="3899" spans="1:14" x14ac:dyDescent="0.3">
      <c r="A3899" t="s">
        <v>4945</v>
      </c>
      <c r="B3899" t="s">
        <v>890</v>
      </c>
      <c r="C3899" s="1">
        <v>45518</v>
      </c>
      <c r="E3899" t="s">
        <v>15</v>
      </c>
      <c r="F3899">
        <v>10</v>
      </c>
      <c r="G3899" s="12">
        <v>190</v>
      </c>
      <c r="H3899" s="12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1047</v>
      </c>
      <c r="N3899" t="b">
        <v>1</v>
      </c>
    </row>
    <row r="3900" spans="1:14" x14ac:dyDescent="0.3">
      <c r="A3900" t="s">
        <v>4946</v>
      </c>
      <c r="B3900" t="s">
        <v>596</v>
      </c>
      <c r="C3900" s="1">
        <v>45457</v>
      </c>
      <c r="E3900" t="s">
        <v>39</v>
      </c>
      <c r="F3900">
        <v>69</v>
      </c>
      <c r="G3900" s="12">
        <v>3381</v>
      </c>
      <c r="H3900" s="12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1047</v>
      </c>
      <c r="N3900" t="b">
        <v>1</v>
      </c>
    </row>
    <row r="3901" spans="1:14" x14ac:dyDescent="0.3">
      <c r="A3901" t="s">
        <v>4947</v>
      </c>
      <c r="B3901" t="s">
        <v>204</v>
      </c>
      <c r="C3901" s="1">
        <v>45632</v>
      </c>
      <c r="E3901" t="s">
        <v>15</v>
      </c>
      <c r="F3901">
        <v>92</v>
      </c>
      <c r="G3901" s="12">
        <v>1748</v>
      </c>
      <c r="H3901" s="12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1047</v>
      </c>
      <c r="N3901" t="b">
        <v>1</v>
      </c>
    </row>
    <row r="3902" spans="1:14" x14ac:dyDescent="0.3">
      <c r="A3902" t="s">
        <v>4948</v>
      </c>
      <c r="B3902" t="s">
        <v>1006</v>
      </c>
      <c r="C3902" s="1">
        <v>45646</v>
      </c>
      <c r="D3902" s="1">
        <v>45655</v>
      </c>
      <c r="E3902" t="s">
        <v>15</v>
      </c>
      <c r="F3902">
        <v>148</v>
      </c>
      <c r="G3902" s="12">
        <v>2812</v>
      </c>
      <c r="H3902" s="1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1050</v>
      </c>
      <c r="N3902" t="b">
        <v>1</v>
      </c>
    </row>
    <row r="3903" spans="1:14" x14ac:dyDescent="0.3">
      <c r="A3903" t="s">
        <v>4949</v>
      </c>
      <c r="B3903" t="s">
        <v>858</v>
      </c>
      <c r="C3903" s="1">
        <v>45549</v>
      </c>
      <c r="E3903" t="s">
        <v>15</v>
      </c>
      <c r="F3903">
        <v>111</v>
      </c>
      <c r="G3903" s="12">
        <v>2109</v>
      </c>
      <c r="H3903" s="12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1047</v>
      </c>
      <c r="N3903" t="b">
        <v>1</v>
      </c>
    </row>
    <row r="3904" spans="1:14" x14ac:dyDescent="0.3">
      <c r="A3904" t="s">
        <v>4950</v>
      </c>
      <c r="B3904" t="s">
        <v>282</v>
      </c>
      <c r="C3904" s="1">
        <v>45637</v>
      </c>
      <c r="E3904" t="s">
        <v>15</v>
      </c>
      <c r="F3904">
        <v>33</v>
      </c>
      <c r="G3904" s="12">
        <v>0</v>
      </c>
      <c r="H3904" s="12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1047</v>
      </c>
      <c r="N3904" t="b">
        <v>0</v>
      </c>
    </row>
    <row r="3905" spans="1:14" x14ac:dyDescent="0.3">
      <c r="A3905" t="s">
        <v>4951</v>
      </c>
      <c r="B3905" t="s">
        <v>500</v>
      </c>
      <c r="C3905" s="1">
        <v>45462</v>
      </c>
      <c r="E3905" t="s">
        <v>15</v>
      </c>
      <c r="F3905">
        <v>92</v>
      </c>
      <c r="G3905" s="12">
        <v>1748</v>
      </c>
      <c r="H3905" s="12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1047</v>
      </c>
      <c r="N3905" t="b">
        <v>0</v>
      </c>
    </row>
    <row r="3906" spans="1:14" x14ac:dyDescent="0.3">
      <c r="A3906" t="s">
        <v>4952</v>
      </c>
      <c r="B3906" t="s">
        <v>316</v>
      </c>
      <c r="C3906" s="1">
        <v>45192</v>
      </c>
      <c r="E3906" t="s">
        <v>15</v>
      </c>
      <c r="F3906">
        <v>2</v>
      </c>
      <c r="G3906" s="12">
        <v>38</v>
      </c>
      <c r="H3906" s="12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1047</v>
      </c>
      <c r="N3906" t="b">
        <v>1</v>
      </c>
    </row>
    <row r="3907" spans="1:14" x14ac:dyDescent="0.3">
      <c r="A3907" t="s">
        <v>4953</v>
      </c>
      <c r="B3907" t="s">
        <v>716</v>
      </c>
      <c r="C3907" s="1">
        <v>45533</v>
      </c>
      <c r="E3907" t="s">
        <v>39</v>
      </c>
      <c r="F3907">
        <v>35</v>
      </c>
      <c r="G3907" s="12">
        <v>1715</v>
      </c>
      <c r="H3907" s="12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1050</v>
      </c>
      <c r="N3907" t="b">
        <v>0</v>
      </c>
    </row>
    <row r="3908" spans="1:14" x14ac:dyDescent="0.3">
      <c r="A3908" t="s">
        <v>4954</v>
      </c>
      <c r="B3908" t="s">
        <v>486</v>
      </c>
      <c r="C3908" s="1">
        <v>45292</v>
      </c>
      <c r="E3908" t="s">
        <v>15</v>
      </c>
      <c r="F3908">
        <v>53</v>
      </c>
      <c r="G3908" s="12">
        <v>1007</v>
      </c>
      <c r="H3908" s="12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1047</v>
      </c>
      <c r="N3908" t="b">
        <v>1</v>
      </c>
    </row>
    <row r="3909" spans="1:14" x14ac:dyDescent="0.3">
      <c r="A3909" t="s">
        <v>4955</v>
      </c>
      <c r="B3909" t="s">
        <v>896</v>
      </c>
      <c r="C3909" s="1">
        <v>45448</v>
      </c>
      <c r="E3909" t="s">
        <v>39</v>
      </c>
      <c r="F3909">
        <v>24</v>
      </c>
      <c r="G3909" s="12">
        <v>1176</v>
      </c>
      <c r="H3909" s="12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1050</v>
      </c>
      <c r="N3909" t="b">
        <v>0</v>
      </c>
    </row>
    <row r="3910" spans="1:14" x14ac:dyDescent="0.3">
      <c r="A3910" t="s">
        <v>4956</v>
      </c>
      <c r="B3910" t="s">
        <v>482</v>
      </c>
      <c r="C3910" s="1">
        <v>45629</v>
      </c>
      <c r="D3910" s="1">
        <v>45657</v>
      </c>
      <c r="E3910" t="s">
        <v>32</v>
      </c>
      <c r="F3910">
        <v>69</v>
      </c>
      <c r="G3910" s="12">
        <v>13731</v>
      </c>
      <c r="H3910" s="12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1050</v>
      </c>
      <c r="N3910" t="b">
        <v>1</v>
      </c>
    </row>
    <row r="3911" spans="1:14" x14ac:dyDescent="0.3">
      <c r="A3911" t="s">
        <v>4957</v>
      </c>
      <c r="B3911" t="s">
        <v>900</v>
      </c>
      <c r="C3911" s="1">
        <v>45650</v>
      </c>
      <c r="E3911" t="s">
        <v>39</v>
      </c>
      <c r="F3911">
        <v>40</v>
      </c>
      <c r="G3911" s="12">
        <v>1960</v>
      </c>
      <c r="H3911" s="12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1047</v>
      </c>
      <c r="N3911" t="b">
        <v>1</v>
      </c>
    </row>
    <row r="3912" spans="1:14" x14ac:dyDescent="0.3">
      <c r="A3912" t="s">
        <v>4958</v>
      </c>
      <c r="B3912" t="s">
        <v>584</v>
      </c>
      <c r="C3912" s="1">
        <v>45447</v>
      </c>
      <c r="E3912" t="s">
        <v>15</v>
      </c>
      <c r="F3912">
        <v>12</v>
      </c>
      <c r="G3912" s="12">
        <v>228</v>
      </c>
      <c r="H3912" s="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1050</v>
      </c>
      <c r="N3912" t="b">
        <v>1</v>
      </c>
    </row>
    <row r="3913" spans="1:14" x14ac:dyDescent="0.3">
      <c r="A3913" t="s">
        <v>4959</v>
      </c>
      <c r="B3913" t="s">
        <v>476</v>
      </c>
      <c r="C3913" s="1">
        <v>45647</v>
      </c>
      <c r="E3913" t="s">
        <v>39</v>
      </c>
      <c r="F3913">
        <v>6</v>
      </c>
      <c r="G3913" s="12">
        <v>294</v>
      </c>
      <c r="H3913" s="12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1047</v>
      </c>
      <c r="N3913" t="b">
        <v>1</v>
      </c>
    </row>
    <row r="3914" spans="1:14" x14ac:dyDescent="0.3">
      <c r="A3914" t="s">
        <v>4960</v>
      </c>
      <c r="B3914" t="s">
        <v>540</v>
      </c>
      <c r="C3914" s="1">
        <v>45645</v>
      </c>
      <c r="E3914" t="s">
        <v>32</v>
      </c>
      <c r="F3914">
        <v>36</v>
      </c>
      <c r="G3914" s="12">
        <v>0</v>
      </c>
      <c r="H3914" s="12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1050</v>
      </c>
      <c r="N3914" t="b">
        <v>1</v>
      </c>
    </row>
    <row r="3915" spans="1:14" x14ac:dyDescent="0.3">
      <c r="A3915" t="s">
        <v>4961</v>
      </c>
      <c r="B3915" t="s">
        <v>888</v>
      </c>
      <c r="C3915" s="1">
        <v>45425</v>
      </c>
      <c r="E3915" t="s">
        <v>32</v>
      </c>
      <c r="F3915">
        <v>13</v>
      </c>
      <c r="G3915" s="12">
        <v>2587</v>
      </c>
      <c r="H3915" s="12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1047</v>
      </c>
      <c r="N3915" t="b">
        <v>1</v>
      </c>
    </row>
    <row r="3916" spans="1:14" x14ac:dyDescent="0.3">
      <c r="A3916" t="s">
        <v>4962</v>
      </c>
      <c r="B3916" t="s">
        <v>410</v>
      </c>
      <c r="C3916" s="1">
        <v>45337</v>
      </c>
      <c r="E3916" t="s">
        <v>32</v>
      </c>
      <c r="F3916">
        <v>14</v>
      </c>
      <c r="G3916" s="12">
        <v>2786</v>
      </c>
      <c r="H3916" s="12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1047</v>
      </c>
      <c r="N3916" t="b">
        <v>0</v>
      </c>
    </row>
    <row r="3917" spans="1:14" x14ac:dyDescent="0.3">
      <c r="A3917" t="s">
        <v>4963</v>
      </c>
      <c r="B3917" t="s">
        <v>644</v>
      </c>
      <c r="C3917" s="1">
        <v>45627</v>
      </c>
      <c r="E3917" t="s">
        <v>32</v>
      </c>
      <c r="F3917">
        <v>15</v>
      </c>
      <c r="G3917" s="12">
        <v>2985</v>
      </c>
      <c r="H3917" s="12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1050</v>
      </c>
      <c r="N3917" t="b">
        <v>1</v>
      </c>
    </row>
    <row r="3918" spans="1:14" x14ac:dyDescent="0.3">
      <c r="A3918" t="s">
        <v>4964</v>
      </c>
      <c r="B3918" t="s">
        <v>202</v>
      </c>
      <c r="C3918" s="1">
        <v>45469</v>
      </c>
      <c r="E3918" t="s">
        <v>15</v>
      </c>
      <c r="F3918">
        <v>25</v>
      </c>
      <c r="G3918" s="12">
        <v>475</v>
      </c>
      <c r="H3918" s="12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1047</v>
      </c>
      <c r="N3918" t="b">
        <v>1</v>
      </c>
    </row>
    <row r="3919" spans="1:14" x14ac:dyDescent="0.3">
      <c r="A3919" t="s">
        <v>4965</v>
      </c>
      <c r="B3919" t="s">
        <v>350</v>
      </c>
      <c r="C3919" s="1">
        <v>45620</v>
      </c>
      <c r="E3919" t="s">
        <v>39</v>
      </c>
      <c r="F3919">
        <v>19</v>
      </c>
      <c r="G3919" s="12">
        <v>931</v>
      </c>
      <c r="H3919" s="12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1050</v>
      </c>
      <c r="N3919" t="b">
        <v>1</v>
      </c>
    </row>
    <row r="3920" spans="1:14" x14ac:dyDescent="0.3">
      <c r="A3920" t="s">
        <v>4966</v>
      </c>
      <c r="B3920" t="s">
        <v>284</v>
      </c>
      <c r="C3920" s="1">
        <v>45275</v>
      </c>
      <c r="E3920" t="s">
        <v>15</v>
      </c>
      <c r="F3920">
        <v>23</v>
      </c>
      <c r="G3920" s="12">
        <v>0</v>
      </c>
      <c r="H3920" s="12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1050</v>
      </c>
      <c r="N3920" t="b">
        <v>1</v>
      </c>
    </row>
    <row r="3921" spans="1:14" x14ac:dyDescent="0.3">
      <c r="A3921" t="s">
        <v>4967</v>
      </c>
      <c r="B3921" t="s">
        <v>644</v>
      </c>
      <c r="C3921" s="1">
        <v>45569</v>
      </c>
      <c r="E3921" t="s">
        <v>15</v>
      </c>
      <c r="F3921">
        <v>13</v>
      </c>
      <c r="G3921" s="12">
        <v>247</v>
      </c>
      <c r="H3921" s="12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1047</v>
      </c>
      <c r="N3921" t="b">
        <v>0</v>
      </c>
    </row>
    <row r="3922" spans="1:14" x14ac:dyDescent="0.3">
      <c r="A3922" t="s">
        <v>4968</v>
      </c>
      <c r="B3922" t="s">
        <v>690</v>
      </c>
      <c r="C3922" s="1">
        <v>45654</v>
      </c>
      <c r="E3922" t="s">
        <v>15</v>
      </c>
      <c r="F3922">
        <v>32</v>
      </c>
      <c r="G3922" s="12">
        <v>608</v>
      </c>
      <c r="H3922" s="1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1050</v>
      </c>
      <c r="N3922" t="b">
        <v>1</v>
      </c>
    </row>
    <row r="3923" spans="1:14" x14ac:dyDescent="0.3">
      <c r="A3923" t="s">
        <v>4969</v>
      </c>
      <c r="B3923" t="s">
        <v>760</v>
      </c>
      <c r="C3923" s="1">
        <v>45406</v>
      </c>
      <c r="E3923" t="s">
        <v>39</v>
      </c>
      <c r="F3923">
        <v>11</v>
      </c>
      <c r="G3923" s="12">
        <v>539</v>
      </c>
      <c r="H3923" s="12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1050</v>
      </c>
      <c r="N3923" t="b">
        <v>1</v>
      </c>
    </row>
    <row r="3924" spans="1:14" x14ac:dyDescent="0.3">
      <c r="A3924" t="s">
        <v>4970</v>
      </c>
      <c r="B3924" t="s">
        <v>398</v>
      </c>
      <c r="C3924" s="1">
        <v>45452</v>
      </c>
      <c r="E3924" t="s">
        <v>15</v>
      </c>
      <c r="F3924">
        <v>19</v>
      </c>
      <c r="G3924" s="12">
        <v>361</v>
      </c>
      <c r="H3924" s="12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1050</v>
      </c>
      <c r="N3924" t="b">
        <v>1</v>
      </c>
    </row>
    <row r="3925" spans="1:14" x14ac:dyDescent="0.3">
      <c r="A3925" t="s">
        <v>4971</v>
      </c>
      <c r="B3925" t="s">
        <v>476</v>
      </c>
      <c r="C3925" s="1">
        <v>45654</v>
      </c>
      <c r="E3925" t="s">
        <v>39</v>
      </c>
      <c r="F3925">
        <v>23</v>
      </c>
      <c r="G3925" s="12">
        <v>1127</v>
      </c>
      <c r="H3925" s="12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1047</v>
      </c>
      <c r="N3925" t="b">
        <v>1</v>
      </c>
    </row>
    <row r="3926" spans="1:14" x14ac:dyDescent="0.3">
      <c r="A3926" t="s">
        <v>4972</v>
      </c>
      <c r="B3926" t="s">
        <v>476</v>
      </c>
      <c r="C3926" s="1">
        <v>45642</v>
      </c>
      <c r="D3926" s="1">
        <v>45649</v>
      </c>
      <c r="E3926" t="s">
        <v>39</v>
      </c>
      <c r="F3926">
        <v>6</v>
      </c>
      <c r="G3926" s="12">
        <v>294</v>
      </c>
      <c r="H3926" s="12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1050</v>
      </c>
      <c r="N3926" t="b">
        <v>1</v>
      </c>
    </row>
    <row r="3927" spans="1:14" x14ac:dyDescent="0.3">
      <c r="A3927" t="s">
        <v>4973</v>
      </c>
      <c r="B3927" t="s">
        <v>404</v>
      </c>
      <c r="C3927" s="1">
        <v>45524</v>
      </c>
      <c r="E3927" t="s">
        <v>39</v>
      </c>
      <c r="F3927">
        <v>15</v>
      </c>
      <c r="G3927" s="12">
        <v>735</v>
      </c>
      <c r="H3927" s="12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1047</v>
      </c>
      <c r="N3927" t="b">
        <v>1</v>
      </c>
    </row>
    <row r="3928" spans="1:14" x14ac:dyDescent="0.3">
      <c r="A3928" t="s">
        <v>4974</v>
      </c>
      <c r="B3928" t="s">
        <v>202</v>
      </c>
      <c r="C3928" s="1">
        <v>45375</v>
      </c>
      <c r="E3928" t="s">
        <v>32</v>
      </c>
      <c r="F3928">
        <v>55</v>
      </c>
      <c r="G3928" s="12">
        <v>10945</v>
      </c>
      <c r="H3928" s="12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1047</v>
      </c>
      <c r="N3928" t="b">
        <v>1</v>
      </c>
    </row>
    <row r="3929" spans="1:14" x14ac:dyDescent="0.3">
      <c r="A3929" t="s">
        <v>4975</v>
      </c>
      <c r="B3929" t="s">
        <v>896</v>
      </c>
      <c r="C3929" s="1">
        <v>45437</v>
      </c>
      <c r="E3929" t="s">
        <v>39</v>
      </c>
      <c r="F3929">
        <v>27</v>
      </c>
      <c r="G3929" s="12">
        <v>1323</v>
      </c>
      <c r="H3929" s="12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1050</v>
      </c>
      <c r="N3929" t="b">
        <v>0</v>
      </c>
    </row>
    <row r="3930" spans="1:14" x14ac:dyDescent="0.3">
      <c r="A3930" t="s">
        <v>4976</v>
      </c>
      <c r="B3930" t="s">
        <v>76</v>
      </c>
      <c r="C3930" s="1">
        <v>45598</v>
      </c>
      <c r="E3930" t="s">
        <v>15</v>
      </c>
      <c r="F3930">
        <v>38</v>
      </c>
      <c r="G3930" s="12">
        <v>722</v>
      </c>
      <c r="H3930" s="12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1047</v>
      </c>
      <c r="N3930" t="b">
        <v>1</v>
      </c>
    </row>
    <row r="3931" spans="1:14" x14ac:dyDescent="0.3">
      <c r="A3931" t="s">
        <v>4977</v>
      </c>
      <c r="B3931" t="s">
        <v>124</v>
      </c>
      <c r="C3931" s="1">
        <v>45630</v>
      </c>
      <c r="E3931" t="s">
        <v>15</v>
      </c>
      <c r="F3931">
        <v>33</v>
      </c>
      <c r="G3931" s="12">
        <v>627</v>
      </c>
      <c r="H3931" s="12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1050</v>
      </c>
      <c r="N3931" t="b">
        <v>1</v>
      </c>
    </row>
    <row r="3932" spans="1:14" x14ac:dyDescent="0.3">
      <c r="A3932" t="s">
        <v>4978</v>
      </c>
      <c r="B3932" t="s">
        <v>110</v>
      </c>
      <c r="C3932" s="1">
        <v>45587</v>
      </c>
      <c r="E3932" t="s">
        <v>39</v>
      </c>
      <c r="F3932">
        <v>65</v>
      </c>
      <c r="G3932" s="12">
        <v>3185</v>
      </c>
      <c r="H3932" s="1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1050</v>
      </c>
      <c r="N3932" t="b">
        <v>1</v>
      </c>
    </row>
    <row r="3933" spans="1:14" x14ac:dyDescent="0.3">
      <c r="A3933" t="s">
        <v>4979</v>
      </c>
      <c r="B3933" t="s">
        <v>182</v>
      </c>
      <c r="C3933" s="1">
        <v>45529</v>
      </c>
      <c r="E3933" t="s">
        <v>15</v>
      </c>
      <c r="F3933">
        <v>44</v>
      </c>
      <c r="G3933" s="12">
        <v>836</v>
      </c>
      <c r="H3933" s="12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1050</v>
      </c>
      <c r="N3933" t="b">
        <v>0</v>
      </c>
    </row>
    <row r="3934" spans="1:14" x14ac:dyDescent="0.3">
      <c r="A3934" t="s">
        <v>4980</v>
      </c>
      <c r="B3934" t="s">
        <v>314</v>
      </c>
      <c r="C3934" s="1">
        <v>45225</v>
      </c>
      <c r="E3934" t="s">
        <v>15</v>
      </c>
      <c r="F3934">
        <v>11</v>
      </c>
      <c r="G3934" s="12">
        <v>209</v>
      </c>
      <c r="H3934" s="12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1050</v>
      </c>
      <c r="N3934" t="b">
        <v>0</v>
      </c>
    </row>
    <row r="3935" spans="1:14" x14ac:dyDescent="0.3">
      <c r="A3935" t="s">
        <v>4981</v>
      </c>
      <c r="B3935" t="s">
        <v>348</v>
      </c>
      <c r="C3935" s="1">
        <v>45286</v>
      </c>
      <c r="E3935" t="s">
        <v>32</v>
      </c>
      <c r="F3935">
        <v>19</v>
      </c>
      <c r="G3935" s="12">
        <v>3781</v>
      </c>
      <c r="H3935" s="12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1047</v>
      </c>
      <c r="N3935" t="b">
        <v>1</v>
      </c>
    </row>
    <row r="3936" spans="1:14" x14ac:dyDescent="0.3">
      <c r="A3936" t="s">
        <v>4982</v>
      </c>
      <c r="B3936" t="s">
        <v>266</v>
      </c>
      <c r="C3936" s="1">
        <v>45505</v>
      </c>
      <c r="D3936" s="1">
        <v>45518</v>
      </c>
      <c r="E3936" t="s">
        <v>32</v>
      </c>
      <c r="F3936">
        <v>20</v>
      </c>
      <c r="G3936" s="12">
        <v>3980</v>
      </c>
      <c r="H3936" s="12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1047</v>
      </c>
      <c r="N3936" t="b">
        <v>1</v>
      </c>
    </row>
    <row r="3937" spans="1:14" x14ac:dyDescent="0.3">
      <c r="A3937" t="s">
        <v>4983</v>
      </c>
      <c r="B3937" t="s">
        <v>324</v>
      </c>
      <c r="C3937" s="1">
        <v>45628</v>
      </c>
      <c r="E3937" t="s">
        <v>39</v>
      </c>
      <c r="F3937">
        <v>86</v>
      </c>
      <c r="G3937" s="12">
        <v>4214</v>
      </c>
      <c r="H3937" s="12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1047</v>
      </c>
      <c r="N3937" t="b">
        <v>1</v>
      </c>
    </row>
    <row r="3938" spans="1:14" x14ac:dyDescent="0.3">
      <c r="A3938" t="s">
        <v>4984</v>
      </c>
      <c r="B3938" t="s">
        <v>270</v>
      </c>
      <c r="C3938" s="1">
        <v>45324</v>
      </c>
      <c r="E3938" t="s">
        <v>15</v>
      </c>
      <c r="F3938">
        <v>9</v>
      </c>
      <c r="G3938" s="12">
        <v>171</v>
      </c>
      <c r="H3938" s="12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1047</v>
      </c>
      <c r="N3938" t="b">
        <v>0</v>
      </c>
    </row>
    <row r="3939" spans="1:14" x14ac:dyDescent="0.3">
      <c r="A3939" t="s">
        <v>4985</v>
      </c>
      <c r="B3939" t="s">
        <v>97</v>
      </c>
      <c r="C3939" s="1">
        <v>45089</v>
      </c>
      <c r="E3939" t="s">
        <v>39</v>
      </c>
      <c r="F3939">
        <v>54</v>
      </c>
      <c r="G3939" s="12">
        <v>2646</v>
      </c>
      <c r="H3939" s="12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1047</v>
      </c>
      <c r="N3939" t="b">
        <v>1</v>
      </c>
    </row>
    <row r="3940" spans="1:14" x14ac:dyDescent="0.3">
      <c r="A3940" t="s">
        <v>4986</v>
      </c>
      <c r="B3940" t="s">
        <v>576</v>
      </c>
      <c r="C3940" s="1">
        <v>45452</v>
      </c>
      <c r="E3940" t="s">
        <v>39</v>
      </c>
      <c r="F3940">
        <v>8</v>
      </c>
      <c r="G3940" s="12">
        <v>0</v>
      </c>
      <c r="H3940" s="12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1050</v>
      </c>
      <c r="N3940" t="b">
        <v>1</v>
      </c>
    </row>
    <row r="3941" spans="1:14" x14ac:dyDescent="0.3">
      <c r="A3941" t="s">
        <v>4987</v>
      </c>
      <c r="B3941" t="s">
        <v>770</v>
      </c>
      <c r="C3941" s="1">
        <v>45468</v>
      </c>
      <c r="E3941" t="s">
        <v>15</v>
      </c>
      <c r="F3941">
        <v>33</v>
      </c>
      <c r="G3941" s="12">
        <v>0</v>
      </c>
      <c r="H3941" s="12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1047</v>
      </c>
      <c r="N3941" t="b">
        <v>0</v>
      </c>
    </row>
    <row r="3942" spans="1:14" x14ac:dyDescent="0.3">
      <c r="A3942" t="s">
        <v>4988</v>
      </c>
      <c r="B3942" t="s">
        <v>280</v>
      </c>
      <c r="C3942" s="1">
        <v>44962</v>
      </c>
      <c r="E3942" t="s">
        <v>39</v>
      </c>
      <c r="F3942">
        <v>7</v>
      </c>
      <c r="G3942" s="12">
        <v>343</v>
      </c>
      <c r="H3942" s="1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1047</v>
      </c>
      <c r="N3942" t="b">
        <v>1</v>
      </c>
    </row>
    <row r="3943" spans="1:14" x14ac:dyDescent="0.3">
      <c r="A3943" t="s">
        <v>4989</v>
      </c>
      <c r="B3943" t="s">
        <v>814</v>
      </c>
      <c r="C3943" s="1">
        <v>45231</v>
      </c>
      <c r="E3943" t="s">
        <v>32</v>
      </c>
      <c r="F3943">
        <v>30</v>
      </c>
      <c r="G3943" s="12">
        <v>5970</v>
      </c>
      <c r="H3943" s="12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1047</v>
      </c>
      <c r="N3943" t="b">
        <v>1</v>
      </c>
    </row>
    <row r="3944" spans="1:14" x14ac:dyDescent="0.3">
      <c r="A3944" t="s">
        <v>4990</v>
      </c>
      <c r="B3944" t="s">
        <v>542</v>
      </c>
      <c r="C3944" s="1">
        <v>45434</v>
      </c>
      <c r="E3944" t="s">
        <v>15</v>
      </c>
      <c r="F3944">
        <v>37</v>
      </c>
      <c r="G3944" s="12">
        <v>703</v>
      </c>
      <c r="H3944" s="12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1050</v>
      </c>
      <c r="N3944" t="b">
        <v>1</v>
      </c>
    </row>
    <row r="3945" spans="1:14" x14ac:dyDescent="0.3">
      <c r="A3945" t="s">
        <v>4991</v>
      </c>
      <c r="B3945" t="s">
        <v>168</v>
      </c>
      <c r="C3945" s="1">
        <v>45525</v>
      </c>
      <c r="E3945" t="s">
        <v>15</v>
      </c>
      <c r="F3945">
        <v>52</v>
      </c>
      <c r="G3945" s="12">
        <v>988</v>
      </c>
      <c r="H3945" s="12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1050</v>
      </c>
      <c r="N3945" t="b">
        <v>1</v>
      </c>
    </row>
    <row r="3946" spans="1:14" x14ac:dyDescent="0.3">
      <c r="A3946" t="s">
        <v>4992</v>
      </c>
      <c r="B3946" t="s">
        <v>188</v>
      </c>
      <c r="C3946" s="1">
        <v>45192</v>
      </c>
      <c r="E3946" t="s">
        <v>15</v>
      </c>
      <c r="F3946">
        <v>25</v>
      </c>
      <c r="G3946" s="12">
        <v>475</v>
      </c>
      <c r="H3946" s="12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1050</v>
      </c>
      <c r="N3946" t="b">
        <v>1</v>
      </c>
    </row>
    <row r="3947" spans="1:14" x14ac:dyDescent="0.3">
      <c r="A3947" t="s">
        <v>4993</v>
      </c>
      <c r="B3947" t="s">
        <v>616</v>
      </c>
      <c r="C3947" s="1">
        <v>45606</v>
      </c>
      <c r="D3947" s="1">
        <v>45635</v>
      </c>
      <c r="E3947" t="s">
        <v>39</v>
      </c>
      <c r="F3947">
        <v>8</v>
      </c>
      <c r="G3947" s="12">
        <v>392</v>
      </c>
      <c r="H3947" s="12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1047</v>
      </c>
      <c r="N3947" t="b">
        <v>0</v>
      </c>
    </row>
    <row r="3948" spans="1:14" x14ac:dyDescent="0.3">
      <c r="A3948" t="s">
        <v>4994</v>
      </c>
      <c r="B3948" t="s">
        <v>494</v>
      </c>
      <c r="C3948" s="1">
        <v>45156</v>
      </c>
      <c r="E3948" t="s">
        <v>32</v>
      </c>
      <c r="F3948">
        <v>91</v>
      </c>
      <c r="G3948" s="12">
        <v>18109</v>
      </c>
      <c r="H3948" s="12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1047</v>
      </c>
      <c r="N3948" t="b">
        <v>1</v>
      </c>
    </row>
    <row r="3949" spans="1:14" x14ac:dyDescent="0.3">
      <c r="A3949" t="s">
        <v>4995</v>
      </c>
      <c r="B3949" t="s">
        <v>760</v>
      </c>
      <c r="C3949" s="1">
        <v>45522</v>
      </c>
      <c r="E3949" t="s">
        <v>15</v>
      </c>
      <c r="F3949">
        <v>30</v>
      </c>
      <c r="G3949" s="12">
        <v>570</v>
      </c>
      <c r="H3949" s="12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1047</v>
      </c>
      <c r="N3949" t="b">
        <v>1</v>
      </c>
    </row>
    <row r="3950" spans="1:14" x14ac:dyDescent="0.3">
      <c r="A3950" t="s">
        <v>4996</v>
      </c>
      <c r="B3950" t="s">
        <v>97</v>
      </c>
      <c r="C3950" s="1">
        <v>45372</v>
      </c>
      <c r="E3950" t="s">
        <v>15</v>
      </c>
      <c r="F3950">
        <v>8</v>
      </c>
      <c r="G3950" s="12">
        <v>152</v>
      </c>
      <c r="H3950" s="12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1047</v>
      </c>
      <c r="N3950" t="b">
        <v>1</v>
      </c>
    </row>
    <row r="3951" spans="1:14" x14ac:dyDescent="0.3">
      <c r="A3951" t="s">
        <v>4997</v>
      </c>
      <c r="B3951" t="s">
        <v>324</v>
      </c>
      <c r="C3951" s="1">
        <v>45623</v>
      </c>
      <c r="D3951" s="1">
        <v>45654</v>
      </c>
      <c r="E3951" t="s">
        <v>32</v>
      </c>
      <c r="F3951">
        <v>86</v>
      </c>
      <c r="G3951" s="12">
        <v>17114</v>
      </c>
      <c r="H3951" s="12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1050</v>
      </c>
      <c r="N3951" t="b">
        <v>1</v>
      </c>
    </row>
    <row r="3952" spans="1:14" x14ac:dyDescent="0.3">
      <c r="A3952" t="s">
        <v>4998</v>
      </c>
      <c r="B3952" t="s">
        <v>592</v>
      </c>
      <c r="C3952" s="1">
        <v>45557</v>
      </c>
      <c r="E3952" t="s">
        <v>32</v>
      </c>
      <c r="F3952">
        <v>64</v>
      </c>
      <c r="G3952" s="12">
        <v>12736</v>
      </c>
      <c r="H3952" s="1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1050</v>
      </c>
      <c r="N3952" t="b">
        <v>1</v>
      </c>
    </row>
    <row r="3953" spans="1:14" x14ac:dyDescent="0.3">
      <c r="A3953" t="s">
        <v>4999</v>
      </c>
      <c r="B3953" t="s">
        <v>1014</v>
      </c>
      <c r="C3953" s="1">
        <v>45637</v>
      </c>
      <c r="E3953" t="s">
        <v>32</v>
      </c>
      <c r="F3953">
        <v>32</v>
      </c>
      <c r="G3953" s="12">
        <v>6368</v>
      </c>
      <c r="H3953" s="12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1050</v>
      </c>
      <c r="N3953" t="b">
        <v>1</v>
      </c>
    </row>
    <row r="3954" spans="1:14" x14ac:dyDescent="0.3">
      <c r="A3954" t="s">
        <v>5000</v>
      </c>
      <c r="B3954" t="s">
        <v>834</v>
      </c>
      <c r="C3954" s="1">
        <v>45646</v>
      </c>
      <c r="D3954" s="1">
        <v>45657</v>
      </c>
      <c r="E3954" t="s">
        <v>32</v>
      </c>
      <c r="F3954">
        <v>22</v>
      </c>
      <c r="G3954" s="12">
        <v>4378</v>
      </c>
      <c r="H3954" s="12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1050</v>
      </c>
      <c r="N3954" t="b">
        <v>1</v>
      </c>
    </row>
    <row r="3955" spans="1:14" x14ac:dyDescent="0.3">
      <c r="A3955" t="s">
        <v>5001</v>
      </c>
      <c r="B3955" t="s">
        <v>798</v>
      </c>
      <c r="C3955" s="1">
        <v>45210</v>
      </c>
      <c r="E3955" t="s">
        <v>32</v>
      </c>
      <c r="F3955">
        <v>23</v>
      </c>
      <c r="G3955" s="12">
        <v>4577</v>
      </c>
      <c r="H3955" s="12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1050</v>
      </c>
      <c r="N3955" t="b">
        <v>0</v>
      </c>
    </row>
    <row r="3956" spans="1:14" x14ac:dyDescent="0.3">
      <c r="A3956" t="s">
        <v>5002</v>
      </c>
      <c r="B3956" t="s">
        <v>200</v>
      </c>
      <c r="C3956" s="1">
        <v>45496</v>
      </c>
      <c r="E3956" t="s">
        <v>39</v>
      </c>
      <c r="F3956">
        <v>18</v>
      </c>
      <c r="G3956" s="12">
        <v>882</v>
      </c>
      <c r="H3956" s="12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1047</v>
      </c>
      <c r="N3956" t="b">
        <v>1</v>
      </c>
    </row>
    <row r="3957" spans="1:14" x14ac:dyDescent="0.3">
      <c r="A3957" t="s">
        <v>5003</v>
      </c>
      <c r="B3957" t="s">
        <v>854</v>
      </c>
      <c r="C3957" s="1">
        <v>45271</v>
      </c>
      <c r="E3957" t="s">
        <v>15</v>
      </c>
      <c r="F3957">
        <v>39</v>
      </c>
      <c r="G3957" s="12">
        <v>741</v>
      </c>
      <c r="H3957" s="12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1047</v>
      </c>
      <c r="N3957" t="b">
        <v>1</v>
      </c>
    </row>
    <row r="3958" spans="1:14" x14ac:dyDescent="0.3">
      <c r="A3958" t="s">
        <v>5004</v>
      </c>
      <c r="B3958" t="s">
        <v>644</v>
      </c>
      <c r="C3958" s="1">
        <v>45543</v>
      </c>
      <c r="E3958" t="s">
        <v>39</v>
      </c>
      <c r="F3958">
        <v>20</v>
      </c>
      <c r="G3958" s="12">
        <v>980</v>
      </c>
      <c r="H3958" s="12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1047</v>
      </c>
      <c r="N3958" t="b">
        <v>0</v>
      </c>
    </row>
    <row r="3959" spans="1:14" x14ac:dyDescent="0.3">
      <c r="A3959" t="s">
        <v>5005</v>
      </c>
      <c r="B3959" t="s">
        <v>648</v>
      </c>
      <c r="C3959" s="1">
        <v>45551</v>
      </c>
      <c r="D3959" s="1">
        <v>45599</v>
      </c>
      <c r="E3959" t="s">
        <v>39</v>
      </c>
      <c r="F3959">
        <v>15</v>
      </c>
      <c r="G3959" s="12">
        <v>735</v>
      </c>
      <c r="H3959" s="12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1050</v>
      </c>
      <c r="N3959" t="b">
        <v>1</v>
      </c>
    </row>
    <row r="3960" spans="1:14" x14ac:dyDescent="0.3">
      <c r="A3960" t="s">
        <v>5006</v>
      </c>
      <c r="B3960" t="s">
        <v>412</v>
      </c>
      <c r="C3960" s="1">
        <v>45349</v>
      </c>
      <c r="E3960" t="s">
        <v>39</v>
      </c>
      <c r="F3960">
        <v>19</v>
      </c>
      <c r="G3960" s="12">
        <v>931</v>
      </c>
      <c r="H3960" s="12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1050</v>
      </c>
      <c r="N3960" t="b">
        <v>1</v>
      </c>
    </row>
    <row r="3961" spans="1:14" x14ac:dyDescent="0.3">
      <c r="A3961" t="s">
        <v>5007</v>
      </c>
      <c r="B3961" t="s">
        <v>232</v>
      </c>
      <c r="C3961" s="1">
        <v>45161</v>
      </c>
      <c r="E3961" t="s">
        <v>15</v>
      </c>
      <c r="F3961">
        <v>20</v>
      </c>
      <c r="G3961" s="12">
        <v>380</v>
      </c>
      <c r="H3961" s="12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1050</v>
      </c>
      <c r="N3961" t="b">
        <v>1</v>
      </c>
    </row>
    <row r="3962" spans="1:14" x14ac:dyDescent="0.3">
      <c r="A3962" t="s">
        <v>5008</v>
      </c>
      <c r="B3962" t="s">
        <v>822</v>
      </c>
      <c r="C3962" s="1">
        <v>45577</v>
      </c>
      <c r="E3962" t="s">
        <v>15</v>
      </c>
      <c r="F3962">
        <v>14</v>
      </c>
      <c r="G3962" s="12">
        <v>266</v>
      </c>
      <c r="H3962" s="1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1050</v>
      </c>
      <c r="N3962" t="b">
        <v>1</v>
      </c>
    </row>
    <row r="3963" spans="1:14" x14ac:dyDescent="0.3">
      <c r="A3963" t="s">
        <v>5009</v>
      </c>
      <c r="B3963" t="s">
        <v>914</v>
      </c>
      <c r="C3963" s="1">
        <v>45642</v>
      </c>
      <c r="E3963" t="s">
        <v>32</v>
      </c>
      <c r="F3963">
        <v>16</v>
      </c>
      <c r="G3963" s="12">
        <v>3184</v>
      </c>
      <c r="H3963" s="12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1047</v>
      </c>
      <c r="N3963" t="b">
        <v>1</v>
      </c>
    </row>
    <row r="3964" spans="1:14" x14ac:dyDescent="0.3">
      <c r="A3964" t="s">
        <v>5010</v>
      </c>
      <c r="B3964" t="s">
        <v>694</v>
      </c>
      <c r="C3964" s="1">
        <v>45315</v>
      </c>
      <c r="E3964" t="s">
        <v>39</v>
      </c>
      <c r="F3964">
        <v>49</v>
      </c>
      <c r="G3964" s="12">
        <v>2401</v>
      </c>
      <c r="H3964" s="12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1047</v>
      </c>
      <c r="N3964" t="b">
        <v>1</v>
      </c>
    </row>
    <row r="3965" spans="1:14" x14ac:dyDescent="0.3">
      <c r="A3965" t="s">
        <v>5011</v>
      </c>
      <c r="B3965" t="s">
        <v>174</v>
      </c>
      <c r="C3965" s="1">
        <v>45213</v>
      </c>
      <c r="E3965" t="s">
        <v>15</v>
      </c>
      <c r="F3965">
        <v>7</v>
      </c>
      <c r="G3965" s="12">
        <v>133</v>
      </c>
      <c r="H3965" s="12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1050</v>
      </c>
      <c r="N3965" t="b">
        <v>1</v>
      </c>
    </row>
    <row r="3966" spans="1:14" x14ac:dyDescent="0.3">
      <c r="A3966" t="s">
        <v>5012</v>
      </c>
      <c r="B3966" t="s">
        <v>288</v>
      </c>
      <c r="C3966" s="1">
        <v>45607</v>
      </c>
      <c r="E3966" t="s">
        <v>39</v>
      </c>
      <c r="F3966">
        <v>3</v>
      </c>
      <c r="G3966" s="12">
        <v>147</v>
      </c>
      <c r="H3966" s="12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1050</v>
      </c>
      <c r="N3966" t="b">
        <v>1</v>
      </c>
    </row>
    <row r="3967" spans="1:14" x14ac:dyDescent="0.3">
      <c r="A3967" t="s">
        <v>5013</v>
      </c>
      <c r="B3967" t="s">
        <v>758</v>
      </c>
      <c r="C3967" s="1">
        <v>45640</v>
      </c>
      <c r="E3967" t="s">
        <v>39</v>
      </c>
      <c r="F3967">
        <v>18</v>
      </c>
      <c r="G3967" s="12">
        <v>882</v>
      </c>
      <c r="H3967" s="12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1047</v>
      </c>
      <c r="N3967" t="b">
        <v>1</v>
      </c>
    </row>
    <row r="3968" spans="1:14" x14ac:dyDescent="0.3">
      <c r="A3968" t="s">
        <v>5014</v>
      </c>
      <c r="B3968" t="s">
        <v>504</v>
      </c>
      <c r="C3968" s="1">
        <v>45195</v>
      </c>
      <c r="E3968" t="s">
        <v>39</v>
      </c>
      <c r="F3968">
        <v>33</v>
      </c>
      <c r="G3968" s="12">
        <v>1617</v>
      </c>
      <c r="H3968" s="12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1047</v>
      </c>
      <c r="N3968" t="b">
        <v>1</v>
      </c>
    </row>
    <row r="3969" spans="1:14" x14ac:dyDescent="0.3">
      <c r="A3969" t="s">
        <v>5015</v>
      </c>
      <c r="B3969" t="s">
        <v>280</v>
      </c>
      <c r="C3969" s="1">
        <v>45103</v>
      </c>
      <c r="E3969" t="s">
        <v>32</v>
      </c>
      <c r="F3969">
        <v>45</v>
      </c>
      <c r="G3969" s="12">
        <v>8955</v>
      </c>
      <c r="H3969" s="12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1047</v>
      </c>
      <c r="N3969" t="b">
        <v>0</v>
      </c>
    </row>
    <row r="3970" spans="1:14" x14ac:dyDescent="0.3">
      <c r="A3970" t="s">
        <v>5016</v>
      </c>
      <c r="B3970" t="s">
        <v>332</v>
      </c>
      <c r="C3970" s="1">
        <v>45320</v>
      </c>
      <c r="E3970" t="s">
        <v>15</v>
      </c>
      <c r="F3970">
        <v>47</v>
      </c>
      <c r="G3970" s="12">
        <v>893</v>
      </c>
      <c r="H3970" s="12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1050</v>
      </c>
      <c r="N3970" t="b">
        <v>0</v>
      </c>
    </row>
    <row r="3971" spans="1:14" x14ac:dyDescent="0.3">
      <c r="A3971" t="s">
        <v>5017</v>
      </c>
      <c r="B3971" t="s">
        <v>506</v>
      </c>
      <c r="C3971" s="1">
        <v>45538</v>
      </c>
      <c r="E3971" t="s">
        <v>32</v>
      </c>
      <c r="F3971">
        <v>17</v>
      </c>
      <c r="G3971" s="12">
        <v>3383</v>
      </c>
      <c r="H3971" s="12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1050</v>
      </c>
      <c r="N3971" t="b">
        <v>1</v>
      </c>
    </row>
    <row r="3972" spans="1:14" x14ac:dyDescent="0.3">
      <c r="A3972" t="s">
        <v>5018</v>
      </c>
      <c r="B3972" t="s">
        <v>108</v>
      </c>
      <c r="C3972" s="1">
        <v>45629</v>
      </c>
      <c r="E3972" t="s">
        <v>39</v>
      </c>
      <c r="F3972">
        <v>4</v>
      </c>
      <c r="G3972" s="12">
        <v>196</v>
      </c>
      <c r="H3972" s="1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1050</v>
      </c>
      <c r="N3972" t="b">
        <v>1</v>
      </c>
    </row>
    <row r="3973" spans="1:14" x14ac:dyDescent="0.3">
      <c r="A3973" t="s">
        <v>5019</v>
      </c>
      <c r="B3973" t="s">
        <v>68</v>
      </c>
      <c r="C3973" s="1">
        <v>45641</v>
      </c>
      <c r="D3973" s="1">
        <v>45652</v>
      </c>
      <c r="E3973" t="s">
        <v>15</v>
      </c>
      <c r="F3973">
        <v>9</v>
      </c>
      <c r="G3973" s="12">
        <v>0</v>
      </c>
      <c r="H3973" s="12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1050</v>
      </c>
      <c r="N3973" t="b">
        <v>1</v>
      </c>
    </row>
    <row r="3974" spans="1:14" x14ac:dyDescent="0.3">
      <c r="A3974" t="s">
        <v>5020</v>
      </c>
      <c r="B3974" t="s">
        <v>228</v>
      </c>
      <c r="C3974" s="1">
        <v>45378</v>
      </c>
      <c r="E3974" t="s">
        <v>32</v>
      </c>
      <c r="F3974">
        <v>5</v>
      </c>
      <c r="G3974" s="12">
        <v>995</v>
      </c>
      <c r="H3974" s="12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1047</v>
      </c>
      <c r="N3974" t="b">
        <v>1</v>
      </c>
    </row>
    <row r="3975" spans="1:14" x14ac:dyDescent="0.3">
      <c r="A3975" t="s">
        <v>5021</v>
      </c>
      <c r="B3975" t="s">
        <v>33</v>
      </c>
      <c r="C3975" s="1">
        <v>45262</v>
      </c>
      <c r="E3975" t="s">
        <v>15</v>
      </c>
      <c r="F3975">
        <v>18</v>
      </c>
      <c r="G3975" s="12">
        <v>342</v>
      </c>
      <c r="H3975" s="12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1050</v>
      </c>
      <c r="N3975" t="b">
        <v>0</v>
      </c>
    </row>
    <row r="3976" spans="1:14" x14ac:dyDescent="0.3">
      <c r="A3976" t="s">
        <v>5022</v>
      </c>
      <c r="B3976" t="s">
        <v>89</v>
      </c>
      <c r="C3976" s="1">
        <v>45570</v>
      </c>
      <c r="E3976" t="s">
        <v>32</v>
      </c>
      <c r="F3976">
        <v>6</v>
      </c>
      <c r="G3976" s="12">
        <v>1194</v>
      </c>
      <c r="H3976" s="12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1047</v>
      </c>
      <c r="N3976" t="b">
        <v>1</v>
      </c>
    </row>
    <row r="3977" spans="1:14" x14ac:dyDescent="0.3">
      <c r="A3977" t="s">
        <v>5023</v>
      </c>
      <c r="B3977" t="s">
        <v>674</v>
      </c>
      <c r="C3977" s="1">
        <v>45617</v>
      </c>
      <c r="E3977" t="s">
        <v>39</v>
      </c>
      <c r="F3977">
        <v>25</v>
      </c>
      <c r="G3977" s="12">
        <v>1225</v>
      </c>
      <c r="H3977" s="12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1047</v>
      </c>
      <c r="N3977" t="b">
        <v>1</v>
      </c>
    </row>
    <row r="3978" spans="1:14" x14ac:dyDescent="0.3">
      <c r="A3978" t="s">
        <v>5024</v>
      </c>
      <c r="B3978" t="s">
        <v>488</v>
      </c>
      <c r="C3978" s="1">
        <v>45524</v>
      </c>
      <c r="E3978" t="s">
        <v>39</v>
      </c>
      <c r="F3978">
        <v>6</v>
      </c>
      <c r="G3978" s="12">
        <v>294</v>
      </c>
      <c r="H3978" s="12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1050</v>
      </c>
      <c r="N3978" t="b">
        <v>1</v>
      </c>
    </row>
    <row r="3979" spans="1:14" x14ac:dyDescent="0.3">
      <c r="A3979" t="s">
        <v>5025</v>
      </c>
      <c r="B3979" t="s">
        <v>384</v>
      </c>
      <c r="C3979" s="1">
        <v>45558</v>
      </c>
      <c r="E3979" t="s">
        <v>39</v>
      </c>
      <c r="F3979">
        <v>163</v>
      </c>
      <c r="G3979" s="12">
        <v>7987</v>
      </c>
      <c r="H3979" s="12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1050</v>
      </c>
      <c r="N3979" t="b">
        <v>1</v>
      </c>
    </row>
    <row r="3980" spans="1:14" x14ac:dyDescent="0.3">
      <c r="A3980" t="s">
        <v>5026</v>
      </c>
      <c r="B3980" t="s">
        <v>80</v>
      </c>
      <c r="C3980" s="1">
        <v>45594</v>
      </c>
      <c r="E3980" t="s">
        <v>32</v>
      </c>
      <c r="F3980">
        <v>20</v>
      </c>
      <c r="G3980" s="12">
        <v>3980</v>
      </c>
      <c r="H3980" s="12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1047</v>
      </c>
      <c r="N3980" t="b">
        <v>1</v>
      </c>
    </row>
    <row r="3981" spans="1:14" x14ac:dyDescent="0.3">
      <c r="A3981" t="s">
        <v>5027</v>
      </c>
      <c r="B3981" t="s">
        <v>934</v>
      </c>
      <c r="C3981" s="1">
        <v>45614</v>
      </c>
      <c r="E3981" t="s">
        <v>39</v>
      </c>
      <c r="F3981">
        <v>46</v>
      </c>
      <c r="G3981" s="12">
        <v>2254</v>
      </c>
      <c r="H3981" s="12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1050</v>
      </c>
      <c r="N3981" t="b">
        <v>1</v>
      </c>
    </row>
    <row r="3982" spans="1:14" x14ac:dyDescent="0.3">
      <c r="A3982" t="s">
        <v>5028</v>
      </c>
      <c r="B3982" t="s">
        <v>810</v>
      </c>
      <c r="C3982" s="1">
        <v>45614</v>
      </c>
      <c r="E3982" t="s">
        <v>15</v>
      </c>
      <c r="F3982">
        <v>19</v>
      </c>
      <c r="G3982" s="12">
        <v>361</v>
      </c>
      <c r="H3982" s="1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1047</v>
      </c>
      <c r="N3982" t="b">
        <v>1</v>
      </c>
    </row>
    <row r="3983" spans="1:14" x14ac:dyDescent="0.3">
      <c r="A3983" t="s">
        <v>5029</v>
      </c>
      <c r="B3983" t="s">
        <v>1020</v>
      </c>
      <c r="C3983" s="1">
        <v>45510</v>
      </c>
      <c r="E3983" t="s">
        <v>39</v>
      </c>
      <c r="F3983">
        <v>21</v>
      </c>
      <c r="G3983" s="12">
        <v>1029</v>
      </c>
      <c r="H3983" s="12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1050</v>
      </c>
      <c r="N3983" t="b">
        <v>1</v>
      </c>
    </row>
    <row r="3984" spans="1:14" x14ac:dyDescent="0.3">
      <c r="A3984" t="s">
        <v>5030</v>
      </c>
      <c r="B3984" t="s">
        <v>706</v>
      </c>
      <c r="C3984" s="1">
        <v>45655</v>
      </c>
      <c r="E3984" t="s">
        <v>39</v>
      </c>
      <c r="F3984">
        <v>24</v>
      </c>
      <c r="G3984" s="12">
        <v>1176</v>
      </c>
      <c r="H3984" s="12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1050</v>
      </c>
      <c r="N3984" t="b">
        <v>1</v>
      </c>
    </row>
    <row r="3985" spans="1:14" x14ac:dyDescent="0.3">
      <c r="A3985" t="s">
        <v>5031</v>
      </c>
      <c r="B3985" t="s">
        <v>176</v>
      </c>
      <c r="C3985" s="1">
        <v>45634</v>
      </c>
      <c r="E3985" t="s">
        <v>15</v>
      </c>
      <c r="F3985">
        <v>60</v>
      </c>
      <c r="G3985" s="12">
        <v>1140</v>
      </c>
      <c r="H3985" s="12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1047</v>
      </c>
      <c r="N3985" t="b">
        <v>1</v>
      </c>
    </row>
    <row r="3986" spans="1:14" x14ac:dyDescent="0.3">
      <c r="A3986" t="s">
        <v>5032</v>
      </c>
      <c r="B3986" t="s">
        <v>660</v>
      </c>
      <c r="C3986" s="1">
        <v>45358</v>
      </c>
      <c r="E3986" t="s">
        <v>39</v>
      </c>
      <c r="F3986">
        <v>24</v>
      </c>
      <c r="G3986" s="12">
        <v>1176</v>
      </c>
      <c r="H3986" s="12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1050</v>
      </c>
      <c r="N3986" t="b">
        <v>1</v>
      </c>
    </row>
    <row r="3987" spans="1:14" x14ac:dyDescent="0.3">
      <c r="A3987" t="s">
        <v>5033</v>
      </c>
      <c r="B3987" t="s">
        <v>254</v>
      </c>
      <c r="C3987" s="1">
        <v>45498</v>
      </c>
      <c r="E3987" t="s">
        <v>15</v>
      </c>
      <c r="F3987">
        <v>38</v>
      </c>
      <c r="G3987" s="12">
        <v>722</v>
      </c>
      <c r="H3987" s="12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1050</v>
      </c>
      <c r="N3987" t="b">
        <v>1</v>
      </c>
    </row>
    <row r="3988" spans="1:14" x14ac:dyDescent="0.3">
      <c r="A3988" t="s">
        <v>5034</v>
      </c>
      <c r="B3988" t="s">
        <v>36</v>
      </c>
      <c r="C3988" s="1">
        <v>45427</v>
      </c>
      <c r="E3988" t="s">
        <v>15</v>
      </c>
      <c r="F3988">
        <v>11</v>
      </c>
      <c r="G3988" s="12">
        <v>209</v>
      </c>
      <c r="H3988" s="12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1050</v>
      </c>
      <c r="N3988" t="b">
        <v>0</v>
      </c>
    </row>
    <row r="3989" spans="1:14" x14ac:dyDescent="0.3">
      <c r="A3989" t="s">
        <v>5035</v>
      </c>
      <c r="B3989" t="s">
        <v>612</v>
      </c>
      <c r="C3989" s="1">
        <v>45583</v>
      </c>
      <c r="E3989" t="s">
        <v>39</v>
      </c>
      <c r="F3989">
        <v>45</v>
      </c>
      <c r="G3989" s="12">
        <v>0</v>
      </c>
      <c r="H3989" s="12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1047</v>
      </c>
      <c r="N3989" t="b">
        <v>1</v>
      </c>
    </row>
    <row r="3990" spans="1:14" x14ac:dyDescent="0.3">
      <c r="A3990" t="s">
        <v>5036</v>
      </c>
      <c r="B3990" t="s">
        <v>466</v>
      </c>
      <c r="C3990" s="1">
        <v>45579</v>
      </c>
      <c r="E3990" t="s">
        <v>32</v>
      </c>
      <c r="F3990">
        <v>11</v>
      </c>
      <c r="G3990" s="12">
        <v>2189</v>
      </c>
      <c r="H3990" s="12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1050</v>
      </c>
      <c r="N3990" t="b">
        <v>1</v>
      </c>
    </row>
    <row r="3991" spans="1:14" x14ac:dyDescent="0.3">
      <c r="A3991" t="s">
        <v>5037</v>
      </c>
      <c r="B3991" t="s">
        <v>968</v>
      </c>
      <c r="C3991" s="1">
        <v>45285</v>
      </c>
      <c r="E3991" t="s">
        <v>15</v>
      </c>
      <c r="F3991">
        <v>32</v>
      </c>
      <c r="G3991" s="12">
        <v>608</v>
      </c>
      <c r="H3991" s="12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1047</v>
      </c>
      <c r="N3991" t="b">
        <v>1</v>
      </c>
    </row>
    <row r="3992" spans="1:14" x14ac:dyDescent="0.3">
      <c r="A3992" t="s">
        <v>5038</v>
      </c>
      <c r="B3992" t="s">
        <v>196</v>
      </c>
      <c r="C3992" s="1">
        <v>45614</v>
      </c>
      <c r="E3992" t="s">
        <v>39</v>
      </c>
      <c r="F3992">
        <v>38</v>
      </c>
      <c r="G3992" s="12">
        <v>1862</v>
      </c>
      <c r="H3992" s="1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1050</v>
      </c>
      <c r="N3992" t="b">
        <v>1</v>
      </c>
    </row>
    <row r="3993" spans="1:14" x14ac:dyDescent="0.3">
      <c r="A3993" t="s">
        <v>5039</v>
      </c>
      <c r="B3993" t="s">
        <v>834</v>
      </c>
      <c r="C3993" s="1">
        <v>45122</v>
      </c>
      <c r="D3993" s="1">
        <v>45601</v>
      </c>
      <c r="E3993" t="s">
        <v>15</v>
      </c>
      <c r="F3993">
        <v>34</v>
      </c>
      <c r="G3993" s="12">
        <v>646</v>
      </c>
      <c r="H3993" s="12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1047</v>
      </c>
      <c r="N3993" t="b">
        <v>1</v>
      </c>
    </row>
    <row r="3994" spans="1:14" x14ac:dyDescent="0.3">
      <c r="A3994" t="s">
        <v>5040</v>
      </c>
      <c r="B3994" t="s">
        <v>976</v>
      </c>
      <c r="C3994" s="1">
        <v>45553</v>
      </c>
      <c r="E3994" t="s">
        <v>15</v>
      </c>
      <c r="F3994">
        <v>54</v>
      </c>
      <c r="G3994" s="12">
        <v>1026</v>
      </c>
      <c r="H3994" s="12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1047</v>
      </c>
      <c r="N3994" t="b">
        <v>0</v>
      </c>
    </row>
    <row r="3995" spans="1:14" x14ac:dyDescent="0.3">
      <c r="A3995" t="s">
        <v>5041</v>
      </c>
      <c r="B3995" t="s">
        <v>714</v>
      </c>
      <c r="C3995" s="1">
        <v>45536</v>
      </c>
      <c r="E3995" t="s">
        <v>39</v>
      </c>
      <c r="F3995">
        <v>39</v>
      </c>
      <c r="G3995" s="12">
        <v>1911</v>
      </c>
      <c r="H3995" s="12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1050</v>
      </c>
      <c r="N3995" t="b">
        <v>1</v>
      </c>
    </row>
    <row r="3996" spans="1:14" x14ac:dyDescent="0.3">
      <c r="A3996" t="s">
        <v>5042</v>
      </c>
      <c r="B3996" t="s">
        <v>900</v>
      </c>
      <c r="C3996" s="1">
        <v>45646</v>
      </c>
      <c r="D3996" s="1">
        <v>45655</v>
      </c>
      <c r="E3996" t="s">
        <v>39</v>
      </c>
      <c r="F3996">
        <v>40</v>
      </c>
      <c r="G3996" s="12">
        <v>1960</v>
      </c>
      <c r="H3996" s="12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1050</v>
      </c>
      <c r="N3996" t="b">
        <v>1</v>
      </c>
    </row>
    <row r="3997" spans="1:14" x14ac:dyDescent="0.3">
      <c r="A3997" t="s">
        <v>5043</v>
      </c>
      <c r="B3997" t="s">
        <v>676</v>
      </c>
      <c r="C3997" s="1">
        <v>45512</v>
      </c>
      <c r="E3997" t="s">
        <v>32</v>
      </c>
      <c r="F3997">
        <v>12</v>
      </c>
      <c r="G3997" s="12">
        <v>2388</v>
      </c>
      <c r="H3997" s="12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1047</v>
      </c>
      <c r="N3997" t="b">
        <v>0</v>
      </c>
    </row>
    <row r="3998" spans="1:14" x14ac:dyDescent="0.3">
      <c r="A3998" t="s">
        <v>5044</v>
      </c>
      <c r="B3998" t="s">
        <v>712</v>
      </c>
      <c r="C3998" s="1">
        <v>45633</v>
      </c>
      <c r="E3998" t="s">
        <v>32</v>
      </c>
      <c r="F3998">
        <v>70</v>
      </c>
      <c r="G3998" s="12">
        <v>13930</v>
      </c>
      <c r="H3998" s="12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1050</v>
      </c>
      <c r="N3998" t="b">
        <v>1</v>
      </c>
    </row>
    <row r="3999" spans="1:14" x14ac:dyDescent="0.3">
      <c r="A3999" t="s">
        <v>5045</v>
      </c>
      <c r="B3999" t="s">
        <v>854</v>
      </c>
      <c r="C3999" s="1">
        <v>45557</v>
      </c>
      <c r="E3999" t="s">
        <v>15</v>
      </c>
      <c r="F3999">
        <v>39</v>
      </c>
      <c r="G3999" s="12">
        <v>741</v>
      </c>
      <c r="H3999" s="12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1047</v>
      </c>
      <c r="N3999" t="b">
        <v>1</v>
      </c>
    </row>
    <row r="4000" spans="1:14" x14ac:dyDescent="0.3">
      <c r="A4000" t="s">
        <v>5046</v>
      </c>
      <c r="B4000" t="s">
        <v>864</v>
      </c>
      <c r="C4000" s="1">
        <v>45258</v>
      </c>
      <c r="E4000" t="s">
        <v>39</v>
      </c>
      <c r="F4000">
        <v>13</v>
      </c>
      <c r="G4000" s="12">
        <v>637</v>
      </c>
      <c r="H4000" s="12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1050</v>
      </c>
      <c r="N4000" t="b">
        <v>1</v>
      </c>
    </row>
    <row r="4001" spans="1:14" x14ac:dyDescent="0.3">
      <c r="A4001" t="s">
        <v>5047</v>
      </c>
      <c r="B4001" t="s">
        <v>308</v>
      </c>
      <c r="C4001" s="1">
        <v>45583</v>
      </c>
      <c r="E4001" t="s">
        <v>32</v>
      </c>
      <c r="F4001">
        <v>7</v>
      </c>
      <c r="G4001" s="12">
        <v>1393</v>
      </c>
      <c r="H4001" s="12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1050</v>
      </c>
      <c r="N4001" t="b">
        <v>1</v>
      </c>
    </row>
    <row r="4002" spans="1:14" x14ac:dyDescent="0.3">
      <c r="A4002" t="s">
        <v>5048</v>
      </c>
      <c r="B4002" t="s">
        <v>540</v>
      </c>
      <c r="C4002" s="1">
        <v>45632</v>
      </c>
      <c r="E4002" t="s">
        <v>15</v>
      </c>
      <c r="F4002">
        <v>21</v>
      </c>
      <c r="G4002" s="12">
        <v>399</v>
      </c>
      <c r="H4002" s="1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1050</v>
      </c>
      <c r="N4002" t="b">
        <v>1</v>
      </c>
    </row>
    <row r="4003" spans="1:14" x14ac:dyDescent="0.3">
      <c r="A4003" t="s">
        <v>5049</v>
      </c>
      <c r="B4003" t="s">
        <v>850</v>
      </c>
      <c r="C4003" s="1">
        <v>45251</v>
      </c>
      <c r="D4003" s="1">
        <v>45326</v>
      </c>
      <c r="E4003" t="s">
        <v>15</v>
      </c>
      <c r="F4003">
        <v>44</v>
      </c>
      <c r="G4003" s="12">
        <v>0</v>
      </c>
      <c r="H4003" s="12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1047</v>
      </c>
      <c r="N4003" t="b">
        <v>1</v>
      </c>
    </row>
    <row r="4004" spans="1:14" x14ac:dyDescent="0.3">
      <c r="A4004" t="s">
        <v>5050</v>
      </c>
      <c r="B4004" t="s">
        <v>894</v>
      </c>
      <c r="C4004" s="1">
        <v>45634</v>
      </c>
      <c r="E4004" t="s">
        <v>15</v>
      </c>
      <c r="F4004">
        <v>18</v>
      </c>
      <c r="G4004" s="12">
        <v>342</v>
      </c>
      <c r="H4004" s="12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1047</v>
      </c>
      <c r="N4004" t="b">
        <v>1</v>
      </c>
    </row>
    <row r="4005" spans="1:14" x14ac:dyDescent="0.3">
      <c r="A4005" t="s">
        <v>5051</v>
      </c>
      <c r="B4005" t="s">
        <v>504</v>
      </c>
      <c r="C4005" s="1">
        <v>45218</v>
      </c>
      <c r="E4005" t="s">
        <v>15</v>
      </c>
      <c r="F4005">
        <v>18</v>
      </c>
      <c r="G4005" s="12">
        <v>342</v>
      </c>
      <c r="H4005" s="12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1050</v>
      </c>
      <c r="N4005" t="b">
        <v>1</v>
      </c>
    </row>
    <row r="4006" spans="1:14" x14ac:dyDescent="0.3">
      <c r="A4006" t="s">
        <v>5052</v>
      </c>
      <c r="B4006" t="s">
        <v>452</v>
      </c>
      <c r="C4006" s="1">
        <v>45631</v>
      </c>
      <c r="E4006" t="s">
        <v>39</v>
      </c>
      <c r="F4006">
        <v>39</v>
      </c>
      <c r="G4006" s="12">
        <v>0</v>
      </c>
      <c r="H4006" s="12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1050</v>
      </c>
      <c r="N4006" t="b">
        <v>1</v>
      </c>
    </row>
    <row r="4007" spans="1:14" x14ac:dyDescent="0.3">
      <c r="A4007" t="s">
        <v>5053</v>
      </c>
      <c r="B4007" t="s">
        <v>610</v>
      </c>
      <c r="C4007" s="1">
        <v>45579</v>
      </c>
      <c r="E4007" t="s">
        <v>39</v>
      </c>
      <c r="F4007">
        <v>9</v>
      </c>
      <c r="G4007" s="12">
        <v>441</v>
      </c>
      <c r="H4007" s="12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1047</v>
      </c>
      <c r="N4007" t="b">
        <v>1</v>
      </c>
    </row>
    <row r="4008" spans="1:14" x14ac:dyDescent="0.3">
      <c r="A4008" t="s">
        <v>5054</v>
      </c>
      <c r="B4008" t="s">
        <v>278</v>
      </c>
      <c r="C4008" s="1">
        <v>45262</v>
      </c>
      <c r="E4008" t="s">
        <v>32</v>
      </c>
      <c r="F4008">
        <v>22</v>
      </c>
      <c r="G4008" s="12">
        <v>4378</v>
      </c>
      <c r="H4008" s="12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1050</v>
      </c>
      <c r="N4008" t="b">
        <v>1</v>
      </c>
    </row>
    <row r="4009" spans="1:14" x14ac:dyDescent="0.3">
      <c r="A4009" t="s">
        <v>5055</v>
      </c>
      <c r="B4009" t="s">
        <v>1000</v>
      </c>
      <c r="C4009" s="1">
        <v>45520</v>
      </c>
      <c r="E4009" t="s">
        <v>39</v>
      </c>
      <c r="F4009">
        <v>53</v>
      </c>
      <c r="G4009" s="12">
        <v>2597</v>
      </c>
      <c r="H4009" s="12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1047</v>
      </c>
      <c r="N4009" t="b">
        <v>0</v>
      </c>
    </row>
    <row r="4010" spans="1:14" x14ac:dyDescent="0.3">
      <c r="A4010" t="s">
        <v>5056</v>
      </c>
      <c r="B4010" t="s">
        <v>476</v>
      </c>
      <c r="C4010" s="1">
        <v>45651</v>
      </c>
      <c r="E4010" t="s">
        <v>39</v>
      </c>
      <c r="F4010">
        <v>28</v>
      </c>
      <c r="G4010" s="12">
        <v>1372</v>
      </c>
      <c r="H4010" s="12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1047</v>
      </c>
      <c r="N4010" t="b">
        <v>0</v>
      </c>
    </row>
    <row r="4011" spans="1:14" x14ac:dyDescent="0.3">
      <c r="A4011" t="s">
        <v>5057</v>
      </c>
      <c r="B4011" t="s">
        <v>454</v>
      </c>
      <c r="C4011" s="1">
        <v>45513</v>
      </c>
      <c r="E4011" t="s">
        <v>15</v>
      </c>
      <c r="F4011">
        <v>15</v>
      </c>
      <c r="G4011" s="12">
        <v>285</v>
      </c>
      <c r="H4011" s="12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1050</v>
      </c>
      <c r="N4011" t="b">
        <v>1</v>
      </c>
    </row>
    <row r="4012" spans="1:14" x14ac:dyDescent="0.3">
      <c r="A4012" t="s">
        <v>5058</v>
      </c>
      <c r="B4012" t="s">
        <v>990</v>
      </c>
      <c r="C4012" s="1">
        <v>45598</v>
      </c>
      <c r="E4012" t="s">
        <v>15</v>
      </c>
      <c r="F4012">
        <v>70</v>
      </c>
      <c r="G4012" s="12">
        <v>0</v>
      </c>
      <c r="H4012" s="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1050</v>
      </c>
      <c r="N4012" t="b">
        <v>1</v>
      </c>
    </row>
    <row r="4013" spans="1:14" x14ac:dyDescent="0.3">
      <c r="A4013" t="s">
        <v>5059</v>
      </c>
      <c r="B4013" t="s">
        <v>270</v>
      </c>
      <c r="C4013" s="1">
        <v>45565</v>
      </c>
      <c r="E4013" t="s">
        <v>39</v>
      </c>
      <c r="F4013">
        <v>9</v>
      </c>
      <c r="G4013" s="12">
        <v>441</v>
      </c>
      <c r="H4013" s="12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1050</v>
      </c>
      <c r="N4013" t="b">
        <v>1</v>
      </c>
    </row>
    <row r="4014" spans="1:14" x14ac:dyDescent="0.3">
      <c r="A4014" t="s">
        <v>5060</v>
      </c>
      <c r="B4014" t="s">
        <v>632</v>
      </c>
      <c r="C4014" s="1">
        <v>45356</v>
      </c>
      <c r="D4014" s="1">
        <v>45576</v>
      </c>
      <c r="E4014" t="s">
        <v>39</v>
      </c>
      <c r="F4014">
        <v>17</v>
      </c>
      <c r="G4014" s="12">
        <v>833</v>
      </c>
      <c r="H4014" s="12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1047</v>
      </c>
      <c r="N4014" t="b">
        <v>1</v>
      </c>
    </row>
    <row r="4015" spans="1:14" x14ac:dyDescent="0.3">
      <c r="A4015" t="s">
        <v>5061</v>
      </c>
      <c r="B4015" t="s">
        <v>322</v>
      </c>
      <c r="C4015" s="1">
        <v>45381</v>
      </c>
      <c r="E4015" t="s">
        <v>32</v>
      </c>
      <c r="F4015">
        <v>24</v>
      </c>
      <c r="G4015" s="12">
        <v>4776</v>
      </c>
      <c r="H4015" s="12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1047</v>
      </c>
      <c r="N4015" t="b">
        <v>1</v>
      </c>
    </row>
    <row r="4016" spans="1:14" x14ac:dyDescent="0.3">
      <c r="A4016" t="s">
        <v>5062</v>
      </c>
      <c r="B4016" t="s">
        <v>374</v>
      </c>
      <c r="C4016" s="1">
        <v>45549</v>
      </c>
      <c r="E4016" t="s">
        <v>32</v>
      </c>
      <c r="F4016">
        <v>20</v>
      </c>
      <c r="G4016" s="12">
        <v>3980</v>
      </c>
      <c r="H4016" s="12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1050</v>
      </c>
      <c r="N4016" t="b">
        <v>1</v>
      </c>
    </row>
    <row r="4017" spans="1:14" x14ac:dyDescent="0.3">
      <c r="A4017" t="s">
        <v>5063</v>
      </c>
      <c r="B4017" t="s">
        <v>636</v>
      </c>
      <c r="C4017" s="1">
        <v>45451</v>
      </c>
      <c r="E4017" t="s">
        <v>15</v>
      </c>
      <c r="F4017">
        <v>48</v>
      </c>
      <c r="G4017" s="12">
        <v>912</v>
      </c>
      <c r="H4017" s="12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1047</v>
      </c>
      <c r="N4017" t="b">
        <v>1</v>
      </c>
    </row>
    <row r="4018" spans="1:14" x14ac:dyDescent="0.3">
      <c r="A4018" t="s">
        <v>5064</v>
      </c>
      <c r="B4018" t="s">
        <v>114</v>
      </c>
      <c r="C4018" s="1">
        <v>45083</v>
      </c>
      <c r="E4018" t="s">
        <v>32</v>
      </c>
      <c r="F4018">
        <v>34</v>
      </c>
      <c r="G4018" s="12">
        <v>6766</v>
      </c>
      <c r="H4018" s="12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1047</v>
      </c>
      <c r="N4018" t="b">
        <v>1</v>
      </c>
    </row>
    <row r="4019" spans="1:14" x14ac:dyDescent="0.3">
      <c r="A4019" t="s">
        <v>5065</v>
      </c>
      <c r="B4019" t="s">
        <v>182</v>
      </c>
      <c r="C4019" s="1">
        <v>45655</v>
      </c>
      <c r="E4019" t="s">
        <v>39</v>
      </c>
      <c r="F4019">
        <v>44</v>
      </c>
      <c r="G4019" s="12">
        <v>2156</v>
      </c>
      <c r="H4019" s="12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1050</v>
      </c>
      <c r="N4019" t="b">
        <v>1</v>
      </c>
    </row>
    <row r="4020" spans="1:14" x14ac:dyDescent="0.3">
      <c r="A4020" t="s">
        <v>5066</v>
      </c>
      <c r="B4020" t="s">
        <v>948</v>
      </c>
      <c r="C4020" s="1">
        <v>45537</v>
      </c>
      <c r="E4020" t="s">
        <v>32</v>
      </c>
      <c r="F4020">
        <v>30</v>
      </c>
      <c r="G4020" s="12">
        <v>5970</v>
      </c>
      <c r="H4020" s="12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1047</v>
      </c>
      <c r="N4020" t="b">
        <v>1</v>
      </c>
    </row>
    <row r="4021" spans="1:14" x14ac:dyDescent="0.3">
      <c r="A4021" t="s">
        <v>5067</v>
      </c>
      <c r="B4021" t="s">
        <v>80</v>
      </c>
      <c r="C4021" s="1">
        <v>45185</v>
      </c>
      <c r="E4021" t="s">
        <v>39</v>
      </c>
      <c r="F4021">
        <v>8</v>
      </c>
      <c r="G4021" s="12">
        <v>392</v>
      </c>
      <c r="H4021" s="12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1047</v>
      </c>
      <c r="N4021" t="b">
        <v>1</v>
      </c>
    </row>
    <row r="4022" spans="1:14" x14ac:dyDescent="0.3">
      <c r="A4022" t="s">
        <v>5068</v>
      </c>
      <c r="B4022" t="s">
        <v>59</v>
      </c>
      <c r="C4022" s="1">
        <v>45635</v>
      </c>
      <c r="E4022" t="s">
        <v>39</v>
      </c>
      <c r="F4022">
        <v>35</v>
      </c>
      <c r="G4022" s="12">
        <v>1715</v>
      </c>
      <c r="H4022" s="1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1050</v>
      </c>
      <c r="N4022" t="b">
        <v>1</v>
      </c>
    </row>
    <row r="4023" spans="1:14" x14ac:dyDescent="0.3">
      <c r="A4023" t="s">
        <v>5069</v>
      </c>
      <c r="B4023" t="s">
        <v>724</v>
      </c>
      <c r="C4023" s="1">
        <v>45375</v>
      </c>
      <c r="E4023" t="s">
        <v>32</v>
      </c>
      <c r="F4023">
        <v>31</v>
      </c>
      <c r="G4023" s="12">
        <v>6169</v>
      </c>
      <c r="H4023" s="12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1047</v>
      </c>
      <c r="N4023" t="b">
        <v>1</v>
      </c>
    </row>
    <row r="4024" spans="1:14" x14ac:dyDescent="0.3">
      <c r="A4024" t="s">
        <v>5070</v>
      </c>
      <c r="B4024" t="s">
        <v>68</v>
      </c>
      <c r="C4024" s="1">
        <v>45480</v>
      </c>
      <c r="E4024" t="s">
        <v>39</v>
      </c>
      <c r="F4024">
        <v>11</v>
      </c>
      <c r="G4024" s="12">
        <v>539</v>
      </c>
      <c r="H4024" s="12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1050</v>
      </c>
      <c r="N4024" t="b">
        <v>0</v>
      </c>
    </row>
    <row r="4025" spans="1:14" x14ac:dyDescent="0.3">
      <c r="A4025" t="s">
        <v>5071</v>
      </c>
      <c r="B4025" t="s">
        <v>132</v>
      </c>
      <c r="C4025" s="1">
        <v>45399</v>
      </c>
      <c r="D4025" s="1">
        <v>45441</v>
      </c>
      <c r="E4025" t="s">
        <v>32</v>
      </c>
      <c r="F4025">
        <v>13</v>
      </c>
      <c r="G4025" s="12">
        <v>0</v>
      </c>
      <c r="H4025" s="12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1047</v>
      </c>
      <c r="N4025" t="b">
        <v>1</v>
      </c>
    </row>
    <row r="4026" spans="1:14" x14ac:dyDescent="0.3">
      <c r="A4026" t="s">
        <v>5072</v>
      </c>
      <c r="B4026" t="s">
        <v>658</v>
      </c>
      <c r="C4026" s="1">
        <v>45287</v>
      </c>
      <c r="E4026" t="s">
        <v>15</v>
      </c>
      <c r="F4026">
        <v>21</v>
      </c>
      <c r="G4026" s="12">
        <v>399</v>
      </c>
      <c r="H4026" s="12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1047</v>
      </c>
      <c r="N4026" t="b">
        <v>1</v>
      </c>
    </row>
    <row r="4027" spans="1:14" x14ac:dyDescent="0.3">
      <c r="A4027" t="s">
        <v>5073</v>
      </c>
      <c r="B4027" t="s">
        <v>948</v>
      </c>
      <c r="C4027" s="1">
        <v>45614</v>
      </c>
      <c r="D4027" s="1">
        <v>45620</v>
      </c>
      <c r="E4027" t="s">
        <v>39</v>
      </c>
      <c r="F4027">
        <v>14</v>
      </c>
      <c r="G4027" s="12">
        <v>686</v>
      </c>
      <c r="H4027" s="12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1050</v>
      </c>
      <c r="N4027" t="b">
        <v>0</v>
      </c>
    </row>
    <row r="4028" spans="1:14" x14ac:dyDescent="0.3">
      <c r="A4028" t="s">
        <v>5074</v>
      </c>
      <c r="B4028" t="s">
        <v>636</v>
      </c>
      <c r="C4028" s="1">
        <v>45408</v>
      </c>
      <c r="D4028" s="1">
        <v>45622</v>
      </c>
      <c r="E4028" t="s">
        <v>32</v>
      </c>
      <c r="F4028">
        <v>103</v>
      </c>
      <c r="G4028" s="12">
        <v>20497</v>
      </c>
      <c r="H4028" s="12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1047</v>
      </c>
      <c r="N4028" t="b">
        <v>1</v>
      </c>
    </row>
    <row r="4029" spans="1:14" x14ac:dyDescent="0.3">
      <c r="A4029" t="s">
        <v>5075</v>
      </c>
      <c r="B4029" t="s">
        <v>880</v>
      </c>
      <c r="C4029" s="1">
        <v>45599</v>
      </c>
      <c r="E4029" t="s">
        <v>39</v>
      </c>
      <c r="F4029">
        <v>33</v>
      </c>
      <c r="G4029" s="12">
        <v>1617</v>
      </c>
      <c r="H4029" s="12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1047</v>
      </c>
      <c r="N4029" t="b">
        <v>1</v>
      </c>
    </row>
    <row r="4030" spans="1:14" x14ac:dyDescent="0.3">
      <c r="A4030" t="s">
        <v>5076</v>
      </c>
      <c r="B4030" t="s">
        <v>95</v>
      </c>
      <c r="C4030" s="1">
        <v>45514</v>
      </c>
      <c r="E4030" t="s">
        <v>32</v>
      </c>
      <c r="F4030">
        <v>12</v>
      </c>
      <c r="G4030" s="12">
        <v>2388</v>
      </c>
      <c r="H4030" s="12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1050</v>
      </c>
      <c r="N4030" t="b">
        <v>1</v>
      </c>
    </row>
    <row r="4031" spans="1:14" x14ac:dyDescent="0.3">
      <c r="A4031" t="s">
        <v>5077</v>
      </c>
      <c r="B4031" t="s">
        <v>190</v>
      </c>
      <c r="C4031" s="1">
        <v>45240</v>
      </c>
      <c r="E4031" t="s">
        <v>39</v>
      </c>
      <c r="F4031">
        <v>56</v>
      </c>
      <c r="G4031" s="12">
        <v>2744</v>
      </c>
      <c r="H4031" s="12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1047</v>
      </c>
      <c r="N4031" t="b">
        <v>0</v>
      </c>
    </row>
    <row r="4032" spans="1:14" x14ac:dyDescent="0.3">
      <c r="A4032" t="s">
        <v>5078</v>
      </c>
      <c r="B4032" t="s">
        <v>734</v>
      </c>
      <c r="C4032" s="1">
        <v>45586</v>
      </c>
      <c r="E4032" t="s">
        <v>15</v>
      </c>
      <c r="F4032">
        <v>29</v>
      </c>
      <c r="G4032" s="12">
        <v>551</v>
      </c>
      <c r="H4032" s="1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1050</v>
      </c>
      <c r="N4032" t="b">
        <v>1</v>
      </c>
    </row>
    <row r="4033" spans="1:14" x14ac:dyDescent="0.3">
      <c r="A4033" t="s">
        <v>5079</v>
      </c>
      <c r="B4033" t="s">
        <v>902</v>
      </c>
      <c r="C4033" s="1">
        <v>45605</v>
      </c>
      <c r="D4033" s="1">
        <v>45615</v>
      </c>
      <c r="E4033" t="s">
        <v>32</v>
      </c>
      <c r="F4033">
        <v>21</v>
      </c>
      <c r="G4033" s="12">
        <v>4179</v>
      </c>
      <c r="H4033" s="12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1050</v>
      </c>
      <c r="N4033" t="b">
        <v>1</v>
      </c>
    </row>
    <row r="4034" spans="1:14" x14ac:dyDescent="0.3">
      <c r="A4034" t="s">
        <v>5080</v>
      </c>
      <c r="B4034" t="s">
        <v>858</v>
      </c>
      <c r="C4034" s="1">
        <v>45515</v>
      </c>
      <c r="E4034" t="s">
        <v>39</v>
      </c>
      <c r="F4034">
        <v>66</v>
      </c>
      <c r="G4034" s="12">
        <v>3234</v>
      </c>
      <c r="H4034" s="12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1050</v>
      </c>
      <c r="N4034" t="b">
        <v>1</v>
      </c>
    </row>
    <row r="4035" spans="1:14" x14ac:dyDescent="0.3">
      <c r="A4035" t="s">
        <v>5081</v>
      </c>
      <c r="B4035" t="s">
        <v>330</v>
      </c>
      <c r="C4035" s="1">
        <v>45547</v>
      </c>
      <c r="E4035" t="s">
        <v>32</v>
      </c>
      <c r="F4035">
        <v>30</v>
      </c>
      <c r="G4035" s="12">
        <v>5970</v>
      </c>
      <c r="H4035" s="12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1050</v>
      </c>
      <c r="N4035" t="b">
        <v>1</v>
      </c>
    </row>
    <row r="4036" spans="1:14" x14ac:dyDescent="0.3">
      <c r="A4036" t="s">
        <v>5082</v>
      </c>
      <c r="B4036" t="s">
        <v>458</v>
      </c>
      <c r="C4036" s="1">
        <v>45613</v>
      </c>
      <c r="E4036" t="s">
        <v>15</v>
      </c>
      <c r="F4036">
        <v>9</v>
      </c>
      <c r="G4036" s="12">
        <v>171</v>
      </c>
      <c r="H4036" s="12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1050</v>
      </c>
      <c r="N4036" t="b">
        <v>1</v>
      </c>
    </row>
    <row r="4037" spans="1:14" x14ac:dyDescent="0.3">
      <c r="A4037" t="s">
        <v>5083</v>
      </c>
      <c r="B4037" t="s">
        <v>712</v>
      </c>
      <c r="C4037" s="1">
        <v>45587</v>
      </c>
      <c r="E4037" t="s">
        <v>15</v>
      </c>
      <c r="F4037">
        <v>70</v>
      </c>
      <c r="G4037" s="12">
        <v>0</v>
      </c>
      <c r="H4037" s="12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1047</v>
      </c>
      <c r="N4037" t="b">
        <v>0</v>
      </c>
    </row>
    <row r="4038" spans="1:14" x14ac:dyDescent="0.3">
      <c r="A4038" t="s">
        <v>5084</v>
      </c>
      <c r="B4038" t="s">
        <v>502</v>
      </c>
      <c r="C4038" s="1">
        <v>45305</v>
      </c>
      <c r="E4038" t="s">
        <v>32</v>
      </c>
      <c r="F4038">
        <v>5</v>
      </c>
      <c r="G4038" s="12">
        <v>995</v>
      </c>
      <c r="H4038" s="12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1047</v>
      </c>
      <c r="N4038" t="b">
        <v>1</v>
      </c>
    </row>
    <row r="4039" spans="1:14" x14ac:dyDescent="0.3">
      <c r="A4039" t="s">
        <v>5085</v>
      </c>
      <c r="B4039" t="s">
        <v>63</v>
      </c>
      <c r="C4039" s="1">
        <v>45075</v>
      </c>
      <c r="E4039" t="s">
        <v>15</v>
      </c>
      <c r="F4039">
        <v>18</v>
      </c>
      <c r="G4039" s="12">
        <v>342</v>
      </c>
      <c r="H4039" s="12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1047</v>
      </c>
      <c r="N4039" t="b">
        <v>1</v>
      </c>
    </row>
    <row r="4040" spans="1:14" x14ac:dyDescent="0.3">
      <c r="A4040" t="s">
        <v>5086</v>
      </c>
      <c r="B4040" t="s">
        <v>180</v>
      </c>
      <c r="C4040" s="1">
        <v>45323</v>
      </c>
      <c r="E4040" t="s">
        <v>39</v>
      </c>
      <c r="F4040">
        <v>5</v>
      </c>
      <c r="G4040" s="12">
        <v>245</v>
      </c>
      <c r="H4040" s="12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1047</v>
      </c>
      <c r="N4040" t="b">
        <v>1</v>
      </c>
    </row>
    <row r="4041" spans="1:14" x14ac:dyDescent="0.3">
      <c r="A4041" t="s">
        <v>5087</v>
      </c>
      <c r="B4041" t="s">
        <v>182</v>
      </c>
      <c r="C4041" s="1">
        <v>45416</v>
      </c>
      <c r="E4041" t="s">
        <v>39</v>
      </c>
      <c r="F4041">
        <v>44</v>
      </c>
      <c r="G4041" s="12">
        <v>2156</v>
      </c>
      <c r="H4041" s="12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1050</v>
      </c>
      <c r="N4041" t="b">
        <v>0</v>
      </c>
    </row>
    <row r="4042" spans="1:14" x14ac:dyDescent="0.3">
      <c r="A4042" t="s">
        <v>5088</v>
      </c>
      <c r="B4042" t="s">
        <v>734</v>
      </c>
      <c r="C4042" s="1">
        <v>45590</v>
      </c>
      <c r="D4042" s="1">
        <v>45620</v>
      </c>
      <c r="E4042" t="s">
        <v>32</v>
      </c>
      <c r="F4042">
        <v>29</v>
      </c>
      <c r="G4042" s="12">
        <v>5771</v>
      </c>
      <c r="H4042" s="1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1050</v>
      </c>
      <c r="N4042" t="b">
        <v>1</v>
      </c>
    </row>
    <row r="4043" spans="1:14" x14ac:dyDescent="0.3">
      <c r="A4043" t="s">
        <v>5089</v>
      </c>
      <c r="B4043" t="s">
        <v>474</v>
      </c>
      <c r="C4043" s="1">
        <v>45525</v>
      </c>
      <c r="E4043" t="s">
        <v>15</v>
      </c>
      <c r="F4043">
        <v>5</v>
      </c>
      <c r="G4043" s="12">
        <v>95</v>
      </c>
      <c r="H4043" s="12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1050</v>
      </c>
      <c r="N4043" t="b">
        <v>1</v>
      </c>
    </row>
    <row r="4044" spans="1:14" x14ac:dyDescent="0.3">
      <c r="A4044" t="s">
        <v>5090</v>
      </c>
      <c r="B4044" t="s">
        <v>988</v>
      </c>
      <c r="C4044" s="1">
        <v>45646</v>
      </c>
      <c r="E4044" t="s">
        <v>15</v>
      </c>
      <c r="F4044">
        <v>54</v>
      </c>
      <c r="G4044" s="12">
        <v>1026</v>
      </c>
      <c r="H4044" s="12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1050</v>
      </c>
      <c r="N4044" t="b">
        <v>1</v>
      </c>
    </row>
    <row r="4045" spans="1:14" x14ac:dyDescent="0.3">
      <c r="A4045" t="s">
        <v>5091</v>
      </c>
      <c r="B4045" t="s">
        <v>700</v>
      </c>
      <c r="C4045" s="1">
        <v>45637</v>
      </c>
      <c r="E4045" t="s">
        <v>39</v>
      </c>
      <c r="F4045">
        <v>21</v>
      </c>
      <c r="G4045" s="12">
        <v>1029</v>
      </c>
      <c r="H4045" s="12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1047</v>
      </c>
      <c r="N4045" t="b">
        <v>1</v>
      </c>
    </row>
    <row r="4046" spans="1:14" x14ac:dyDescent="0.3">
      <c r="A4046" t="s">
        <v>5092</v>
      </c>
      <c r="B4046" t="s">
        <v>430</v>
      </c>
      <c r="C4046" s="1">
        <v>45323</v>
      </c>
      <c r="D4046" s="1">
        <v>45356</v>
      </c>
      <c r="E4046" t="s">
        <v>39</v>
      </c>
      <c r="F4046">
        <v>35</v>
      </c>
      <c r="G4046" s="12">
        <v>1715</v>
      </c>
      <c r="H4046" s="12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1047</v>
      </c>
      <c r="N4046" t="b">
        <v>1</v>
      </c>
    </row>
    <row r="4047" spans="1:14" x14ac:dyDescent="0.3">
      <c r="A4047" t="s">
        <v>5093</v>
      </c>
      <c r="B4047" t="s">
        <v>59</v>
      </c>
      <c r="C4047" s="1">
        <v>45657</v>
      </c>
      <c r="E4047" t="s">
        <v>39</v>
      </c>
      <c r="F4047">
        <v>15</v>
      </c>
      <c r="G4047" s="12">
        <v>735</v>
      </c>
      <c r="H4047" s="12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1050</v>
      </c>
      <c r="N4047" t="b">
        <v>1</v>
      </c>
    </row>
    <row r="4048" spans="1:14" x14ac:dyDescent="0.3">
      <c r="A4048" t="s">
        <v>5094</v>
      </c>
      <c r="B4048" t="s">
        <v>220</v>
      </c>
      <c r="C4048" s="1">
        <v>45650</v>
      </c>
      <c r="E4048" t="s">
        <v>39</v>
      </c>
      <c r="F4048">
        <v>35</v>
      </c>
      <c r="G4048" s="12">
        <v>1715</v>
      </c>
      <c r="H4048" s="12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1050</v>
      </c>
      <c r="N4048" t="b">
        <v>1</v>
      </c>
    </row>
    <row r="4049" spans="1:14" x14ac:dyDescent="0.3">
      <c r="A4049" t="s">
        <v>5095</v>
      </c>
      <c r="B4049" t="s">
        <v>704</v>
      </c>
      <c r="C4049" s="1">
        <v>45602</v>
      </c>
      <c r="D4049" s="1">
        <v>45657</v>
      </c>
      <c r="E4049" t="s">
        <v>32</v>
      </c>
      <c r="F4049">
        <v>87</v>
      </c>
      <c r="G4049" s="12">
        <v>17313</v>
      </c>
      <c r="H4049" s="12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1050</v>
      </c>
      <c r="N4049" t="b">
        <v>1</v>
      </c>
    </row>
    <row r="4050" spans="1:14" x14ac:dyDescent="0.3">
      <c r="A4050" t="s">
        <v>5096</v>
      </c>
      <c r="B4050" t="s">
        <v>490</v>
      </c>
      <c r="C4050" s="1">
        <v>45549</v>
      </c>
      <c r="E4050" t="s">
        <v>39</v>
      </c>
      <c r="F4050">
        <v>34</v>
      </c>
      <c r="G4050" s="12">
        <v>1666</v>
      </c>
      <c r="H4050" s="12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1050</v>
      </c>
      <c r="N4050" t="b">
        <v>1</v>
      </c>
    </row>
    <row r="4051" spans="1:14" x14ac:dyDescent="0.3">
      <c r="A4051" t="s">
        <v>5097</v>
      </c>
      <c r="B4051" t="s">
        <v>704</v>
      </c>
      <c r="C4051" s="1">
        <v>45592</v>
      </c>
      <c r="E4051" t="s">
        <v>32</v>
      </c>
      <c r="F4051">
        <v>87</v>
      </c>
      <c r="G4051" s="12">
        <v>17313</v>
      </c>
      <c r="H4051" s="12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1047</v>
      </c>
      <c r="N4051" t="b">
        <v>0</v>
      </c>
    </row>
    <row r="4052" spans="1:14" x14ac:dyDescent="0.3">
      <c r="A4052" t="s">
        <v>5098</v>
      </c>
      <c r="B4052" t="s">
        <v>25</v>
      </c>
      <c r="C4052" s="1">
        <v>45610</v>
      </c>
      <c r="E4052" t="s">
        <v>15</v>
      </c>
      <c r="F4052">
        <v>32</v>
      </c>
      <c r="G4052" s="12">
        <v>608</v>
      </c>
      <c r="H4052" s="1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1050</v>
      </c>
      <c r="N4052" t="b">
        <v>1</v>
      </c>
    </row>
    <row r="4053" spans="1:14" x14ac:dyDescent="0.3">
      <c r="A4053" t="s">
        <v>5099</v>
      </c>
      <c r="B4053" t="s">
        <v>454</v>
      </c>
      <c r="C4053" s="1">
        <v>45124</v>
      </c>
      <c r="E4053" t="s">
        <v>39</v>
      </c>
      <c r="F4053">
        <v>105</v>
      </c>
      <c r="G4053" s="12">
        <v>0</v>
      </c>
      <c r="H4053" s="12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1050</v>
      </c>
      <c r="N4053" t="b">
        <v>0</v>
      </c>
    </row>
    <row r="4054" spans="1:14" x14ac:dyDescent="0.3">
      <c r="A4054" t="s">
        <v>5100</v>
      </c>
      <c r="B4054" t="s">
        <v>180</v>
      </c>
      <c r="C4054" s="1">
        <v>45289</v>
      </c>
      <c r="E4054" t="s">
        <v>15</v>
      </c>
      <c r="F4054">
        <v>8</v>
      </c>
      <c r="G4054" s="12">
        <v>152</v>
      </c>
      <c r="H4054" s="12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1047</v>
      </c>
      <c r="N4054" t="b">
        <v>1</v>
      </c>
    </row>
    <row r="4055" spans="1:14" x14ac:dyDescent="0.3">
      <c r="A4055" t="s">
        <v>5101</v>
      </c>
      <c r="B4055" t="s">
        <v>554</v>
      </c>
      <c r="C4055" s="1">
        <v>45611</v>
      </c>
      <c r="E4055" t="s">
        <v>39</v>
      </c>
      <c r="F4055">
        <v>28</v>
      </c>
      <c r="G4055" s="12">
        <v>1372</v>
      </c>
      <c r="H4055" s="12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1047</v>
      </c>
      <c r="N4055" t="b">
        <v>1</v>
      </c>
    </row>
    <row r="4056" spans="1:14" x14ac:dyDescent="0.3">
      <c r="A4056" t="s">
        <v>5102</v>
      </c>
      <c r="B4056" t="s">
        <v>768</v>
      </c>
      <c r="C4056" s="1">
        <v>45238</v>
      </c>
      <c r="E4056" t="s">
        <v>39</v>
      </c>
      <c r="F4056">
        <v>28</v>
      </c>
      <c r="G4056" s="12">
        <v>1372</v>
      </c>
      <c r="H4056" s="12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1047</v>
      </c>
      <c r="N4056" t="b">
        <v>1</v>
      </c>
    </row>
    <row r="4057" spans="1:14" x14ac:dyDescent="0.3">
      <c r="A4057" t="s">
        <v>5103</v>
      </c>
      <c r="B4057" t="s">
        <v>818</v>
      </c>
      <c r="C4057" s="1">
        <v>45247</v>
      </c>
      <c r="E4057" t="s">
        <v>32</v>
      </c>
      <c r="F4057">
        <v>20</v>
      </c>
      <c r="G4057" s="12">
        <v>3980</v>
      </c>
      <c r="H4057" s="12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1050</v>
      </c>
      <c r="N4057" t="b">
        <v>1</v>
      </c>
    </row>
    <row r="4058" spans="1:14" x14ac:dyDescent="0.3">
      <c r="A4058" t="s">
        <v>5104</v>
      </c>
      <c r="B4058" t="s">
        <v>758</v>
      </c>
      <c r="C4058" s="1">
        <v>45577</v>
      </c>
      <c r="E4058" t="s">
        <v>32</v>
      </c>
      <c r="F4058">
        <v>28</v>
      </c>
      <c r="G4058" s="12">
        <v>5572</v>
      </c>
      <c r="H4058" s="12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1050</v>
      </c>
      <c r="N4058" t="b">
        <v>1</v>
      </c>
    </row>
    <row r="4059" spans="1:14" x14ac:dyDescent="0.3">
      <c r="A4059" t="s">
        <v>5105</v>
      </c>
      <c r="B4059" t="s">
        <v>374</v>
      </c>
      <c r="C4059" s="1">
        <v>45509</v>
      </c>
      <c r="E4059" t="s">
        <v>15</v>
      </c>
      <c r="F4059">
        <v>57</v>
      </c>
      <c r="G4059" s="12">
        <v>0</v>
      </c>
      <c r="H4059" s="12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1050</v>
      </c>
      <c r="N4059" t="b">
        <v>1</v>
      </c>
    </row>
    <row r="4060" spans="1:14" x14ac:dyDescent="0.3">
      <c r="A4060" t="s">
        <v>5106</v>
      </c>
      <c r="B4060" t="s">
        <v>820</v>
      </c>
      <c r="C4060" s="1">
        <v>45603</v>
      </c>
      <c r="E4060" t="s">
        <v>15</v>
      </c>
      <c r="F4060">
        <v>71</v>
      </c>
      <c r="G4060" s="12">
        <v>1349</v>
      </c>
      <c r="H4060" s="12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1047</v>
      </c>
      <c r="N4060" t="b">
        <v>1</v>
      </c>
    </row>
    <row r="4061" spans="1:14" x14ac:dyDescent="0.3">
      <c r="A4061" t="s">
        <v>5107</v>
      </c>
      <c r="B4061" t="s">
        <v>180</v>
      </c>
      <c r="C4061" s="1">
        <v>45438</v>
      </c>
      <c r="E4061" t="s">
        <v>32</v>
      </c>
      <c r="F4061">
        <v>9</v>
      </c>
      <c r="G4061" s="12">
        <v>1791</v>
      </c>
      <c r="H4061" s="12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1050</v>
      </c>
      <c r="N4061" t="b">
        <v>0</v>
      </c>
    </row>
    <row r="4062" spans="1:14" x14ac:dyDescent="0.3">
      <c r="A4062" t="s">
        <v>5108</v>
      </c>
      <c r="B4062" t="s">
        <v>572</v>
      </c>
      <c r="C4062" s="1">
        <v>45567</v>
      </c>
      <c r="E4062" t="s">
        <v>32</v>
      </c>
      <c r="F4062">
        <v>50</v>
      </c>
      <c r="G4062" s="12">
        <v>0</v>
      </c>
      <c r="H4062" s="1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1047</v>
      </c>
      <c r="N4062" t="b">
        <v>1</v>
      </c>
    </row>
    <row r="4063" spans="1:14" x14ac:dyDescent="0.3">
      <c r="A4063" t="s">
        <v>5109</v>
      </c>
      <c r="B4063" t="s">
        <v>474</v>
      </c>
      <c r="C4063" s="1">
        <v>45146</v>
      </c>
      <c r="E4063" t="s">
        <v>39</v>
      </c>
      <c r="F4063">
        <v>5</v>
      </c>
      <c r="G4063" s="12">
        <v>245</v>
      </c>
      <c r="H4063" s="12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1050</v>
      </c>
      <c r="N4063" t="b">
        <v>1</v>
      </c>
    </row>
    <row r="4064" spans="1:14" x14ac:dyDescent="0.3">
      <c r="A4064" t="s">
        <v>5110</v>
      </c>
      <c r="B4064" t="s">
        <v>580</v>
      </c>
      <c r="C4064" s="1">
        <v>45574</v>
      </c>
      <c r="E4064" t="s">
        <v>39</v>
      </c>
      <c r="F4064">
        <v>75</v>
      </c>
      <c r="G4064" s="12">
        <v>3675</v>
      </c>
      <c r="H4064" s="12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1047</v>
      </c>
      <c r="N4064" t="b">
        <v>1</v>
      </c>
    </row>
    <row r="4065" spans="1:14" x14ac:dyDescent="0.3">
      <c r="A4065" t="s">
        <v>5111</v>
      </c>
      <c r="B4065" t="s">
        <v>320</v>
      </c>
      <c r="C4065" s="1">
        <v>45488</v>
      </c>
      <c r="E4065" t="s">
        <v>15</v>
      </c>
      <c r="F4065">
        <v>24</v>
      </c>
      <c r="G4065" s="12">
        <v>456</v>
      </c>
      <c r="H4065" s="12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1050</v>
      </c>
      <c r="N4065" t="b">
        <v>1</v>
      </c>
    </row>
    <row r="4066" spans="1:14" x14ac:dyDescent="0.3">
      <c r="A4066" t="s">
        <v>5112</v>
      </c>
      <c r="B4066" t="s">
        <v>632</v>
      </c>
      <c r="C4066" s="1">
        <v>45568</v>
      </c>
      <c r="E4066" t="s">
        <v>15</v>
      </c>
      <c r="F4066">
        <v>17</v>
      </c>
      <c r="G4066" s="12">
        <v>323</v>
      </c>
      <c r="H4066" s="12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1050</v>
      </c>
      <c r="N4066" t="b">
        <v>1</v>
      </c>
    </row>
    <row r="4067" spans="1:14" x14ac:dyDescent="0.3">
      <c r="A4067" t="s">
        <v>5113</v>
      </c>
      <c r="B4067" t="s">
        <v>878</v>
      </c>
      <c r="C4067" s="1">
        <v>45553</v>
      </c>
      <c r="E4067" t="s">
        <v>39</v>
      </c>
      <c r="F4067">
        <v>86</v>
      </c>
      <c r="G4067" s="12">
        <v>4214</v>
      </c>
      <c r="H4067" s="12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1047</v>
      </c>
      <c r="N4067" t="b">
        <v>0</v>
      </c>
    </row>
    <row r="4068" spans="1:14" x14ac:dyDescent="0.3">
      <c r="A4068" t="s">
        <v>5114</v>
      </c>
      <c r="B4068" t="s">
        <v>974</v>
      </c>
      <c r="C4068" s="1">
        <v>45616</v>
      </c>
      <c r="D4068" s="1">
        <v>45630</v>
      </c>
      <c r="E4068" t="s">
        <v>32</v>
      </c>
      <c r="F4068">
        <v>9</v>
      </c>
      <c r="G4068" s="12">
        <v>1791</v>
      </c>
      <c r="H4068" s="12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1050</v>
      </c>
      <c r="N4068" t="b">
        <v>1</v>
      </c>
    </row>
    <row r="4069" spans="1:14" x14ac:dyDescent="0.3">
      <c r="A4069" t="s">
        <v>5115</v>
      </c>
      <c r="B4069" t="s">
        <v>300</v>
      </c>
      <c r="C4069" s="1">
        <v>45585</v>
      </c>
      <c r="E4069" t="s">
        <v>32</v>
      </c>
      <c r="F4069">
        <v>45</v>
      </c>
      <c r="G4069" s="12">
        <v>0</v>
      </c>
      <c r="H4069" s="12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1047</v>
      </c>
      <c r="N4069" t="b">
        <v>1</v>
      </c>
    </row>
    <row r="4070" spans="1:14" x14ac:dyDescent="0.3">
      <c r="A4070" t="s">
        <v>5116</v>
      </c>
      <c r="B4070" t="s">
        <v>866</v>
      </c>
      <c r="C4070" s="1">
        <v>45463</v>
      </c>
      <c r="E4070" t="s">
        <v>32</v>
      </c>
      <c r="F4070">
        <v>23</v>
      </c>
      <c r="G4070" s="12">
        <v>4577</v>
      </c>
      <c r="H4070" s="12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1050</v>
      </c>
      <c r="N4070" t="b">
        <v>1</v>
      </c>
    </row>
    <row r="4071" spans="1:14" x14ac:dyDescent="0.3">
      <c r="A4071" t="s">
        <v>5117</v>
      </c>
      <c r="B4071" t="s">
        <v>434</v>
      </c>
      <c r="C4071" s="1">
        <v>45393</v>
      </c>
      <c r="E4071" t="s">
        <v>15</v>
      </c>
      <c r="F4071">
        <v>94</v>
      </c>
      <c r="G4071" s="12">
        <v>1786</v>
      </c>
      <c r="H4071" s="12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1047</v>
      </c>
      <c r="N4071" t="b">
        <v>1</v>
      </c>
    </row>
    <row r="4072" spans="1:14" x14ac:dyDescent="0.3">
      <c r="A4072" t="s">
        <v>5118</v>
      </c>
      <c r="B4072" t="s">
        <v>68</v>
      </c>
      <c r="C4072" s="1">
        <v>45509</v>
      </c>
      <c r="E4072" t="s">
        <v>39</v>
      </c>
      <c r="F4072">
        <v>10</v>
      </c>
      <c r="G4072" s="12">
        <v>490</v>
      </c>
      <c r="H4072" s="1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1047</v>
      </c>
      <c r="N4072" t="b">
        <v>1</v>
      </c>
    </row>
    <row r="4073" spans="1:14" x14ac:dyDescent="0.3">
      <c r="A4073" t="s">
        <v>5119</v>
      </c>
      <c r="B4073" t="s">
        <v>436</v>
      </c>
      <c r="C4073" s="1">
        <v>45210</v>
      </c>
      <c r="E4073" t="s">
        <v>39</v>
      </c>
      <c r="F4073">
        <v>23</v>
      </c>
      <c r="G4073" s="12">
        <v>1127</v>
      </c>
      <c r="H4073" s="12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1047</v>
      </c>
      <c r="N4073" t="b">
        <v>1</v>
      </c>
    </row>
    <row r="4074" spans="1:14" x14ac:dyDescent="0.3">
      <c r="A4074" t="s">
        <v>5120</v>
      </c>
      <c r="B4074" t="s">
        <v>1010</v>
      </c>
      <c r="C4074" s="1">
        <v>45592</v>
      </c>
      <c r="E4074" t="s">
        <v>39</v>
      </c>
      <c r="F4074">
        <v>16</v>
      </c>
      <c r="G4074" s="12">
        <v>784</v>
      </c>
      <c r="H4074" s="12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1050</v>
      </c>
      <c r="N4074" t="b">
        <v>1</v>
      </c>
    </row>
    <row r="4075" spans="1:14" x14ac:dyDescent="0.3">
      <c r="A4075" t="s">
        <v>5121</v>
      </c>
      <c r="B4075" t="s">
        <v>42</v>
      </c>
      <c r="C4075" s="1">
        <v>45609</v>
      </c>
      <c r="E4075" t="s">
        <v>32</v>
      </c>
      <c r="F4075">
        <v>15</v>
      </c>
      <c r="G4075" s="12">
        <v>2985</v>
      </c>
      <c r="H4075" s="12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1050</v>
      </c>
      <c r="N4075" t="b">
        <v>0</v>
      </c>
    </row>
    <row r="4076" spans="1:14" x14ac:dyDescent="0.3">
      <c r="A4076" t="s">
        <v>5122</v>
      </c>
      <c r="B4076" t="s">
        <v>816</v>
      </c>
      <c r="C4076" s="1">
        <v>45644</v>
      </c>
      <c r="E4076" t="s">
        <v>32</v>
      </c>
      <c r="F4076">
        <v>26</v>
      </c>
      <c r="G4076" s="12">
        <v>5174</v>
      </c>
      <c r="H4076" s="12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1047</v>
      </c>
      <c r="N4076" t="b">
        <v>1</v>
      </c>
    </row>
    <row r="4077" spans="1:14" x14ac:dyDescent="0.3">
      <c r="A4077" t="s">
        <v>5123</v>
      </c>
      <c r="B4077" t="s">
        <v>538</v>
      </c>
      <c r="C4077" s="1">
        <v>45646</v>
      </c>
      <c r="E4077" t="s">
        <v>15</v>
      </c>
      <c r="F4077">
        <v>27</v>
      </c>
      <c r="G4077" s="12">
        <v>513</v>
      </c>
      <c r="H4077" s="12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1050</v>
      </c>
      <c r="N4077" t="b">
        <v>1</v>
      </c>
    </row>
    <row r="4078" spans="1:14" x14ac:dyDescent="0.3">
      <c r="A4078" t="s">
        <v>5124</v>
      </c>
      <c r="B4078" t="s">
        <v>828</v>
      </c>
      <c r="C4078" s="1">
        <v>45486</v>
      </c>
      <c r="E4078" t="s">
        <v>15</v>
      </c>
      <c r="F4078">
        <v>69</v>
      </c>
      <c r="G4078" s="12">
        <v>1311</v>
      </c>
      <c r="H4078" s="12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1050</v>
      </c>
      <c r="N4078" t="b">
        <v>0</v>
      </c>
    </row>
    <row r="4079" spans="1:14" x14ac:dyDescent="0.3">
      <c r="A4079" t="s">
        <v>5125</v>
      </c>
      <c r="B4079" t="s">
        <v>604</v>
      </c>
      <c r="C4079" s="1">
        <v>45646</v>
      </c>
      <c r="D4079" s="1">
        <v>45648</v>
      </c>
      <c r="E4079" t="s">
        <v>39</v>
      </c>
      <c r="F4079">
        <v>12</v>
      </c>
      <c r="G4079" s="12">
        <v>588</v>
      </c>
      <c r="H4079" s="12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1047</v>
      </c>
      <c r="N4079" t="b">
        <v>1</v>
      </c>
    </row>
    <row r="4080" spans="1:14" x14ac:dyDescent="0.3">
      <c r="A4080" t="s">
        <v>5126</v>
      </c>
      <c r="B4080" t="s">
        <v>40</v>
      </c>
      <c r="C4080" s="1">
        <v>45470</v>
      </c>
      <c r="E4080" t="s">
        <v>15</v>
      </c>
      <c r="F4080">
        <v>9</v>
      </c>
      <c r="G4080" s="12">
        <v>171</v>
      </c>
      <c r="H4080" s="12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1050</v>
      </c>
      <c r="N4080" t="b">
        <v>1</v>
      </c>
    </row>
    <row r="4081" spans="1:14" x14ac:dyDescent="0.3">
      <c r="A4081" t="s">
        <v>5127</v>
      </c>
      <c r="B4081" t="s">
        <v>692</v>
      </c>
      <c r="C4081" s="1">
        <v>45401</v>
      </c>
      <c r="E4081" t="s">
        <v>39</v>
      </c>
      <c r="F4081">
        <v>18</v>
      </c>
      <c r="G4081" s="12">
        <v>882</v>
      </c>
      <c r="H4081" s="12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1047</v>
      </c>
      <c r="N4081" t="b">
        <v>1</v>
      </c>
    </row>
    <row r="4082" spans="1:14" x14ac:dyDescent="0.3">
      <c r="A4082" t="s">
        <v>5128</v>
      </c>
      <c r="B4082" t="s">
        <v>130</v>
      </c>
      <c r="C4082" s="1">
        <v>45425</v>
      </c>
      <c r="E4082" t="s">
        <v>32</v>
      </c>
      <c r="F4082">
        <v>47</v>
      </c>
      <c r="G4082" s="12">
        <v>9353</v>
      </c>
      <c r="H4082" s="1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1050</v>
      </c>
      <c r="N4082" t="b">
        <v>1</v>
      </c>
    </row>
    <row r="4083" spans="1:14" x14ac:dyDescent="0.3">
      <c r="A4083" t="s">
        <v>5129</v>
      </c>
      <c r="B4083" t="s">
        <v>202</v>
      </c>
      <c r="C4083" s="1">
        <v>45599</v>
      </c>
      <c r="E4083" t="s">
        <v>39</v>
      </c>
      <c r="F4083">
        <v>16</v>
      </c>
      <c r="G4083" s="12">
        <v>784</v>
      </c>
      <c r="H4083" s="12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1050</v>
      </c>
      <c r="N4083" t="b">
        <v>1</v>
      </c>
    </row>
    <row r="4084" spans="1:14" x14ac:dyDescent="0.3">
      <c r="A4084" t="s">
        <v>5130</v>
      </c>
      <c r="B4084" t="s">
        <v>454</v>
      </c>
      <c r="C4084" s="1">
        <v>45194</v>
      </c>
      <c r="D4084" s="1">
        <v>45298</v>
      </c>
      <c r="E4084" t="s">
        <v>39</v>
      </c>
      <c r="F4084">
        <v>15</v>
      </c>
      <c r="G4084" s="12">
        <v>735</v>
      </c>
      <c r="H4084" s="12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1047</v>
      </c>
      <c r="N4084" t="b">
        <v>1</v>
      </c>
    </row>
    <row r="4085" spans="1:14" x14ac:dyDescent="0.3">
      <c r="A4085" t="s">
        <v>5131</v>
      </c>
      <c r="B4085" t="s">
        <v>400</v>
      </c>
      <c r="C4085" s="1">
        <v>45623</v>
      </c>
      <c r="D4085" s="1">
        <v>45642</v>
      </c>
      <c r="E4085" t="s">
        <v>39</v>
      </c>
      <c r="F4085">
        <v>28</v>
      </c>
      <c r="G4085" s="12">
        <v>1372</v>
      </c>
      <c r="H4085" s="12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1047</v>
      </c>
      <c r="N4085" t="b">
        <v>1</v>
      </c>
    </row>
    <row r="4086" spans="1:14" x14ac:dyDescent="0.3">
      <c r="A4086" t="s">
        <v>5132</v>
      </c>
      <c r="B4086" t="s">
        <v>108</v>
      </c>
      <c r="C4086" s="1">
        <v>45611</v>
      </c>
      <c r="D4086" s="1">
        <v>45611</v>
      </c>
      <c r="E4086" t="s">
        <v>15</v>
      </c>
      <c r="F4086">
        <v>10</v>
      </c>
      <c r="G4086" s="12">
        <v>190</v>
      </c>
      <c r="H4086" s="12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1047</v>
      </c>
      <c r="N4086" t="b">
        <v>1</v>
      </c>
    </row>
    <row r="4087" spans="1:14" x14ac:dyDescent="0.3">
      <c r="A4087" t="s">
        <v>5133</v>
      </c>
      <c r="B4087" t="s">
        <v>95</v>
      </c>
      <c r="C4087" s="1">
        <v>45317</v>
      </c>
      <c r="E4087" t="s">
        <v>15</v>
      </c>
      <c r="F4087">
        <v>10</v>
      </c>
      <c r="G4087" s="12">
        <v>190</v>
      </c>
      <c r="H4087" s="12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1047</v>
      </c>
      <c r="N4087" t="b">
        <v>1</v>
      </c>
    </row>
    <row r="4088" spans="1:14" x14ac:dyDescent="0.3">
      <c r="A4088" t="s">
        <v>5134</v>
      </c>
      <c r="B4088" t="s">
        <v>812</v>
      </c>
      <c r="C4088" s="1">
        <v>45513</v>
      </c>
      <c r="E4088" t="s">
        <v>39</v>
      </c>
      <c r="F4088">
        <v>14</v>
      </c>
      <c r="G4088" s="12">
        <v>686</v>
      </c>
      <c r="H4088" s="12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1047</v>
      </c>
      <c r="N4088" t="b">
        <v>1</v>
      </c>
    </row>
    <row r="4089" spans="1:14" x14ac:dyDescent="0.3">
      <c r="A4089" t="s">
        <v>5135</v>
      </c>
      <c r="B4089" t="s">
        <v>542</v>
      </c>
      <c r="C4089" s="1">
        <v>45568</v>
      </c>
      <c r="E4089" t="s">
        <v>32</v>
      </c>
      <c r="F4089">
        <v>8</v>
      </c>
      <c r="G4089" s="12">
        <v>0</v>
      </c>
      <c r="H4089" s="12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1050</v>
      </c>
      <c r="N4089" t="b">
        <v>1</v>
      </c>
    </row>
    <row r="4090" spans="1:14" x14ac:dyDescent="0.3">
      <c r="A4090" t="s">
        <v>5136</v>
      </c>
      <c r="B4090" t="s">
        <v>552</v>
      </c>
      <c r="C4090" s="1">
        <v>45320</v>
      </c>
      <c r="E4090" t="s">
        <v>39</v>
      </c>
      <c r="F4090">
        <v>9</v>
      </c>
      <c r="G4090" s="12">
        <v>441</v>
      </c>
      <c r="H4090" s="12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1050</v>
      </c>
      <c r="N4090" t="b">
        <v>1</v>
      </c>
    </row>
    <row r="4091" spans="1:14" x14ac:dyDescent="0.3">
      <c r="A4091" t="s">
        <v>5137</v>
      </c>
      <c r="B4091" t="s">
        <v>834</v>
      </c>
      <c r="C4091" s="1">
        <v>45140</v>
      </c>
      <c r="E4091" t="s">
        <v>39</v>
      </c>
      <c r="F4091">
        <v>22</v>
      </c>
      <c r="G4091" s="12">
        <v>1078</v>
      </c>
      <c r="H4091" s="12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1047</v>
      </c>
      <c r="N4091" t="b">
        <v>1</v>
      </c>
    </row>
    <row r="4092" spans="1:14" x14ac:dyDescent="0.3">
      <c r="A4092" t="s">
        <v>5138</v>
      </c>
      <c r="B4092" t="s">
        <v>390</v>
      </c>
      <c r="C4092" s="1">
        <v>45168</v>
      </c>
      <c r="E4092" t="s">
        <v>39</v>
      </c>
      <c r="F4092">
        <v>61</v>
      </c>
      <c r="G4092" s="12">
        <v>0</v>
      </c>
      <c r="H4092" s="1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1047</v>
      </c>
      <c r="N4092" t="b">
        <v>1</v>
      </c>
    </row>
    <row r="4093" spans="1:14" x14ac:dyDescent="0.3">
      <c r="A4093" t="s">
        <v>5139</v>
      </c>
      <c r="B4093" t="s">
        <v>588</v>
      </c>
      <c r="C4093" s="1">
        <v>45624</v>
      </c>
      <c r="E4093" t="s">
        <v>32</v>
      </c>
      <c r="F4093">
        <v>15</v>
      </c>
      <c r="G4093" s="12">
        <v>2985</v>
      </c>
      <c r="H4093" s="12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1047</v>
      </c>
      <c r="N4093" t="b">
        <v>1</v>
      </c>
    </row>
    <row r="4094" spans="1:14" x14ac:dyDescent="0.3">
      <c r="A4094" t="s">
        <v>5140</v>
      </c>
      <c r="B4094" t="s">
        <v>962</v>
      </c>
      <c r="C4094" s="1">
        <v>45657</v>
      </c>
      <c r="E4094" t="s">
        <v>32</v>
      </c>
      <c r="F4094">
        <v>19</v>
      </c>
      <c r="G4094" s="12">
        <v>3781</v>
      </c>
      <c r="H4094" s="12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1047</v>
      </c>
      <c r="N4094" t="b">
        <v>1</v>
      </c>
    </row>
    <row r="4095" spans="1:14" x14ac:dyDescent="0.3">
      <c r="A4095" t="s">
        <v>5141</v>
      </c>
      <c r="B4095" t="s">
        <v>93</v>
      </c>
      <c r="C4095" s="1">
        <v>45511</v>
      </c>
      <c r="E4095" t="s">
        <v>15</v>
      </c>
      <c r="F4095">
        <v>77</v>
      </c>
      <c r="G4095" s="12">
        <v>1463</v>
      </c>
      <c r="H4095" s="12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1050</v>
      </c>
      <c r="N4095" t="b">
        <v>0</v>
      </c>
    </row>
    <row r="4096" spans="1:14" x14ac:dyDescent="0.3">
      <c r="A4096" t="s">
        <v>5142</v>
      </c>
      <c r="B4096" t="s">
        <v>194</v>
      </c>
      <c r="C4096" s="1">
        <v>45642</v>
      </c>
      <c r="E4096" t="s">
        <v>32</v>
      </c>
      <c r="F4096">
        <v>38</v>
      </c>
      <c r="G4096" s="12">
        <v>7562</v>
      </c>
      <c r="H4096" s="12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1047</v>
      </c>
      <c r="N4096" t="b">
        <v>0</v>
      </c>
    </row>
    <row r="4097" spans="1:14" x14ac:dyDescent="0.3">
      <c r="A4097" t="s">
        <v>5143</v>
      </c>
      <c r="B4097" t="s">
        <v>520</v>
      </c>
      <c r="C4097" s="1">
        <v>45647</v>
      </c>
      <c r="E4097" t="s">
        <v>32</v>
      </c>
      <c r="F4097">
        <v>41</v>
      </c>
      <c r="G4097" s="12">
        <v>8159</v>
      </c>
      <c r="H4097" s="12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1050</v>
      </c>
      <c r="N4097" t="b">
        <v>1</v>
      </c>
    </row>
    <row r="4098" spans="1:14" x14ac:dyDescent="0.3">
      <c r="A4098" t="s">
        <v>5144</v>
      </c>
      <c r="B4098" t="s">
        <v>57</v>
      </c>
      <c r="C4098" s="1">
        <v>45351</v>
      </c>
      <c r="E4098" t="s">
        <v>39</v>
      </c>
      <c r="F4098">
        <v>26</v>
      </c>
      <c r="G4098" s="12">
        <v>0</v>
      </c>
      <c r="H4098" s="12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1050</v>
      </c>
      <c r="N4098" t="b">
        <v>1</v>
      </c>
    </row>
    <row r="4099" spans="1:14" x14ac:dyDescent="0.3">
      <c r="A4099" t="s">
        <v>5145</v>
      </c>
      <c r="B4099" t="s">
        <v>136</v>
      </c>
      <c r="C4099" s="1">
        <v>45557</v>
      </c>
      <c r="E4099" t="s">
        <v>15</v>
      </c>
      <c r="F4099">
        <v>26</v>
      </c>
      <c r="G4099" s="12">
        <v>494</v>
      </c>
      <c r="H4099" s="12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1047</v>
      </c>
      <c r="N4099" t="b">
        <v>0</v>
      </c>
    </row>
    <row r="4100" spans="1:14" x14ac:dyDescent="0.3">
      <c r="A4100" t="s">
        <v>5146</v>
      </c>
      <c r="B4100" t="s">
        <v>224</v>
      </c>
      <c r="C4100" s="1">
        <v>45646</v>
      </c>
      <c r="E4100" t="s">
        <v>32</v>
      </c>
      <c r="F4100">
        <v>33</v>
      </c>
      <c r="G4100" s="12">
        <v>0</v>
      </c>
      <c r="H4100" s="12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1050</v>
      </c>
      <c r="N4100" t="b">
        <v>0</v>
      </c>
    </row>
    <row r="4101" spans="1:14" x14ac:dyDescent="0.3">
      <c r="A4101" t="s">
        <v>5147</v>
      </c>
      <c r="B4101" t="s">
        <v>822</v>
      </c>
      <c r="C4101" s="1">
        <v>45551</v>
      </c>
      <c r="E4101" t="s">
        <v>32</v>
      </c>
      <c r="F4101">
        <v>13</v>
      </c>
      <c r="G4101" s="12">
        <v>2587</v>
      </c>
      <c r="H4101" s="12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1047</v>
      </c>
      <c r="N4101" t="b">
        <v>1</v>
      </c>
    </row>
    <row r="4102" spans="1:14" x14ac:dyDescent="0.3">
      <c r="A4102" t="s">
        <v>5148</v>
      </c>
      <c r="B4102" t="s">
        <v>1028</v>
      </c>
      <c r="C4102" s="1">
        <v>45634</v>
      </c>
      <c r="E4102" t="s">
        <v>15</v>
      </c>
      <c r="F4102">
        <v>12</v>
      </c>
      <c r="G4102" s="12">
        <v>228</v>
      </c>
      <c r="H4102" s="1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1050</v>
      </c>
      <c r="N4102" t="b">
        <v>1</v>
      </c>
    </row>
    <row r="4103" spans="1:14" x14ac:dyDescent="0.3">
      <c r="A4103" t="s">
        <v>5149</v>
      </c>
      <c r="B4103" t="s">
        <v>600</v>
      </c>
      <c r="C4103" s="1">
        <v>45579</v>
      </c>
      <c r="E4103" t="s">
        <v>39</v>
      </c>
      <c r="F4103">
        <v>4</v>
      </c>
      <c r="G4103" s="12">
        <v>196</v>
      </c>
      <c r="H4103" s="12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1050</v>
      </c>
      <c r="N4103" t="b">
        <v>0</v>
      </c>
    </row>
    <row r="4104" spans="1:14" x14ac:dyDescent="0.3">
      <c r="A4104" t="s">
        <v>5150</v>
      </c>
      <c r="B4104" t="s">
        <v>686</v>
      </c>
      <c r="C4104" s="1">
        <v>45593</v>
      </c>
      <c r="D4104" s="1">
        <v>45598</v>
      </c>
      <c r="E4104" t="s">
        <v>15</v>
      </c>
      <c r="F4104">
        <v>26</v>
      </c>
      <c r="G4104" s="12">
        <v>494</v>
      </c>
      <c r="H4104" s="12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1047</v>
      </c>
      <c r="N4104" t="b">
        <v>1</v>
      </c>
    </row>
    <row r="4105" spans="1:14" x14ac:dyDescent="0.3">
      <c r="A4105" t="s">
        <v>5151</v>
      </c>
      <c r="B4105" t="s">
        <v>492</v>
      </c>
      <c r="C4105" s="1">
        <v>45613</v>
      </c>
      <c r="E4105" t="s">
        <v>15</v>
      </c>
      <c r="F4105">
        <v>5</v>
      </c>
      <c r="G4105" s="12">
        <v>95</v>
      </c>
      <c r="H4105" s="12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1050</v>
      </c>
      <c r="N4105" t="b">
        <v>1</v>
      </c>
    </row>
    <row r="4106" spans="1:14" x14ac:dyDescent="0.3">
      <c r="A4106" t="s">
        <v>5152</v>
      </c>
      <c r="B4106" t="s">
        <v>42</v>
      </c>
      <c r="C4106" s="1">
        <v>45630</v>
      </c>
      <c r="E4106" t="s">
        <v>39</v>
      </c>
      <c r="F4106">
        <v>12</v>
      </c>
      <c r="G4106" s="12">
        <v>0</v>
      </c>
      <c r="H4106" s="12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1050</v>
      </c>
      <c r="N4106" t="b">
        <v>1</v>
      </c>
    </row>
    <row r="4107" spans="1:14" x14ac:dyDescent="0.3">
      <c r="A4107" t="s">
        <v>5153</v>
      </c>
      <c r="B4107" t="s">
        <v>454</v>
      </c>
      <c r="C4107" s="1">
        <v>45036</v>
      </c>
      <c r="E4107" t="s">
        <v>39</v>
      </c>
      <c r="F4107">
        <v>15</v>
      </c>
      <c r="G4107" s="12">
        <v>735</v>
      </c>
      <c r="H4107" s="12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1050</v>
      </c>
      <c r="N4107" t="b">
        <v>1</v>
      </c>
    </row>
    <row r="4108" spans="1:14" x14ac:dyDescent="0.3">
      <c r="A4108" t="s">
        <v>5154</v>
      </c>
      <c r="B4108" t="s">
        <v>116</v>
      </c>
      <c r="C4108" s="1">
        <v>45136</v>
      </c>
      <c r="E4108" t="s">
        <v>15</v>
      </c>
      <c r="F4108">
        <v>20</v>
      </c>
      <c r="G4108" s="12">
        <v>380</v>
      </c>
      <c r="H4108" s="12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1047</v>
      </c>
      <c r="N4108" t="b">
        <v>1</v>
      </c>
    </row>
    <row r="4109" spans="1:14" x14ac:dyDescent="0.3">
      <c r="A4109" t="s">
        <v>5155</v>
      </c>
      <c r="B4109" t="s">
        <v>636</v>
      </c>
      <c r="C4109" s="1">
        <v>45328</v>
      </c>
      <c r="E4109" t="s">
        <v>39</v>
      </c>
      <c r="F4109">
        <v>28</v>
      </c>
      <c r="G4109" s="12">
        <v>1372</v>
      </c>
      <c r="H4109" s="12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1050</v>
      </c>
      <c r="N4109" t="b">
        <v>1</v>
      </c>
    </row>
    <row r="4110" spans="1:14" x14ac:dyDescent="0.3">
      <c r="A4110" t="s">
        <v>5156</v>
      </c>
      <c r="B4110" t="s">
        <v>596</v>
      </c>
      <c r="C4110" s="1">
        <v>45440</v>
      </c>
      <c r="E4110" t="s">
        <v>32</v>
      </c>
      <c r="F4110">
        <v>18</v>
      </c>
      <c r="G4110" s="12">
        <v>3582</v>
      </c>
      <c r="H4110" s="12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1050</v>
      </c>
      <c r="N4110" t="b">
        <v>1</v>
      </c>
    </row>
    <row r="4111" spans="1:14" x14ac:dyDescent="0.3">
      <c r="A4111" t="s">
        <v>5157</v>
      </c>
      <c r="B4111" t="s">
        <v>152</v>
      </c>
      <c r="C4111" s="1">
        <v>45082</v>
      </c>
      <c r="E4111" t="s">
        <v>32</v>
      </c>
      <c r="F4111">
        <v>41</v>
      </c>
      <c r="G4111" s="12">
        <v>8159</v>
      </c>
      <c r="H4111" s="12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1050</v>
      </c>
      <c r="N4111" t="b">
        <v>1</v>
      </c>
    </row>
    <row r="4112" spans="1:14" x14ac:dyDescent="0.3">
      <c r="A4112" t="s">
        <v>5158</v>
      </c>
      <c r="B4112" t="s">
        <v>280</v>
      </c>
      <c r="C4112" s="1">
        <v>45273</v>
      </c>
      <c r="E4112" t="s">
        <v>32</v>
      </c>
      <c r="F4112">
        <v>15</v>
      </c>
      <c r="G4112" s="12">
        <v>2985</v>
      </c>
      <c r="H4112" s="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1050</v>
      </c>
      <c r="N4112" t="b">
        <v>1</v>
      </c>
    </row>
    <row r="4113" spans="1:14" x14ac:dyDescent="0.3">
      <c r="A4113" t="s">
        <v>5159</v>
      </c>
      <c r="B4113" t="s">
        <v>330</v>
      </c>
      <c r="C4113" s="1">
        <v>45232</v>
      </c>
      <c r="E4113" t="s">
        <v>15</v>
      </c>
      <c r="F4113">
        <v>51</v>
      </c>
      <c r="G4113" s="12">
        <v>969</v>
      </c>
      <c r="H4113" s="12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1047</v>
      </c>
      <c r="N4113" t="b">
        <v>1</v>
      </c>
    </row>
    <row r="4114" spans="1:14" x14ac:dyDescent="0.3">
      <c r="A4114" t="s">
        <v>5160</v>
      </c>
      <c r="B4114" t="s">
        <v>990</v>
      </c>
      <c r="C4114" s="1">
        <v>45580</v>
      </c>
      <c r="E4114" t="s">
        <v>32</v>
      </c>
      <c r="F4114">
        <v>70</v>
      </c>
      <c r="G4114" s="12">
        <v>13930</v>
      </c>
      <c r="H4114" s="12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1047</v>
      </c>
      <c r="N4114" t="b">
        <v>1</v>
      </c>
    </row>
    <row r="4115" spans="1:14" x14ac:dyDescent="0.3">
      <c r="A4115" t="s">
        <v>5161</v>
      </c>
      <c r="B4115" t="s">
        <v>742</v>
      </c>
      <c r="C4115" s="1">
        <v>45338</v>
      </c>
      <c r="E4115" t="s">
        <v>39</v>
      </c>
      <c r="F4115">
        <v>16</v>
      </c>
      <c r="G4115" s="12">
        <v>784</v>
      </c>
      <c r="H4115" s="12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1047</v>
      </c>
      <c r="N4115" t="b">
        <v>1</v>
      </c>
    </row>
    <row r="4116" spans="1:14" x14ac:dyDescent="0.3">
      <c r="A4116" t="s">
        <v>5162</v>
      </c>
      <c r="B4116" t="s">
        <v>316</v>
      </c>
      <c r="C4116" s="1">
        <v>45431</v>
      </c>
      <c r="E4116" t="s">
        <v>39</v>
      </c>
      <c r="F4116">
        <v>26</v>
      </c>
      <c r="G4116" s="12">
        <v>1274</v>
      </c>
      <c r="H4116" s="12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1047</v>
      </c>
      <c r="N4116" t="b">
        <v>1</v>
      </c>
    </row>
    <row r="4117" spans="1:14" x14ac:dyDescent="0.3">
      <c r="A4117" t="s">
        <v>5163</v>
      </c>
      <c r="B4117" t="s">
        <v>1028</v>
      </c>
      <c r="C4117" s="1">
        <v>45606</v>
      </c>
      <c r="E4117" t="s">
        <v>39</v>
      </c>
      <c r="F4117">
        <v>20</v>
      </c>
      <c r="G4117" s="12">
        <v>980</v>
      </c>
      <c r="H4117" s="12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1047</v>
      </c>
      <c r="N4117" t="b">
        <v>0</v>
      </c>
    </row>
    <row r="4118" spans="1:14" x14ac:dyDescent="0.3">
      <c r="A4118" t="s">
        <v>5164</v>
      </c>
      <c r="B4118" t="s">
        <v>540</v>
      </c>
      <c r="C4118" s="1">
        <v>45620</v>
      </c>
      <c r="E4118" t="s">
        <v>32</v>
      </c>
      <c r="F4118">
        <v>19</v>
      </c>
      <c r="G4118" s="12">
        <v>3781</v>
      </c>
      <c r="H4118" s="12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1050</v>
      </c>
      <c r="N4118" t="b">
        <v>1</v>
      </c>
    </row>
    <row r="4119" spans="1:14" x14ac:dyDescent="0.3">
      <c r="A4119" t="s">
        <v>5165</v>
      </c>
      <c r="B4119" t="s">
        <v>446</v>
      </c>
      <c r="C4119" s="1">
        <v>45330</v>
      </c>
      <c r="E4119" t="s">
        <v>15</v>
      </c>
      <c r="F4119">
        <v>27</v>
      </c>
      <c r="G4119" s="12">
        <v>513</v>
      </c>
      <c r="H4119" s="12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1050</v>
      </c>
      <c r="N4119" t="b">
        <v>0</v>
      </c>
    </row>
    <row r="4120" spans="1:14" x14ac:dyDescent="0.3">
      <c r="A4120" t="s">
        <v>5166</v>
      </c>
      <c r="B4120" t="s">
        <v>364</v>
      </c>
      <c r="C4120" s="1">
        <v>45477</v>
      </c>
      <c r="E4120" t="s">
        <v>32</v>
      </c>
      <c r="F4120">
        <v>15</v>
      </c>
      <c r="G4120" s="12">
        <v>2985</v>
      </c>
      <c r="H4120" s="12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1047</v>
      </c>
      <c r="N4120" t="b">
        <v>1</v>
      </c>
    </row>
    <row r="4121" spans="1:14" x14ac:dyDescent="0.3">
      <c r="A4121" t="s">
        <v>5167</v>
      </c>
      <c r="B4121" t="s">
        <v>920</v>
      </c>
      <c r="C4121" s="1">
        <v>45282</v>
      </c>
      <c r="E4121" t="s">
        <v>32</v>
      </c>
      <c r="F4121">
        <v>31</v>
      </c>
      <c r="G4121" s="12">
        <v>6169</v>
      </c>
      <c r="H4121" s="12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1047</v>
      </c>
      <c r="N4121" t="b">
        <v>1</v>
      </c>
    </row>
    <row r="4122" spans="1:14" x14ac:dyDescent="0.3">
      <c r="A4122" t="s">
        <v>5168</v>
      </c>
      <c r="B4122" t="s">
        <v>400</v>
      </c>
      <c r="C4122" s="1">
        <v>45624</v>
      </c>
      <c r="E4122" t="s">
        <v>15</v>
      </c>
      <c r="F4122">
        <v>29</v>
      </c>
      <c r="G4122" s="12">
        <v>551</v>
      </c>
      <c r="H4122" s="1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1050</v>
      </c>
      <c r="N4122" t="b">
        <v>1</v>
      </c>
    </row>
    <row r="4123" spans="1:14" x14ac:dyDescent="0.3">
      <c r="A4123" t="s">
        <v>5169</v>
      </c>
      <c r="B4123" t="s">
        <v>816</v>
      </c>
      <c r="C4123" s="1">
        <v>45576</v>
      </c>
      <c r="E4123" t="s">
        <v>39</v>
      </c>
      <c r="F4123">
        <v>45</v>
      </c>
      <c r="G4123" s="12">
        <v>2205</v>
      </c>
      <c r="H4123" s="12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1047</v>
      </c>
      <c r="N4123" t="b">
        <v>1</v>
      </c>
    </row>
    <row r="4124" spans="1:14" x14ac:dyDescent="0.3">
      <c r="A4124" t="s">
        <v>5170</v>
      </c>
      <c r="B4124" t="s">
        <v>216</v>
      </c>
      <c r="C4124" s="1">
        <v>45649</v>
      </c>
      <c r="E4124" t="s">
        <v>15</v>
      </c>
      <c r="F4124">
        <v>37</v>
      </c>
      <c r="G4124" s="12">
        <v>703</v>
      </c>
      <c r="H4124" s="12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1047</v>
      </c>
      <c r="N4124" t="b">
        <v>0</v>
      </c>
    </row>
    <row r="4125" spans="1:14" x14ac:dyDescent="0.3">
      <c r="A4125" t="s">
        <v>5171</v>
      </c>
      <c r="B4125" t="s">
        <v>266</v>
      </c>
      <c r="C4125" s="1">
        <v>45494</v>
      </c>
      <c r="E4125" t="s">
        <v>39</v>
      </c>
      <c r="F4125">
        <v>1</v>
      </c>
      <c r="G4125" s="12">
        <v>49</v>
      </c>
      <c r="H4125" s="12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1050</v>
      </c>
      <c r="N4125" t="b">
        <v>1</v>
      </c>
    </row>
    <row r="4126" spans="1:14" x14ac:dyDescent="0.3">
      <c r="A4126" t="s">
        <v>5172</v>
      </c>
      <c r="B4126" t="s">
        <v>890</v>
      </c>
      <c r="C4126" s="1">
        <v>45652</v>
      </c>
      <c r="E4126" t="s">
        <v>32</v>
      </c>
      <c r="F4126">
        <v>10</v>
      </c>
      <c r="G4126" s="12">
        <v>1990</v>
      </c>
      <c r="H4126" s="12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1047</v>
      </c>
      <c r="N4126" t="b">
        <v>1</v>
      </c>
    </row>
    <row r="4127" spans="1:14" x14ac:dyDescent="0.3">
      <c r="A4127" t="s">
        <v>5173</v>
      </c>
      <c r="B4127" t="s">
        <v>860</v>
      </c>
      <c r="C4127" s="1">
        <v>45540</v>
      </c>
      <c r="E4127" t="s">
        <v>32</v>
      </c>
      <c r="F4127">
        <v>19</v>
      </c>
      <c r="G4127" s="12">
        <v>3781</v>
      </c>
      <c r="H4127" s="12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1050</v>
      </c>
      <c r="N4127" t="b">
        <v>1</v>
      </c>
    </row>
    <row r="4128" spans="1:14" x14ac:dyDescent="0.3">
      <c r="A4128" t="s">
        <v>5174</v>
      </c>
      <c r="B4128" t="s">
        <v>958</v>
      </c>
      <c r="C4128" s="1">
        <v>45573</v>
      </c>
      <c r="E4128" t="s">
        <v>32</v>
      </c>
      <c r="F4128">
        <v>75</v>
      </c>
      <c r="G4128" s="12">
        <v>14925</v>
      </c>
      <c r="H4128" s="12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1050</v>
      </c>
      <c r="N4128" t="b">
        <v>0</v>
      </c>
    </row>
    <row r="4129" spans="1:14" x14ac:dyDescent="0.3">
      <c r="A4129" t="s">
        <v>5175</v>
      </c>
      <c r="B4129" t="s">
        <v>132</v>
      </c>
      <c r="C4129" s="1">
        <v>45586</v>
      </c>
      <c r="E4129" t="s">
        <v>15</v>
      </c>
      <c r="F4129">
        <v>13</v>
      </c>
      <c r="G4129" s="12">
        <v>247</v>
      </c>
      <c r="H4129" s="12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1050</v>
      </c>
      <c r="N4129" t="b">
        <v>1</v>
      </c>
    </row>
    <row r="4130" spans="1:14" x14ac:dyDescent="0.3">
      <c r="A4130" t="s">
        <v>5176</v>
      </c>
      <c r="B4130" t="s">
        <v>970</v>
      </c>
      <c r="C4130" s="1">
        <v>45643</v>
      </c>
      <c r="D4130" s="1">
        <v>45644</v>
      </c>
      <c r="E4130" t="s">
        <v>39</v>
      </c>
      <c r="F4130">
        <v>4</v>
      </c>
      <c r="G4130" s="12">
        <v>196</v>
      </c>
      <c r="H4130" s="12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1050</v>
      </c>
      <c r="N4130" t="b">
        <v>1</v>
      </c>
    </row>
    <row r="4131" spans="1:14" x14ac:dyDescent="0.3">
      <c r="A4131" t="s">
        <v>5177</v>
      </c>
      <c r="B4131" t="s">
        <v>304</v>
      </c>
      <c r="C4131" s="1">
        <v>45623</v>
      </c>
      <c r="E4131" t="s">
        <v>15</v>
      </c>
      <c r="F4131">
        <v>59</v>
      </c>
      <c r="G4131" s="12">
        <v>1121</v>
      </c>
      <c r="H4131" s="12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1047</v>
      </c>
      <c r="N4131" t="b">
        <v>1</v>
      </c>
    </row>
    <row r="4132" spans="1:14" x14ac:dyDescent="0.3">
      <c r="A4132" t="s">
        <v>5178</v>
      </c>
      <c r="B4132" t="s">
        <v>126</v>
      </c>
      <c r="C4132" s="1">
        <v>45656</v>
      </c>
      <c r="E4132" t="s">
        <v>32</v>
      </c>
      <c r="F4132">
        <v>54</v>
      </c>
      <c r="G4132" s="12">
        <v>10746</v>
      </c>
      <c r="H4132" s="1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1047</v>
      </c>
      <c r="N4132" t="b">
        <v>0</v>
      </c>
    </row>
    <row r="4133" spans="1:14" x14ac:dyDescent="0.3">
      <c r="A4133" t="s">
        <v>5179</v>
      </c>
      <c r="B4133" t="s">
        <v>138</v>
      </c>
      <c r="C4133" s="1">
        <v>45417</v>
      </c>
      <c r="E4133" t="s">
        <v>15</v>
      </c>
      <c r="F4133">
        <v>20</v>
      </c>
      <c r="G4133" s="12">
        <v>380</v>
      </c>
      <c r="H4133" s="12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1050</v>
      </c>
      <c r="N4133" t="b">
        <v>1</v>
      </c>
    </row>
    <row r="4134" spans="1:14" x14ac:dyDescent="0.3">
      <c r="A4134" t="s">
        <v>5180</v>
      </c>
      <c r="B4134" t="s">
        <v>858</v>
      </c>
      <c r="C4134" s="1">
        <v>45421</v>
      </c>
      <c r="E4134" t="s">
        <v>39</v>
      </c>
      <c r="F4134">
        <v>29</v>
      </c>
      <c r="G4134" s="12">
        <v>1421</v>
      </c>
      <c r="H4134" s="12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1047</v>
      </c>
      <c r="N4134" t="b">
        <v>1</v>
      </c>
    </row>
    <row r="4135" spans="1:14" x14ac:dyDescent="0.3">
      <c r="A4135" t="s">
        <v>5181</v>
      </c>
      <c r="B4135" t="s">
        <v>300</v>
      </c>
      <c r="C4135" s="1">
        <v>45567</v>
      </c>
      <c r="E4135" t="s">
        <v>32</v>
      </c>
      <c r="F4135">
        <v>45</v>
      </c>
      <c r="G4135" s="12">
        <v>8955</v>
      </c>
      <c r="H4135" s="12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1047</v>
      </c>
      <c r="N4135" t="b">
        <v>1</v>
      </c>
    </row>
    <row r="4136" spans="1:14" x14ac:dyDescent="0.3">
      <c r="A4136" t="s">
        <v>5182</v>
      </c>
      <c r="B4136" t="s">
        <v>112</v>
      </c>
      <c r="C4136" s="1">
        <v>45614</v>
      </c>
      <c r="E4136" t="s">
        <v>15</v>
      </c>
      <c r="F4136">
        <v>2</v>
      </c>
      <c r="G4136" s="12">
        <v>0</v>
      </c>
      <c r="H4136" s="12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1047</v>
      </c>
      <c r="N4136" t="b">
        <v>1</v>
      </c>
    </row>
    <row r="4137" spans="1:14" x14ac:dyDescent="0.3">
      <c r="A4137" t="s">
        <v>5183</v>
      </c>
      <c r="B4137" t="s">
        <v>694</v>
      </c>
      <c r="C4137" s="1">
        <v>45588</v>
      </c>
      <c r="E4137" t="s">
        <v>32</v>
      </c>
      <c r="F4137">
        <v>49</v>
      </c>
      <c r="G4137" s="12">
        <v>9751</v>
      </c>
      <c r="H4137" s="12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1047</v>
      </c>
      <c r="N4137" t="b">
        <v>0</v>
      </c>
    </row>
    <row r="4138" spans="1:14" x14ac:dyDescent="0.3">
      <c r="A4138" t="s">
        <v>5184</v>
      </c>
      <c r="B4138" t="s">
        <v>674</v>
      </c>
      <c r="C4138" s="1">
        <v>45654</v>
      </c>
      <c r="E4138" t="s">
        <v>15</v>
      </c>
      <c r="F4138">
        <v>25</v>
      </c>
      <c r="G4138" s="12">
        <v>475</v>
      </c>
      <c r="H4138" s="12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1050</v>
      </c>
      <c r="N4138" t="b">
        <v>1</v>
      </c>
    </row>
    <row r="4139" spans="1:14" x14ac:dyDescent="0.3">
      <c r="A4139" t="s">
        <v>5185</v>
      </c>
      <c r="B4139" t="s">
        <v>252</v>
      </c>
      <c r="C4139" s="1">
        <v>45624</v>
      </c>
      <c r="E4139" t="s">
        <v>32</v>
      </c>
      <c r="F4139">
        <v>7</v>
      </c>
      <c r="G4139" s="12">
        <v>1393</v>
      </c>
      <c r="H4139" s="12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1047</v>
      </c>
      <c r="N4139" t="b">
        <v>1</v>
      </c>
    </row>
    <row r="4140" spans="1:14" x14ac:dyDescent="0.3">
      <c r="A4140" t="s">
        <v>5186</v>
      </c>
      <c r="B4140" t="s">
        <v>202</v>
      </c>
      <c r="C4140" s="1">
        <v>45640</v>
      </c>
      <c r="E4140" t="s">
        <v>32</v>
      </c>
      <c r="F4140">
        <v>16</v>
      </c>
      <c r="G4140" s="12">
        <v>3184</v>
      </c>
      <c r="H4140" s="12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1047</v>
      </c>
      <c r="N4140" t="b">
        <v>1</v>
      </c>
    </row>
    <row r="4141" spans="1:14" x14ac:dyDescent="0.3">
      <c r="A4141" t="s">
        <v>5187</v>
      </c>
      <c r="B4141" t="s">
        <v>446</v>
      </c>
      <c r="C4141" s="1">
        <v>45321</v>
      </c>
      <c r="E4141" t="s">
        <v>32</v>
      </c>
      <c r="F4141">
        <v>19</v>
      </c>
      <c r="G4141" s="12">
        <v>3781</v>
      </c>
      <c r="H4141" s="12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1050</v>
      </c>
      <c r="N4141" t="b">
        <v>0</v>
      </c>
    </row>
    <row r="4142" spans="1:14" x14ac:dyDescent="0.3">
      <c r="A4142" t="s">
        <v>5188</v>
      </c>
      <c r="B4142" t="s">
        <v>620</v>
      </c>
      <c r="C4142" s="1">
        <v>45652</v>
      </c>
      <c r="E4142" t="s">
        <v>15</v>
      </c>
      <c r="F4142">
        <v>10</v>
      </c>
      <c r="G4142" s="12">
        <v>190</v>
      </c>
      <c r="H4142" s="1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1050</v>
      </c>
      <c r="N4142" t="b">
        <v>1</v>
      </c>
    </row>
    <row r="4143" spans="1:14" x14ac:dyDescent="0.3">
      <c r="A4143" t="s">
        <v>5189</v>
      </c>
      <c r="B4143" t="s">
        <v>590</v>
      </c>
      <c r="C4143" s="1">
        <v>45571</v>
      </c>
      <c r="E4143" t="s">
        <v>15</v>
      </c>
      <c r="F4143">
        <v>4</v>
      </c>
      <c r="G4143" s="12">
        <v>76</v>
      </c>
      <c r="H4143" s="12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1050</v>
      </c>
      <c r="N4143" t="b">
        <v>1</v>
      </c>
    </row>
    <row r="4144" spans="1:14" x14ac:dyDescent="0.3">
      <c r="A4144" t="s">
        <v>5190</v>
      </c>
      <c r="B4144" t="s">
        <v>246</v>
      </c>
      <c r="C4144" s="1">
        <v>45464</v>
      </c>
      <c r="E4144" t="s">
        <v>32</v>
      </c>
      <c r="F4144">
        <v>61</v>
      </c>
      <c r="G4144" s="12">
        <v>12139</v>
      </c>
      <c r="H4144" s="12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1050</v>
      </c>
      <c r="N4144" t="b">
        <v>1</v>
      </c>
    </row>
    <row r="4145" spans="1:14" x14ac:dyDescent="0.3">
      <c r="A4145" t="s">
        <v>5191</v>
      </c>
      <c r="B4145" t="s">
        <v>226</v>
      </c>
      <c r="C4145" s="1">
        <v>45644</v>
      </c>
      <c r="E4145" t="s">
        <v>39</v>
      </c>
      <c r="F4145">
        <v>9</v>
      </c>
      <c r="G4145" s="12">
        <v>441</v>
      </c>
      <c r="H4145" s="12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1050</v>
      </c>
      <c r="N4145" t="b">
        <v>1</v>
      </c>
    </row>
    <row r="4146" spans="1:14" x14ac:dyDescent="0.3">
      <c r="A4146" t="s">
        <v>5192</v>
      </c>
      <c r="B4146" t="s">
        <v>168</v>
      </c>
      <c r="C4146" s="1">
        <v>45586</v>
      </c>
      <c r="E4146" t="s">
        <v>32</v>
      </c>
      <c r="F4146">
        <v>21</v>
      </c>
      <c r="G4146" s="12">
        <v>4179</v>
      </c>
      <c r="H4146" s="12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1050</v>
      </c>
      <c r="N4146" t="b">
        <v>0</v>
      </c>
    </row>
    <row r="4147" spans="1:14" x14ac:dyDescent="0.3">
      <c r="A4147" t="s">
        <v>5193</v>
      </c>
      <c r="B4147" t="s">
        <v>962</v>
      </c>
      <c r="C4147" s="1">
        <v>45486</v>
      </c>
      <c r="E4147" t="s">
        <v>39</v>
      </c>
      <c r="F4147">
        <v>19</v>
      </c>
      <c r="G4147" s="12">
        <v>931</v>
      </c>
      <c r="H4147" s="12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1050</v>
      </c>
      <c r="N4147" t="b">
        <v>1</v>
      </c>
    </row>
    <row r="4148" spans="1:14" x14ac:dyDescent="0.3">
      <c r="A4148" t="s">
        <v>5194</v>
      </c>
      <c r="B4148" t="s">
        <v>284</v>
      </c>
      <c r="C4148" s="1">
        <v>45609</v>
      </c>
      <c r="E4148" t="s">
        <v>15</v>
      </c>
      <c r="F4148">
        <v>28</v>
      </c>
      <c r="G4148" s="12">
        <v>532</v>
      </c>
      <c r="H4148" s="12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1050</v>
      </c>
      <c r="N4148" t="b">
        <v>1</v>
      </c>
    </row>
    <row r="4149" spans="1:14" x14ac:dyDescent="0.3">
      <c r="A4149" t="s">
        <v>5195</v>
      </c>
      <c r="B4149" t="s">
        <v>290</v>
      </c>
      <c r="C4149" s="1">
        <v>45644</v>
      </c>
      <c r="E4149" t="s">
        <v>32</v>
      </c>
      <c r="F4149">
        <v>93</v>
      </c>
      <c r="G4149" s="12">
        <v>18507</v>
      </c>
      <c r="H4149" s="12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1050</v>
      </c>
      <c r="N4149" t="b">
        <v>1</v>
      </c>
    </row>
    <row r="4150" spans="1:14" x14ac:dyDescent="0.3">
      <c r="A4150" t="s">
        <v>5196</v>
      </c>
      <c r="B4150" t="s">
        <v>10</v>
      </c>
      <c r="C4150" s="1">
        <v>45595</v>
      </c>
      <c r="E4150" t="s">
        <v>39</v>
      </c>
      <c r="F4150">
        <v>66</v>
      </c>
      <c r="G4150" s="12">
        <v>0</v>
      </c>
      <c r="H4150" s="12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1047</v>
      </c>
      <c r="N4150" t="b">
        <v>1</v>
      </c>
    </row>
    <row r="4151" spans="1:14" x14ac:dyDescent="0.3">
      <c r="A4151" t="s">
        <v>5197</v>
      </c>
      <c r="B4151" t="s">
        <v>794</v>
      </c>
      <c r="C4151" s="1">
        <v>45510</v>
      </c>
      <c r="E4151" t="s">
        <v>32</v>
      </c>
      <c r="F4151">
        <v>31</v>
      </c>
      <c r="G4151" s="12">
        <v>6169</v>
      </c>
      <c r="H4151" s="12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1047</v>
      </c>
      <c r="N4151" t="b">
        <v>1</v>
      </c>
    </row>
    <row r="4152" spans="1:14" x14ac:dyDescent="0.3">
      <c r="A4152" t="s">
        <v>5198</v>
      </c>
      <c r="B4152" t="s">
        <v>620</v>
      </c>
      <c r="C4152" s="1">
        <v>45513</v>
      </c>
      <c r="E4152" t="s">
        <v>32</v>
      </c>
      <c r="F4152">
        <v>12</v>
      </c>
      <c r="G4152" s="12">
        <v>2388</v>
      </c>
      <c r="H4152" s="1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1047</v>
      </c>
      <c r="N4152" t="b">
        <v>0</v>
      </c>
    </row>
    <row r="4153" spans="1:14" x14ac:dyDescent="0.3">
      <c r="A4153" t="s">
        <v>5199</v>
      </c>
      <c r="B4153" t="s">
        <v>1020</v>
      </c>
      <c r="C4153" s="1">
        <v>45642</v>
      </c>
      <c r="E4153" t="s">
        <v>15</v>
      </c>
      <c r="F4153">
        <v>20</v>
      </c>
      <c r="G4153" s="12">
        <v>380</v>
      </c>
      <c r="H4153" s="12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1047</v>
      </c>
      <c r="N4153" t="b">
        <v>1</v>
      </c>
    </row>
    <row r="4154" spans="1:14" x14ac:dyDescent="0.3">
      <c r="A4154" t="s">
        <v>5200</v>
      </c>
      <c r="B4154" t="s">
        <v>758</v>
      </c>
      <c r="C4154" s="1">
        <v>45422</v>
      </c>
      <c r="E4154" t="s">
        <v>15</v>
      </c>
      <c r="F4154">
        <v>156</v>
      </c>
      <c r="G4154" s="12">
        <v>0</v>
      </c>
      <c r="H4154" s="12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1047</v>
      </c>
      <c r="N4154" t="b">
        <v>1</v>
      </c>
    </row>
    <row r="4155" spans="1:14" x14ac:dyDescent="0.3">
      <c r="A4155" t="s">
        <v>5201</v>
      </c>
      <c r="B4155" t="s">
        <v>792</v>
      </c>
      <c r="C4155" s="1">
        <v>45551</v>
      </c>
      <c r="E4155" t="s">
        <v>32</v>
      </c>
      <c r="F4155">
        <v>16</v>
      </c>
      <c r="G4155" s="12">
        <v>3184</v>
      </c>
      <c r="H4155" s="12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1047</v>
      </c>
      <c r="N4155" t="b">
        <v>1</v>
      </c>
    </row>
    <row r="4156" spans="1:14" x14ac:dyDescent="0.3">
      <c r="A4156" t="s">
        <v>5202</v>
      </c>
      <c r="B4156" t="s">
        <v>730</v>
      </c>
      <c r="C4156" s="1">
        <v>45508</v>
      </c>
      <c r="E4156" t="s">
        <v>15</v>
      </c>
      <c r="F4156">
        <v>41</v>
      </c>
      <c r="G4156" s="12">
        <v>779</v>
      </c>
      <c r="H4156" s="12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1047</v>
      </c>
      <c r="N4156" t="b">
        <v>1</v>
      </c>
    </row>
    <row r="4157" spans="1:14" x14ac:dyDescent="0.3">
      <c r="A4157" t="s">
        <v>5203</v>
      </c>
      <c r="B4157" t="s">
        <v>312</v>
      </c>
      <c r="C4157" s="1">
        <v>45473</v>
      </c>
      <c r="E4157" t="s">
        <v>32</v>
      </c>
      <c r="F4157">
        <v>13</v>
      </c>
      <c r="G4157" s="12">
        <v>0</v>
      </c>
      <c r="H4157" s="12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1047</v>
      </c>
      <c r="N4157" t="b">
        <v>1</v>
      </c>
    </row>
    <row r="4158" spans="1:14" x14ac:dyDescent="0.3">
      <c r="A4158" t="s">
        <v>5204</v>
      </c>
      <c r="B4158" t="s">
        <v>696</v>
      </c>
      <c r="C4158" s="1">
        <v>45532</v>
      </c>
      <c r="E4158" t="s">
        <v>32</v>
      </c>
      <c r="F4158">
        <v>33</v>
      </c>
      <c r="G4158" s="12">
        <v>6567</v>
      </c>
      <c r="H4158" s="12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1047</v>
      </c>
      <c r="N4158" t="b">
        <v>1</v>
      </c>
    </row>
    <row r="4159" spans="1:14" x14ac:dyDescent="0.3">
      <c r="A4159" t="s">
        <v>5205</v>
      </c>
      <c r="B4159" t="s">
        <v>878</v>
      </c>
      <c r="C4159" s="1">
        <v>45140</v>
      </c>
      <c r="E4159" t="s">
        <v>39</v>
      </c>
      <c r="F4159">
        <v>30</v>
      </c>
      <c r="G4159" s="12">
        <v>1470</v>
      </c>
      <c r="H4159" s="12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1047</v>
      </c>
      <c r="N4159" t="b">
        <v>1</v>
      </c>
    </row>
    <row r="4160" spans="1:14" x14ac:dyDescent="0.3">
      <c r="A4160" t="s">
        <v>5206</v>
      </c>
      <c r="B4160" t="s">
        <v>378</v>
      </c>
      <c r="C4160" s="1">
        <v>45277</v>
      </c>
      <c r="E4160" t="s">
        <v>39</v>
      </c>
      <c r="F4160">
        <v>70</v>
      </c>
      <c r="G4160" s="12">
        <v>3430</v>
      </c>
      <c r="H4160" s="12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1047</v>
      </c>
      <c r="N4160" t="b">
        <v>1</v>
      </c>
    </row>
    <row r="4161" spans="1:14" x14ac:dyDescent="0.3">
      <c r="A4161" t="s">
        <v>5207</v>
      </c>
      <c r="B4161" t="s">
        <v>180</v>
      </c>
      <c r="C4161" s="1">
        <v>45638</v>
      </c>
      <c r="D4161" s="1">
        <v>45641</v>
      </c>
      <c r="E4161" t="s">
        <v>32</v>
      </c>
      <c r="F4161">
        <v>26</v>
      </c>
      <c r="G4161" s="12">
        <v>5174</v>
      </c>
      <c r="H4161" s="12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1050</v>
      </c>
      <c r="N4161" t="b">
        <v>1</v>
      </c>
    </row>
    <row r="4162" spans="1:14" x14ac:dyDescent="0.3">
      <c r="A4162" t="s">
        <v>5208</v>
      </c>
      <c r="B4162" t="s">
        <v>362</v>
      </c>
      <c r="C4162" s="1">
        <v>45395</v>
      </c>
      <c r="E4162" t="s">
        <v>39</v>
      </c>
      <c r="F4162">
        <v>73</v>
      </c>
      <c r="G4162" s="12">
        <v>0</v>
      </c>
      <c r="H4162" s="1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1050</v>
      </c>
      <c r="N4162" t="b">
        <v>1</v>
      </c>
    </row>
    <row r="4163" spans="1:14" x14ac:dyDescent="0.3">
      <c r="A4163" t="s">
        <v>5209</v>
      </c>
      <c r="B4163" t="s">
        <v>484</v>
      </c>
      <c r="C4163" s="1">
        <v>45579</v>
      </c>
      <c r="E4163" t="s">
        <v>32</v>
      </c>
      <c r="F4163">
        <v>5</v>
      </c>
      <c r="G4163" s="12">
        <v>995</v>
      </c>
      <c r="H4163" s="12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1047</v>
      </c>
      <c r="N4163" t="b">
        <v>1</v>
      </c>
    </row>
    <row r="4164" spans="1:14" x14ac:dyDescent="0.3">
      <c r="A4164" t="s">
        <v>5210</v>
      </c>
      <c r="B4164" t="s">
        <v>240</v>
      </c>
      <c r="C4164" s="1">
        <v>45399</v>
      </c>
      <c r="E4164" t="s">
        <v>39</v>
      </c>
      <c r="F4164">
        <v>23</v>
      </c>
      <c r="G4164" s="12">
        <v>1127</v>
      </c>
      <c r="H4164" s="12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1047</v>
      </c>
      <c r="N4164" t="b">
        <v>0</v>
      </c>
    </row>
    <row r="4165" spans="1:14" x14ac:dyDescent="0.3">
      <c r="A4165" t="s">
        <v>5211</v>
      </c>
      <c r="B4165" t="s">
        <v>920</v>
      </c>
      <c r="C4165" s="1">
        <v>45552</v>
      </c>
      <c r="E4165" t="s">
        <v>32</v>
      </c>
      <c r="F4165">
        <v>21</v>
      </c>
      <c r="G4165" s="12">
        <v>4179</v>
      </c>
      <c r="H4165" s="12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1047</v>
      </c>
      <c r="N4165" t="b">
        <v>1</v>
      </c>
    </row>
    <row r="4166" spans="1:14" x14ac:dyDescent="0.3">
      <c r="A4166" t="s">
        <v>5212</v>
      </c>
      <c r="B4166" t="s">
        <v>530</v>
      </c>
      <c r="C4166" s="1">
        <v>45619</v>
      </c>
      <c r="E4166" t="s">
        <v>39</v>
      </c>
      <c r="F4166">
        <v>18</v>
      </c>
      <c r="G4166" s="12">
        <v>882</v>
      </c>
      <c r="H4166" s="12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1050</v>
      </c>
      <c r="N4166" t="b">
        <v>1</v>
      </c>
    </row>
    <row r="4167" spans="1:14" x14ac:dyDescent="0.3">
      <c r="A4167" t="s">
        <v>5213</v>
      </c>
      <c r="B4167" t="s">
        <v>78</v>
      </c>
      <c r="C4167" s="1">
        <v>45250</v>
      </c>
      <c r="D4167" s="1">
        <v>45471</v>
      </c>
      <c r="E4167" t="s">
        <v>15</v>
      </c>
      <c r="F4167">
        <v>26</v>
      </c>
      <c r="G4167" s="12">
        <v>494</v>
      </c>
      <c r="H4167" s="12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1050</v>
      </c>
      <c r="N4167" t="b">
        <v>1</v>
      </c>
    </row>
    <row r="4168" spans="1:14" x14ac:dyDescent="0.3">
      <c r="A4168" t="s">
        <v>5214</v>
      </c>
      <c r="B4168" t="s">
        <v>192</v>
      </c>
      <c r="C4168" s="1">
        <v>45374</v>
      </c>
      <c r="E4168" t="s">
        <v>15</v>
      </c>
      <c r="F4168">
        <v>9</v>
      </c>
      <c r="G4168" s="12">
        <v>0</v>
      </c>
      <c r="H4168" s="12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1050</v>
      </c>
      <c r="N4168" t="b">
        <v>1</v>
      </c>
    </row>
    <row r="4169" spans="1:14" x14ac:dyDescent="0.3">
      <c r="A4169" t="s">
        <v>5215</v>
      </c>
      <c r="B4169" t="s">
        <v>566</v>
      </c>
      <c r="C4169" s="1">
        <v>45586</v>
      </c>
      <c r="E4169" t="s">
        <v>15</v>
      </c>
      <c r="F4169">
        <v>11</v>
      </c>
      <c r="G4169" s="12">
        <v>209</v>
      </c>
      <c r="H4169" s="12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1050</v>
      </c>
      <c r="N4169" t="b">
        <v>1</v>
      </c>
    </row>
    <row r="4170" spans="1:14" x14ac:dyDescent="0.3">
      <c r="A4170" t="s">
        <v>5216</v>
      </c>
      <c r="B4170" t="s">
        <v>142</v>
      </c>
      <c r="C4170" s="1">
        <v>45415</v>
      </c>
      <c r="D4170" s="1">
        <v>45487</v>
      </c>
      <c r="E4170" t="s">
        <v>15</v>
      </c>
      <c r="F4170">
        <v>8</v>
      </c>
      <c r="G4170" s="12">
        <v>152</v>
      </c>
      <c r="H4170" s="12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1050</v>
      </c>
      <c r="N4170" t="b">
        <v>1</v>
      </c>
    </row>
    <row r="4171" spans="1:14" x14ac:dyDescent="0.3">
      <c r="A4171" t="s">
        <v>5217</v>
      </c>
      <c r="B4171" t="s">
        <v>210</v>
      </c>
      <c r="C4171" s="1">
        <v>45498</v>
      </c>
      <c r="E4171" t="s">
        <v>15</v>
      </c>
      <c r="F4171">
        <v>33</v>
      </c>
      <c r="G4171" s="12">
        <v>627</v>
      </c>
      <c r="H4171" s="12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1050</v>
      </c>
      <c r="N4171" t="b">
        <v>1</v>
      </c>
    </row>
    <row r="4172" spans="1:14" x14ac:dyDescent="0.3">
      <c r="A4172" t="s">
        <v>5218</v>
      </c>
      <c r="B4172" t="s">
        <v>834</v>
      </c>
      <c r="C4172" s="1">
        <v>45597</v>
      </c>
      <c r="E4172" t="s">
        <v>15</v>
      </c>
      <c r="F4172">
        <v>22</v>
      </c>
      <c r="G4172" s="12">
        <v>418</v>
      </c>
      <c r="H4172" s="1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1050</v>
      </c>
      <c r="N4172" t="b">
        <v>1</v>
      </c>
    </row>
    <row r="4173" spans="1:14" x14ac:dyDescent="0.3">
      <c r="A4173" t="s">
        <v>5219</v>
      </c>
      <c r="B4173" t="s">
        <v>386</v>
      </c>
      <c r="C4173" s="1">
        <v>45607</v>
      </c>
      <c r="E4173" t="s">
        <v>32</v>
      </c>
      <c r="F4173">
        <v>48</v>
      </c>
      <c r="G4173" s="12">
        <v>9552</v>
      </c>
      <c r="H4173" s="12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1047</v>
      </c>
      <c r="N4173" t="b">
        <v>1</v>
      </c>
    </row>
    <row r="4174" spans="1:14" x14ac:dyDescent="0.3">
      <c r="A4174" t="s">
        <v>5220</v>
      </c>
      <c r="B4174" t="s">
        <v>490</v>
      </c>
      <c r="C4174" s="1">
        <v>45566</v>
      </c>
      <c r="E4174" t="s">
        <v>32</v>
      </c>
      <c r="F4174">
        <v>27</v>
      </c>
      <c r="G4174" s="12">
        <v>5373</v>
      </c>
      <c r="H4174" s="12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1050</v>
      </c>
      <c r="N4174" t="b">
        <v>0</v>
      </c>
    </row>
    <row r="4175" spans="1:14" x14ac:dyDescent="0.3">
      <c r="A4175" t="s">
        <v>5221</v>
      </c>
      <c r="B4175" t="s">
        <v>888</v>
      </c>
      <c r="C4175" s="1">
        <v>45461</v>
      </c>
      <c r="E4175" t="s">
        <v>39</v>
      </c>
      <c r="F4175">
        <v>8</v>
      </c>
      <c r="G4175" s="12">
        <v>392</v>
      </c>
      <c r="H4175" s="12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1050</v>
      </c>
      <c r="N4175" t="b">
        <v>1</v>
      </c>
    </row>
    <row r="4176" spans="1:14" x14ac:dyDescent="0.3">
      <c r="A4176" t="s">
        <v>5222</v>
      </c>
      <c r="B4176" t="s">
        <v>194</v>
      </c>
      <c r="C4176" s="1">
        <v>45599</v>
      </c>
      <c r="E4176" t="s">
        <v>15</v>
      </c>
      <c r="F4176">
        <v>14</v>
      </c>
      <c r="G4176" s="12">
        <v>266</v>
      </c>
      <c r="H4176" s="12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1050</v>
      </c>
      <c r="N4176" t="b">
        <v>1</v>
      </c>
    </row>
    <row r="4177" spans="1:14" x14ac:dyDescent="0.3">
      <c r="A4177" t="s">
        <v>5223</v>
      </c>
      <c r="B4177" t="s">
        <v>956</v>
      </c>
      <c r="C4177" s="1">
        <v>45286</v>
      </c>
      <c r="D4177" s="1">
        <v>45406</v>
      </c>
      <c r="E4177" t="s">
        <v>15</v>
      </c>
      <c r="F4177">
        <v>31</v>
      </c>
      <c r="G4177" s="12">
        <v>589</v>
      </c>
      <c r="H4177" s="12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1050</v>
      </c>
      <c r="N4177" t="b">
        <v>1</v>
      </c>
    </row>
    <row r="4178" spans="1:14" x14ac:dyDescent="0.3">
      <c r="A4178" t="s">
        <v>5224</v>
      </c>
      <c r="B4178" t="s">
        <v>422</v>
      </c>
      <c r="C4178" s="1">
        <v>45333</v>
      </c>
      <c r="D4178" s="1">
        <v>45593</v>
      </c>
      <c r="E4178" t="s">
        <v>32</v>
      </c>
      <c r="F4178">
        <v>40</v>
      </c>
      <c r="G4178" s="12">
        <v>7960</v>
      </c>
      <c r="H4178" s="12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1047</v>
      </c>
      <c r="N4178" t="b">
        <v>1</v>
      </c>
    </row>
    <row r="4179" spans="1:14" x14ac:dyDescent="0.3">
      <c r="A4179" t="s">
        <v>5225</v>
      </c>
      <c r="B4179" t="s">
        <v>142</v>
      </c>
      <c r="C4179" s="1">
        <v>45395</v>
      </c>
      <c r="E4179" t="s">
        <v>32</v>
      </c>
      <c r="F4179">
        <v>19</v>
      </c>
      <c r="G4179" s="12">
        <v>3781</v>
      </c>
      <c r="H4179" s="12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1050</v>
      </c>
      <c r="N4179" t="b">
        <v>1</v>
      </c>
    </row>
    <row r="4180" spans="1:14" x14ac:dyDescent="0.3">
      <c r="A4180" t="s">
        <v>5226</v>
      </c>
      <c r="B4180" t="s">
        <v>564</v>
      </c>
      <c r="C4180" s="1">
        <v>45657</v>
      </c>
      <c r="D4180" s="1">
        <v>45657</v>
      </c>
      <c r="E4180" t="s">
        <v>32</v>
      </c>
      <c r="F4180">
        <v>13</v>
      </c>
      <c r="G4180" s="12">
        <v>2587</v>
      </c>
      <c r="H4180" s="12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1050</v>
      </c>
      <c r="N4180" t="b">
        <v>1</v>
      </c>
    </row>
    <row r="4181" spans="1:14" x14ac:dyDescent="0.3">
      <c r="A4181" t="s">
        <v>5227</v>
      </c>
      <c r="B4181" t="s">
        <v>912</v>
      </c>
      <c r="C4181" s="1">
        <v>45518</v>
      </c>
      <c r="E4181" t="s">
        <v>39</v>
      </c>
      <c r="F4181">
        <v>79</v>
      </c>
      <c r="G4181" s="12">
        <v>3871</v>
      </c>
      <c r="H4181" s="12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1050</v>
      </c>
      <c r="N4181" t="b">
        <v>1</v>
      </c>
    </row>
    <row r="4182" spans="1:14" x14ac:dyDescent="0.3">
      <c r="A4182" t="s">
        <v>5228</v>
      </c>
      <c r="B4182" t="s">
        <v>47</v>
      </c>
      <c r="C4182" s="1">
        <v>45568</v>
      </c>
      <c r="E4182" t="s">
        <v>32</v>
      </c>
      <c r="F4182">
        <v>26</v>
      </c>
      <c r="G4182" s="12">
        <v>5174</v>
      </c>
      <c r="H4182" s="1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1047</v>
      </c>
      <c r="N4182" t="b">
        <v>1</v>
      </c>
    </row>
    <row r="4183" spans="1:14" x14ac:dyDescent="0.3">
      <c r="A4183" t="s">
        <v>5229</v>
      </c>
      <c r="B4183" t="s">
        <v>276</v>
      </c>
      <c r="C4183" s="1">
        <v>45245</v>
      </c>
      <c r="E4183" t="s">
        <v>39</v>
      </c>
      <c r="F4183">
        <v>23</v>
      </c>
      <c r="G4183" s="12">
        <v>1127</v>
      </c>
      <c r="H4183" s="12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1047</v>
      </c>
      <c r="N4183" t="b">
        <v>1</v>
      </c>
    </row>
    <row r="4184" spans="1:14" x14ac:dyDescent="0.3">
      <c r="A4184" t="s">
        <v>5230</v>
      </c>
      <c r="B4184" t="s">
        <v>804</v>
      </c>
      <c r="C4184" s="1">
        <v>45621</v>
      </c>
      <c r="D4184" s="1">
        <v>45657</v>
      </c>
      <c r="E4184" t="s">
        <v>32</v>
      </c>
      <c r="F4184">
        <v>26</v>
      </c>
      <c r="G4184" s="12">
        <v>5174</v>
      </c>
      <c r="H4184" s="12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1047</v>
      </c>
      <c r="N4184" t="b">
        <v>1</v>
      </c>
    </row>
    <row r="4185" spans="1:14" x14ac:dyDescent="0.3">
      <c r="A4185" t="s">
        <v>5231</v>
      </c>
      <c r="B4185" t="s">
        <v>672</v>
      </c>
      <c r="C4185" s="1">
        <v>45654</v>
      </c>
      <c r="E4185" t="s">
        <v>32</v>
      </c>
      <c r="F4185">
        <v>50</v>
      </c>
      <c r="G4185" s="12">
        <v>9950</v>
      </c>
      <c r="H4185" s="12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1047</v>
      </c>
      <c r="N4185" t="b">
        <v>1</v>
      </c>
    </row>
    <row r="4186" spans="1:14" x14ac:dyDescent="0.3">
      <c r="A4186" t="s">
        <v>5232</v>
      </c>
      <c r="B4186" t="s">
        <v>182</v>
      </c>
      <c r="C4186" s="1">
        <v>45389</v>
      </c>
      <c r="E4186" t="s">
        <v>39</v>
      </c>
      <c r="F4186">
        <v>44</v>
      </c>
      <c r="G4186" s="12">
        <v>0</v>
      </c>
      <c r="H4186" s="12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1050</v>
      </c>
      <c r="N4186" t="b">
        <v>1</v>
      </c>
    </row>
    <row r="4187" spans="1:14" x14ac:dyDescent="0.3">
      <c r="A4187" t="s">
        <v>5233</v>
      </c>
      <c r="B4187" t="s">
        <v>610</v>
      </c>
      <c r="C4187" s="1">
        <v>45580</v>
      </c>
      <c r="E4187" t="s">
        <v>15</v>
      </c>
      <c r="F4187">
        <v>25</v>
      </c>
      <c r="G4187" s="12">
        <v>0</v>
      </c>
      <c r="H4187" s="12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1050</v>
      </c>
      <c r="N4187" t="b">
        <v>1</v>
      </c>
    </row>
    <row r="4188" spans="1:14" x14ac:dyDescent="0.3">
      <c r="A4188" t="s">
        <v>5234</v>
      </c>
      <c r="B4188" t="s">
        <v>228</v>
      </c>
      <c r="C4188" s="1">
        <v>45315</v>
      </c>
      <c r="E4188" t="s">
        <v>15</v>
      </c>
      <c r="F4188">
        <v>25</v>
      </c>
      <c r="G4188" s="12">
        <v>0</v>
      </c>
      <c r="H4188" s="12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1050</v>
      </c>
      <c r="N4188" t="b">
        <v>1</v>
      </c>
    </row>
    <row r="4189" spans="1:14" x14ac:dyDescent="0.3">
      <c r="A4189" t="s">
        <v>5235</v>
      </c>
      <c r="B4189" t="s">
        <v>768</v>
      </c>
      <c r="C4189" s="1">
        <v>45489</v>
      </c>
      <c r="E4189" t="s">
        <v>39</v>
      </c>
      <c r="F4189">
        <v>35</v>
      </c>
      <c r="G4189" s="12">
        <v>0</v>
      </c>
      <c r="H4189" s="12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1050</v>
      </c>
      <c r="N4189" t="b">
        <v>1</v>
      </c>
    </row>
    <row r="4190" spans="1:14" x14ac:dyDescent="0.3">
      <c r="A4190" t="s">
        <v>5236</v>
      </c>
      <c r="B4190" t="s">
        <v>630</v>
      </c>
      <c r="C4190" s="1">
        <v>45435</v>
      </c>
      <c r="E4190" t="s">
        <v>32</v>
      </c>
      <c r="F4190">
        <v>4</v>
      </c>
      <c r="G4190" s="12">
        <v>0</v>
      </c>
      <c r="H4190" s="12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1050</v>
      </c>
      <c r="N4190" t="b">
        <v>1</v>
      </c>
    </row>
    <row r="4191" spans="1:14" x14ac:dyDescent="0.3">
      <c r="A4191" t="s">
        <v>5237</v>
      </c>
      <c r="B4191" t="s">
        <v>714</v>
      </c>
      <c r="C4191" s="1">
        <v>45634</v>
      </c>
      <c r="E4191" t="s">
        <v>32</v>
      </c>
      <c r="F4191">
        <v>56</v>
      </c>
      <c r="G4191" s="12">
        <v>11144</v>
      </c>
      <c r="H4191" s="12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1050</v>
      </c>
      <c r="N4191" t="b">
        <v>1</v>
      </c>
    </row>
    <row r="4192" spans="1:14" x14ac:dyDescent="0.3">
      <c r="A4192" t="s">
        <v>5238</v>
      </c>
      <c r="B4192" t="s">
        <v>128</v>
      </c>
      <c r="C4192" s="1">
        <v>45375</v>
      </c>
      <c r="E4192" t="s">
        <v>39</v>
      </c>
      <c r="F4192">
        <v>13</v>
      </c>
      <c r="G4192" s="12">
        <v>637</v>
      </c>
      <c r="H4192" s="1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1047</v>
      </c>
      <c r="N4192" t="b">
        <v>1</v>
      </c>
    </row>
    <row r="4193" spans="1:14" x14ac:dyDescent="0.3">
      <c r="A4193" t="s">
        <v>5239</v>
      </c>
      <c r="B4193" t="s">
        <v>940</v>
      </c>
      <c r="C4193" s="1">
        <v>45472</v>
      </c>
      <c r="E4193" t="s">
        <v>39</v>
      </c>
      <c r="F4193">
        <v>35</v>
      </c>
      <c r="G4193" s="12">
        <v>1715</v>
      </c>
      <c r="H4193" s="12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1047</v>
      </c>
      <c r="N4193" t="b">
        <v>1</v>
      </c>
    </row>
    <row r="4194" spans="1:14" x14ac:dyDescent="0.3">
      <c r="A4194" t="s">
        <v>5240</v>
      </c>
      <c r="B4194" t="s">
        <v>908</v>
      </c>
      <c r="C4194" s="1">
        <v>45290</v>
      </c>
      <c r="E4194" t="s">
        <v>39</v>
      </c>
      <c r="F4194">
        <v>26</v>
      </c>
      <c r="G4194" s="12">
        <v>1274</v>
      </c>
      <c r="H4194" s="12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1050</v>
      </c>
      <c r="N4194" t="b">
        <v>1</v>
      </c>
    </row>
    <row r="4195" spans="1:14" x14ac:dyDescent="0.3">
      <c r="A4195" t="s">
        <v>5241</v>
      </c>
      <c r="B4195" t="s">
        <v>806</v>
      </c>
      <c r="C4195" s="1">
        <v>45657</v>
      </c>
      <c r="E4195" t="s">
        <v>32</v>
      </c>
      <c r="F4195">
        <v>43</v>
      </c>
      <c r="G4195" s="12">
        <v>8557</v>
      </c>
      <c r="H4195" s="12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1050</v>
      </c>
      <c r="N4195" t="b">
        <v>1</v>
      </c>
    </row>
    <row r="4196" spans="1:14" x14ac:dyDescent="0.3">
      <c r="A4196" t="s">
        <v>5242</v>
      </c>
      <c r="B4196" t="s">
        <v>534</v>
      </c>
      <c r="C4196" s="1">
        <v>45414</v>
      </c>
      <c r="E4196" t="s">
        <v>39</v>
      </c>
      <c r="F4196">
        <v>19</v>
      </c>
      <c r="G4196" s="12">
        <v>931</v>
      </c>
      <c r="H4196" s="12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1047</v>
      </c>
      <c r="N4196" t="b">
        <v>1</v>
      </c>
    </row>
    <row r="4197" spans="1:14" x14ac:dyDescent="0.3">
      <c r="A4197" t="s">
        <v>5243</v>
      </c>
      <c r="B4197" t="s">
        <v>736</v>
      </c>
      <c r="C4197" s="1">
        <v>45274</v>
      </c>
      <c r="E4197" t="s">
        <v>15</v>
      </c>
      <c r="F4197">
        <v>19</v>
      </c>
      <c r="G4197" s="12">
        <v>0</v>
      </c>
      <c r="H4197" s="12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1047</v>
      </c>
      <c r="N4197" t="b">
        <v>1</v>
      </c>
    </row>
    <row r="4198" spans="1:14" x14ac:dyDescent="0.3">
      <c r="A4198" t="s">
        <v>5244</v>
      </c>
      <c r="B4198" t="s">
        <v>266</v>
      </c>
      <c r="C4198" s="1">
        <v>45587</v>
      </c>
      <c r="E4198" t="s">
        <v>15</v>
      </c>
      <c r="F4198">
        <v>22</v>
      </c>
      <c r="G4198" s="12">
        <v>0</v>
      </c>
      <c r="H4198" s="12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1047</v>
      </c>
      <c r="N4198" t="b">
        <v>1</v>
      </c>
    </row>
    <row r="4199" spans="1:14" x14ac:dyDescent="0.3">
      <c r="A4199" t="s">
        <v>5245</v>
      </c>
      <c r="B4199" t="s">
        <v>508</v>
      </c>
      <c r="C4199" s="1">
        <v>45440</v>
      </c>
      <c r="E4199" t="s">
        <v>32</v>
      </c>
      <c r="F4199">
        <v>67</v>
      </c>
      <c r="G4199" s="12">
        <v>13333</v>
      </c>
      <c r="H4199" s="12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1047</v>
      </c>
      <c r="N4199" t="b">
        <v>1</v>
      </c>
    </row>
    <row r="4200" spans="1:14" x14ac:dyDescent="0.3">
      <c r="A4200" t="s">
        <v>5246</v>
      </c>
      <c r="B4200" t="s">
        <v>134</v>
      </c>
      <c r="C4200" s="1">
        <v>45583</v>
      </c>
      <c r="E4200" t="s">
        <v>39</v>
      </c>
      <c r="F4200">
        <v>22</v>
      </c>
      <c r="G4200" s="12">
        <v>1078</v>
      </c>
      <c r="H4200" s="12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1047</v>
      </c>
      <c r="N4200" t="b">
        <v>1</v>
      </c>
    </row>
    <row r="4201" spans="1:14" x14ac:dyDescent="0.3">
      <c r="A4201" t="s">
        <v>5247</v>
      </c>
      <c r="B4201" t="s">
        <v>256</v>
      </c>
      <c r="C4201" s="1">
        <v>45569</v>
      </c>
      <c r="D4201" s="1">
        <v>45596</v>
      </c>
      <c r="E4201" t="s">
        <v>15</v>
      </c>
      <c r="F4201">
        <v>3</v>
      </c>
      <c r="G4201" s="12">
        <v>0</v>
      </c>
      <c r="H4201" s="12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1050</v>
      </c>
      <c r="N4201" t="b">
        <v>1</v>
      </c>
    </row>
    <row r="4202" spans="1:14" x14ac:dyDescent="0.3">
      <c r="A4202" t="s">
        <v>5248</v>
      </c>
      <c r="B4202" t="s">
        <v>128</v>
      </c>
      <c r="C4202" s="1">
        <v>45199</v>
      </c>
      <c r="E4202" t="s">
        <v>39</v>
      </c>
      <c r="F4202">
        <v>13</v>
      </c>
      <c r="G4202" s="12">
        <v>0</v>
      </c>
      <c r="H4202" s="1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1047</v>
      </c>
      <c r="N4202" t="b">
        <v>1</v>
      </c>
    </row>
    <row r="4203" spans="1:14" x14ac:dyDescent="0.3">
      <c r="A4203" t="s">
        <v>5249</v>
      </c>
      <c r="B4203" t="s">
        <v>970</v>
      </c>
      <c r="C4203" s="1">
        <v>45494</v>
      </c>
      <c r="E4203" t="s">
        <v>39</v>
      </c>
      <c r="F4203">
        <v>7</v>
      </c>
      <c r="G4203" s="12">
        <v>343</v>
      </c>
      <c r="H4203" s="12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1047</v>
      </c>
      <c r="N4203" t="b">
        <v>0</v>
      </c>
    </row>
    <row r="4204" spans="1:14" x14ac:dyDescent="0.3">
      <c r="A4204" t="s">
        <v>5250</v>
      </c>
      <c r="B4204" t="s">
        <v>316</v>
      </c>
      <c r="C4204" s="1">
        <v>45543</v>
      </c>
      <c r="E4204" t="s">
        <v>15</v>
      </c>
      <c r="F4204">
        <v>14</v>
      </c>
      <c r="G4204" s="12">
        <v>266</v>
      </c>
      <c r="H4204" s="12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1047</v>
      </c>
      <c r="N4204" t="b">
        <v>1</v>
      </c>
    </row>
    <row r="4205" spans="1:14" x14ac:dyDescent="0.3">
      <c r="A4205" t="s">
        <v>5251</v>
      </c>
      <c r="B4205" t="s">
        <v>378</v>
      </c>
      <c r="C4205" s="1">
        <v>45644</v>
      </c>
      <c r="E4205" t="s">
        <v>15</v>
      </c>
      <c r="F4205">
        <v>70</v>
      </c>
      <c r="G4205" s="12">
        <v>1330</v>
      </c>
      <c r="H4205" s="12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1047</v>
      </c>
      <c r="N4205" t="b">
        <v>1</v>
      </c>
    </row>
    <row r="4206" spans="1:14" x14ac:dyDescent="0.3">
      <c r="A4206" t="s">
        <v>5252</v>
      </c>
      <c r="B4206" t="s">
        <v>124</v>
      </c>
      <c r="C4206" s="1">
        <v>45475</v>
      </c>
      <c r="E4206" t="s">
        <v>32</v>
      </c>
      <c r="F4206">
        <v>33</v>
      </c>
      <c r="G4206" s="12">
        <v>6567</v>
      </c>
      <c r="H4206" s="12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1047</v>
      </c>
      <c r="N4206" t="b">
        <v>0</v>
      </c>
    </row>
    <row r="4207" spans="1:14" x14ac:dyDescent="0.3">
      <c r="A4207" t="s">
        <v>5253</v>
      </c>
      <c r="B4207" t="s">
        <v>72</v>
      </c>
      <c r="C4207" s="1">
        <v>45645</v>
      </c>
      <c r="E4207" t="s">
        <v>32</v>
      </c>
      <c r="F4207">
        <v>17</v>
      </c>
      <c r="G4207" s="12">
        <v>3383</v>
      </c>
      <c r="H4207" s="12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1050</v>
      </c>
      <c r="N4207" t="b">
        <v>1</v>
      </c>
    </row>
    <row r="4208" spans="1:14" x14ac:dyDescent="0.3">
      <c r="A4208" t="s">
        <v>5254</v>
      </c>
      <c r="B4208" t="s">
        <v>584</v>
      </c>
      <c r="C4208" s="1">
        <v>45393</v>
      </c>
      <c r="E4208" t="s">
        <v>32</v>
      </c>
      <c r="F4208">
        <v>71</v>
      </c>
      <c r="G4208" s="12">
        <v>14129</v>
      </c>
      <c r="H4208" s="12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1047</v>
      </c>
      <c r="N4208" t="b">
        <v>1</v>
      </c>
    </row>
    <row r="4209" spans="1:14" x14ac:dyDescent="0.3">
      <c r="A4209" t="s">
        <v>5255</v>
      </c>
      <c r="B4209" t="s">
        <v>978</v>
      </c>
      <c r="C4209" s="1">
        <v>45656</v>
      </c>
      <c r="E4209" t="s">
        <v>39</v>
      </c>
      <c r="F4209">
        <v>12</v>
      </c>
      <c r="G4209" s="12">
        <v>588</v>
      </c>
      <c r="H4209" s="12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1047</v>
      </c>
      <c r="N4209" t="b">
        <v>0</v>
      </c>
    </row>
    <row r="4210" spans="1:14" x14ac:dyDescent="0.3">
      <c r="A4210" t="s">
        <v>5256</v>
      </c>
      <c r="B4210" t="s">
        <v>844</v>
      </c>
      <c r="C4210" s="1">
        <v>45563</v>
      </c>
      <c r="E4210" t="s">
        <v>39</v>
      </c>
      <c r="F4210">
        <v>6</v>
      </c>
      <c r="G4210" s="12">
        <v>0</v>
      </c>
      <c r="H4210" s="12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1047</v>
      </c>
      <c r="N4210" t="b">
        <v>1</v>
      </c>
    </row>
    <row r="4211" spans="1:14" x14ac:dyDescent="0.3">
      <c r="A4211" t="s">
        <v>5257</v>
      </c>
      <c r="B4211" t="s">
        <v>120</v>
      </c>
      <c r="C4211" s="1">
        <v>45539</v>
      </c>
      <c r="E4211" t="s">
        <v>32</v>
      </c>
      <c r="F4211">
        <v>22</v>
      </c>
      <c r="G4211" s="12">
        <v>4378</v>
      </c>
      <c r="H4211" s="12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1047</v>
      </c>
      <c r="N4211" t="b">
        <v>1</v>
      </c>
    </row>
    <row r="4212" spans="1:14" x14ac:dyDescent="0.3">
      <c r="A4212" t="s">
        <v>5258</v>
      </c>
      <c r="B4212" t="s">
        <v>976</v>
      </c>
      <c r="C4212" s="1">
        <v>45637</v>
      </c>
      <c r="E4212" t="s">
        <v>39</v>
      </c>
      <c r="F4212">
        <v>54</v>
      </c>
      <c r="G4212" s="12">
        <v>2646</v>
      </c>
      <c r="H4212" s="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1047</v>
      </c>
      <c r="N4212" t="b">
        <v>1</v>
      </c>
    </row>
    <row r="4213" spans="1:14" x14ac:dyDescent="0.3">
      <c r="A4213" t="s">
        <v>5259</v>
      </c>
      <c r="B4213" t="s">
        <v>466</v>
      </c>
      <c r="C4213" s="1">
        <v>45376</v>
      </c>
      <c r="E4213" t="s">
        <v>39</v>
      </c>
      <c r="F4213">
        <v>11</v>
      </c>
      <c r="G4213" s="12">
        <v>539</v>
      </c>
      <c r="H4213" s="12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1050</v>
      </c>
      <c r="N4213" t="b">
        <v>1</v>
      </c>
    </row>
    <row r="4214" spans="1:14" x14ac:dyDescent="0.3">
      <c r="A4214" t="s">
        <v>5260</v>
      </c>
      <c r="B4214" t="s">
        <v>598</v>
      </c>
      <c r="C4214" s="1">
        <v>45628</v>
      </c>
      <c r="E4214" t="s">
        <v>15</v>
      </c>
      <c r="F4214">
        <v>55</v>
      </c>
      <c r="G4214" s="12">
        <v>1045</v>
      </c>
      <c r="H4214" s="12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1047</v>
      </c>
      <c r="N4214" t="b">
        <v>0</v>
      </c>
    </row>
    <row r="4215" spans="1:14" x14ac:dyDescent="0.3">
      <c r="A4215" t="s">
        <v>5261</v>
      </c>
      <c r="B4215" t="s">
        <v>672</v>
      </c>
      <c r="C4215" s="1">
        <v>45655</v>
      </c>
      <c r="E4215" t="s">
        <v>15</v>
      </c>
      <c r="F4215">
        <v>9</v>
      </c>
      <c r="G4215" s="12">
        <v>171</v>
      </c>
      <c r="H4215" s="12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1050</v>
      </c>
      <c r="N4215" t="b">
        <v>1</v>
      </c>
    </row>
    <row r="4216" spans="1:14" x14ac:dyDescent="0.3">
      <c r="A4216" t="s">
        <v>5262</v>
      </c>
      <c r="B4216" t="s">
        <v>226</v>
      </c>
      <c r="C4216" s="1">
        <v>45553</v>
      </c>
      <c r="E4216" t="s">
        <v>15</v>
      </c>
      <c r="F4216">
        <v>16</v>
      </c>
      <c r="G4216" s="12">
        <v>0</v>
      </c>
      <c r="H4216" s="12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1047</v>
      </c>
      <c r="N4216" t="b">
        <v>1</v>
      </c>
    </row>
    <row r="4217" spans="1:14" x14ac:dyDescent="0.3">
      <c r="A4217" t="s">
        <v>5263</v>
      </c>
      <c r="B4217" t="s">
        <v>784</v>
      </c>
      <c r="C4217" s="1">
        <v>45586</v>
      </c>
      <c r="D4217" s="1">
        <v>45608</v>
      </c>
      <c r="E4217" t="s">
        <v>32</v>
      </c>
      <c r="F4217">
        <v>24</v>
      </c>
      <c r="G4217" s="12">
        <v>4776</v>
      </c>
      <c r="H4217" s="12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1047</v>
      </c>
      <c r="N4217" t="b">
        <v>1</v>
      </c>
    </row>
    <row r="4218" spans="1:14" x14ac:dyDescent="0.3">
      <c r="A4218" t="s">
        <v>5264</v>
      </c>
      <c r="B4218" t="s">
        <v>876</v>
      </c>
      <c r="C4218" s="1">
        <v>45408</v>
      </c>
      <c r="E4218" t="s">
        <v>15</v>
      </c>
      <c r="F4218">
        <v>12</v>
      </c>
      <c r="G4218" s="12">
        <v>0</v>
      </c>
      <c r="H4218" s="12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1047</v>
      </c>
      <c r="N4218" t="b">
        <v>0</v>
      </c>
    </row>
    <row r="4219" spans="1:14" x14ac:dyDescent="0.3">
      <c r="A4219" t="s">
        <v>5265</v>
      </c>
      <c r="B4219" t="s">
        <v>332</v>
      </c>
      <c r="C4219" s="1">
        <v>45408</v>
      </c>
      <c r="E4219" t="s">
        <v>15</v>
      </c>
      <c r="F4219">
        <v>103</v>
      </c>
      <c r="G4219" s="12">
        <v>1957</v>
      </c>
      <c r="H4219" s="12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1050</v>
      </c>
      <c r="N4219" t="b">
        <v>1</v>
      </c>
    </row>
    <row r="4220" spans="1:14" x14ac:dyDescent="0.3">
      <c r="A4220" t="s">
        <v>5266</v>
      </c>
      <c r="B4220" t="s">
        <v>260</v>
      </c>
      <c r="C4220" s="1">
        <v>45535</v>
      </c>
      <c r="E4220" t="s">
        <v>15</v>
      </c>
      <c r="F4220">
        <v>19</v>
      </c>
      <c r="G4220" s="12">
        <v>361</v>
      </c>
      <c r="H4220" s="12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1047</v>
      </c>
      <c r="N4220" t="b">
        <v>1</v>
      </c>
    </row>
    <row r="4221" spans="1:14" x14ac:dyDescent="0.3">
      <c r="A4221" t="s">
        <v>5267</v>
      </c>
      <c r="B4221" t="s">
        <v>150</v>
      </c>
      <c r="C4221" s="1">
        <v>45628</v>
      </c>
      <c r="E4221" t="s">
        <v>32</v>
      </c>
      <c r="F4221">
        <v>32</v>
      </c>
      <c r="G4221" s="12">
        <v>0</v>
      </c>
      <c r="H4221" s="12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1047</v>
      </c>
      <c r="N4221" t="b">
        <v>1</v>
      </c>
    </row>
    <row r="4222" spans="1:14" x14ac:dyDescent="0.3">
      <c r="A4222" t="s">
        <v>5268</v>
      </c>
      <c r="B4222" t="s">
        <v>404</v>
      </c>
      <c r="C4222" s="1">
        <v>45618</v>
      </c>
      <c r="E4222" t="s">
        <v>39</v>
      </c>
      <c r="F4222">
        <v>6</v>
      </c>
      <c r="G4222" s="12">
        <v>294</v>
      </c>
      <c r="H4222" s="1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1050</v>
      </c>
      <c r="N4222" t="b">
        <v>1</v>
      </c>
    </row>
    <row r="4223" spans="1:14" x14ac:dyDescent="0.3">
      <c r="A4223" t="s">
        <v>5269</v>
      </c>
      <c r="B4223" t="s">
        <v>186</v>
      </c>
      <c r="C4223" s="1">
        <v>45027</v>
      </c>
      <c r="E4223" t="s">
        <v>15</v>
      </c>
      <c r="F4223">
        <v>4</v>
      </c>
      <c r="G4223" s="12">
        <v>0</v>
      </c>
      <c r="H4223" s="12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1050</v>
      </c>
      <c r="N4223" t="b">
        <v>0</v>
      </c>
    </row>
    <row r="4224" spans="1:14" x14ac:dyDescent="0.3">
      <c r="A4224" t="s">
        <v>5270</v>
      </c>
      <c r="B4224" t="s">
        <v>416</v>
      </c>
      <c r="C4224" s="1">
        <v>44935</v>
      </c>
      <c r="E4224" t="s">
        <v>15</v>
      </c>
      <c r="F4224">
        <v>9</v>
      </c>
      <c r="G4224" s="12">
        <v>171</v>
      </c>
      <c r="H4224" s="12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1050</v>
      </c>
      <c r="N4224" t="b">
        <v>1</v>
      </c>
    </row>
    <row r="4225" spans="1:14" x14ac:dyDescent="0.3">
      <c r="A4225" t="s">
        <v>5271</v>
      </c>
      <c r="B4225" t="s">
        <v>61</v>
      </c>
      <c r="C4225" s="1">
        <v>45433</v>
      </c>
      <c r="E4225" t="s">
        <v>15</v>
      </c>
      <c r="F4225">
        <v>29</v>
      </c>
      <c r="G4225" s="12">
        <v>551</v>
      </c>
      <c r="H4225" s="12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1050</v>
      </c>
      <c r="N4225" t="b">
        <v>1</v>
      </c>
    </row>
    <row r="4226" spans="1:14" x14ac:dyDescent="0.3">
      <c r="A4226" t="s">
        <v>5272</v>
      </c>
      <c r="B4226" t="s">
        <v>140</v>
      </c>
      <c r="C4226" s="1">
        <v>45403</v>
      </c>
      <c r="E4226" t="s">
        <v>15</v>
      </c>
      <c r="F4226">
        <v>36</v>
      </c>
      <c r="G4226" s="12">
        <v>0</v>
      </c>
      <c r="H4226" s="12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1047</v>
      </c>
      <c r="N4226" t="b">
        <v>1</v>
      </c>
    </row>
    <row r="4227" spans="1:14" x14ac:dyDescent="0.3">
      <c r="A4227" t="s">
        <v>5273</v>
      </c>
      <c r="B4227" t="s">
        <v>104</v>
      </c>
      <c r="C4227" s="1">
        <v>45506</v>
      </c>
      <c r="E4227" t="s">
        <v>39</v>
      </c>
      <c r="F4227">
        <v>13</v>
      </c>
      <c r="G4227" s="12">
        <v>637</v>
      </c>
      <c r="H4227" s="12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1047</v>
      </c>
      <c r="N4227" t="b">
        <v>1</v>
      </c>
    </row>
    <row r="4228" spans="1:14" x14ac:dyDescent="0.3">
      <c r="A4228" t="s">
        <v>5274</v>
      </c>
      <c r="B4228" t="s">
        <v>474</v>
      </c>
      <c r="C4228" s="1">
        <v>45340</v>
      </c>
      <c r="E4228" t="s">
        <v>32</v>
      </c>
      <c r="F4228">
        <v>30</v>
      </c>
      <c r="G4228" s="12">
        <v>5970</v>
      </c>
      <c r="H4228" s="12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1047</v>
      </c>
      <c r="N4228" t="b">
        <v>1</v>
      </c>
    </row>
    <row r="4229" spans="1:14" x14ac:dyDescent="0.3">
      <c r="A4229" t="s">
        <v>5275</v>
      </c>
      <c r="B4229" t="s">
        <v>302</v>
      </c>
      <c r="C4229" s="1">
        <v>45610</v>
      </c>
      <c r="E4229" t="s">
        <v>32</v>
      </c>
      <c r="F4229">
        <v>47</v>
      </c>
      <c r="G4229" s="12">
        <v>0</v>
      </c>
      <c r="H4229" s="12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1050</v>
      </c>
      <c r="N4229" t="b">
        <v>1</v>
      </c>
    </row>
    <row r="4230" spans="1:14" x14ac:dyDescent="0.3">
      <c r="A4230" t="s">
        <v>5276</v>
      </c>
      <c r="B4230" t="s">
        <v>936</v>
      </c>
      <c r="C4230" s="1">
        <v>45642</v>
      </c>
      <c r="E4230" t="s">
        <v>15</v>
      </c>
      <c r="F4230">
        <v>17</v>
      </c>
      <c r="G4230" s="12">
        <v>323</v>
      </c>
      <c r="H4230" s="12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1047</v>
      </c>
      <c r="N4230" t="b">
        <v>0</v>
      </c>
    </row>
    <row r="4231" spans="1:14" x14ac:dyDescent="0.3">
      <c r="A4231" t="s">
        <v>5277</v>
      </c>
      <c r="B4231" t="s">
        <v>1006</v>
      </c>
      <c r="C4231" s="1">
        <v>45651</v>
      </c>
      <c r="E4231" t="s">
        <v>39</v>
      </c>
      <c r="F4231">
        <v>148</v>
      </c>
      <c r="G4231" s="12">
        <v>7252</v>
      </c>
      <c r="H4231" s="12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1047</v>
      </c>
      <c r="N4231" t="b">
        <v>1</v>
      </c>
    </row>
    <row r="4232" spans="1:14" x14ac:dyDescent="0.3">
      <c r="A4232" t="s">
        <v>5278</v>
      </c>
      <c r="B4232" t="s">
        <v>654</v>
      </c>
      <c r="C4232" s="1">
        <v>45625</v>
      </c>
      <c r="E4232" t="s">
        <v>39</v>
      </c>
      <c r="F4232">
        <v>2</v>
      </c>
      <c r="G4232" s="12">
        <v>98</v>
      </c>
      <c r="H4232" s="1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1050</v>
      </c>
      <c r="N4232" t="b">
        <v>1</v>
      </c>
    </row>
    <row r="4233" spans="1:14" x14ac:dyDescent="0.3">
      <c r="A4233" t="s">
        <v>5279</v>
      </c>
      <c r="B4233" t="s">
        <v>296</v>
      </c>
      <c r="C4233" s="1">
        <v>45481</v>
      </c>
      <c r="E4233" t="s">
        <v>15</v>
      </c>
      <c r="F4233">
        <v>28</v>
      </c>
      <c r="G4233" s="12">
        <v>532</v>
      </c>
      <c r="H4233" s="12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1047</v>
      </c>
      <c r="N4233" t="b">
        <v>0</v>
      </c>
    </row>
    <row r="4234" spans="1:14" x14ac:dyDescent="0.3">
      <c r="A4234" t="s">
        <v>5280</v>
      </c>
      <c r="B4234" t="s">
        <v>230</v>
      </c>
      <c r="C4234" s="1">
        <v>45622</v>
      </c>
      <c r="D4234" s="1">
        <v>45646</v>
      </c>
      <c r="E4234" t="s">
        <v>39</v>
      </c>
      <c r="F4234">
        <v>11</v>
      </c>
      <c r="G4234" s="12">
        <v>539</v>
      </c>
      <c r="H4234" s="12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1050</v>
      </c>
      <c r="N4234" t="b">
        <v>1</v>
      </c>
    </row>
    <row r="4235" spans="1:14" x14ac:dyDescent="0.3">
      <c r="A4235" t="s">
        <v>5281</v>
      </c>
      <c r="B4235" t="s">
        <v>978</v>
      </c>
      <c r="C4235" s="1">
        <v>45464</v>
      </c>
      <c r="E4235" t="s">
        <v>32</v>
      </c>
      <c r="F4235">
        <v>8</v>
      </c>
      <c r="G4235" s="12">
        <v>1592</v>
      </c>
      <c r="H4235" s="12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1047</v>
      </c>
      <c r="N4235" t="b">
        <v>1</v>
      </c>
    </row>
    <row r="4236" spans="1:14" x14ac:dyDescent="0.3">
      <c r="A4236" t="s">
        <v>5282</v>
      </c>
      <c r="B4236" t="s">
        <v>844</v>
      </c>
      <c r="C4236" s="1">
        <v>45417</v>
      </c>
      <c r="E4236" t="s">
        <v>15</v>
      </c>
      <c r="F4236">
        <v>8</v>
      </c>
      <c r="G4236" s="12">
        <v>152</v>
      </c>
      <c r="H4236" s="12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1047</v>
      </c>
      <c r="N4236" t="b">
        <v>0</v>
      </c>
    </row>
    <row r="4237" spans="1:14" x14ac:dyDescent="0.3">
      <c r="A4237" t="s">
        <v>5283</v>
      </c>
      <c r="B4237" t="s">
        <v>784</v>
      </c>
      <c r="C4237" s="1">
        <v>45649</v>
      </c>
      <c r="E4237" t="s">
        <v>15</v>
      </c>
      <c r="F4237">
        <v>35</v>
      </c>
      <c r="G4237" s="12">
        <v>665</v>
      </c>
      <c r="H4237" s="12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1050</v>
      </c>
      <c r="N4237" t="b">
        <v>1</v>
      </c>
    </row>
    <row r="4238" spans="1:14" x14ac:dyDescent="0.3">
      <c r="A4238" t="s">
        <v>5284</v>
      </c>
      <c r="B4238" t="s">
        <v>434</v>
      </c>
      <c r="C4238" s="1">
        <v>45260</v>
      </c>
      <c r="E4238" t="s">
        <v>15</v>
      </c>
      <c r="F4238">
        <v>16</v>
      </c>
      <c r="G4238" s="12">
        <v>0</v>
      </c>
      <c r="H4238" s="12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1047</v>
      </c>
      <c r="N4238" t="b">
        <v>1</v>
      </c>
    </row>
    <row r="4239" spans="1:14" x14ac:dyDescent="0.3">
      <c r="A4239" t="s">
        <v>5285</v>
      </c>
      <c r="B4239" t="s">
        <v>580</v>
      </c>
      <c r="C4239" s="1">
        <v>45636</v>
      </c>
      <c r="E4239" t="s">
        <v>15</v>
      </c>
      <c r="F4239">
        <v>50</v>
      </c>
      <c r="G4239" s="12">
        <v>950</v>
      </c>
      <c r="H4239" s="12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1047</v>
      </c>
      <c r="N4239" t="b">
        <v>1</v>
      </c>
    </row>
    <row r="4240" spans="1:14" x14ac:dyDescent="0.3">
      <c r="A4240" t="s">
        <v>5286</v>
      </c>
      <c r="B4240" t="s">
        <v>276</v>
      </c>
      <c r="C4240" s="1">
        <v>45007</v>
      </c>
      <c r="E4240" t="s">
        <v>32</v>
      </c>
      <c r="F4240">
        <v>6</v>
      </c>
      <c r="G4240" s="12">
        <v>1194</v>
      </c>
      <c r="H4240" s="12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1047</v>
      </c>
      <c r="N4240" t="b">
        <v>1</v>
      </c>
    </row>
    <row r="4241" spans="1:14" x14ac:dyDescent="0.3">
      <c r="A4241" t="s">
        <v>5287</v>
      </c>
      <c r="B4241" t="s">
        <v>276</v>
      </c>
      <c r="C4241" s="1">
        <v>45507</v>
      </c>
      <c r="E4241" t="s">
        <v>32</v>
      </c>
      <c r="F4241">
        <v>1</v>
      </c>
      <c r="G4241" s="12">
        <v>199</v>
      </c>
      <c r="H4241" s="12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1047</v>
      </c>
      <c r="N4241" t="b">
        <v>0</v>
      </c>
    </row>
    <row r="4242" spans="1:14" x14ac:dyDescent="0.3">
      <c r="A4242" t="s">
        <v>5288</v>
      </c>
      <c r="B4242" t="s">
        <v>376</v>
      </c>
      <c r="C4242" s="1">
        <v>45634</v>
      </c>
      <c r="E4242" t="s">
        <v>32</v>
      </c>
      <c r="F4242">
        <v>3</v>
      </c>
      <c r="G4242" s="12">
        <v>597</v>
      </c>
      <c r="H4242" s="1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1047</v>
      </c>
      <c r="N4242" t="b">
        <v>1</v>
      </c>
    </row>
    <row r="4243" spans="1:14" x14ac:dyDescent="0.3">
      <c r="A4243" t="s">
        <v>5289</v>
      </c>
      <c r="B4243" t="s">
        <v>294</v>
      </c>
      <c r="C4243" s="1">
        <v>45313</v>
      </c>
      <c r="D4243" s="1">
        <v>45594</v>
      </c>
      <c r="E4243" t="s">
        <v>39</v>
      </c>
      <c r="F4243">
        <v>39</v>
      </c>
      <c r="G4243" s="12">
        <v>0</v>
      </c>
      <c r="H4243" s="12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1047</v>
      </c>
      <c r="N4243" t="b">
        <v>1</v>
      </c>
    </row>
    <row r="4244" spans="1:14" x14ac:dyDescent="0.3">
      <c r="A4244" t="s">
        <v>5290</v>
      </c>
      <c r="B4244" t="s">
        <v>876</v>
      </c>
      <c r="C4244" s="1">
        <v>45392</v>
      </c>
      <c r="E4244" t="s">
        <v>15</v>
      </c>
      <c r="F4244">
        <v>16</v>
      </c>
      <c r="G4244" s="12">
        <v>304</v>
      </c>
      <c r="H4244" s="12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1050</v>
      </c>
      <c r="N4244" t="b">
        <v>1</v>
      </c>
    </row>
    <row r="4245" spans="1:14" x14ac:dyDescent="0.3">
      <c r="A4245" t="s">
        <v>5291</v>
      </c>
      <c r="B4245" t="s">
        <v>532</v>
      </c>
      <c r="C4245" s="1">
        <v>45639</v>
      </c>
      <c r="E4245" t="s">
        <v>15</v>
      </c>
      <c r="F4245">
        <v>12</v>
      </c>
      <c r="G4245" s="12">
        <v>228</v>
      </c>
      <c r="H4245" s="12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1047</v>
      </c>
      <c r="N4245" t="b">
        <v>1</v>
      </c>
    </row>
    <row r="4246" spans="1:14" x14ac:dyDescent="0.3">
      <c r="A4246" t="s">
        <v>5292</v>
      </c>
      <c r="B4246" t="s">
        <v>744</v>
      </c>
      <c r="C4246" s="1">
        <v>45498</v>
      </c>
      <c r="E4246" t="s">
        <v>15</v>
      </c>
      <c r="F4246">
        <v>7</v>
      </c>
      <c r="G4246" s="12">
        <v>133</v>
      </c>
      <c r="H4246" s="12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1047</v>
      </c>
      <c r="N4246" t="b">
        <v>1</v>
      </c>
    </row>
    <row r="4247" spans="1:14" x14ac:dyDescent="0.3">
      <c r="A4247" t="s">
        <v>5293</v>
      </c>
      <c r="B4247" t="s">
        <v>668</v>
      </c>
      <c r="C4247" s="1">
        <v>45533</v>
      </c>
      <c r="E4247" t="s">
        <v>15</v>
      </c>
      <c r="F4247">
        <v>28</v>
      </c>
      <c r="G4247" s="12">
        <v>532</v>
      </c>
      <c r="H4247" s="12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1050</v>
      </c>
      <c r="N4247" t="b">
        <v>1</v>
      </c>
    </row>
    <row r="4248" spans="1:14" x14ac:dyDescent="0.3">
      <c r="A4248" t="s">
        <v>5294</v>
      </c>
      <c r="B4248" t="s">
        <v>768</v>
      </c>
      <c r="C4248" s="1">
        <v>45613</v>
      </c>
      <c r="E4248" t="s">
        <v>15</v>
      </c>
      <c r="F4248">
        <v>28</v>
      </c>
      <c r="G4248" s="12">
        <v>532</v>
      </c>
      <c r="H4248" s="12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1050</v>
      </c>
      <c r="N4248" t="b">
        <v>1</v>
      </c>
    </row>
    <row r="4249" spans="1:14" x14ac:dyDescent="0.3">
      <c r="A4249" t="s">
        <v>5295</v>
      </c>
      <c r="B4249" t="s">
        <v>500</v>
      </c>
      <c r="C4249" s="1">
        <v>45462</v>
      </c>
      <c r="E4249" t="s">
        <v>32</v>
      </c>
      <c r="F4249">
        <v>92</v>
      </c>
      <c r="G4249" s="12">
        <v>18308</v>
      </c>
      <c r="H4249" s="12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1050</v>
      </c>
      <c r="N4249" t="b">
        <v>1</v>
      </c>
    </row>
    <row r="4250" spans="1:14" x14ac:dyDescent="0.3">
      <c r="A4250" t="s">
        <v>5296</v>
      </c>
      <c r="B4250" t="s">
        <v>896</v>
      </c>
      <c r="C4250" s="1">
        <v>45514</v>
      </c>
      <c r="E4250" t="s">
        <v>15</v>
      </c>
      <c r="F4250">
        <v>25</v>
      </c>
      <c r="G4250" s="12">
        <v>475</v>
      </c>
      <c r="H4250" s="12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1047</v>
      </c>
      <c r="N4250" t="b">
        <v>1</v>
      </c>
    </row>
    <row r="4251" spans="1:14" x14ac:dyDescent="0.3">
      <c r="A4251" t="s">
        <v>5297</v>
      </c>
      <c r="B4251" t="s">
        <v>812</v>
      </c>
      <c r="C4251" s="1">
        <v>45062</v>
      </c>
      <c r="E4251" t="s">
        <v>15</v>
      </c>
      <c r="F4251">
        <v>9</v>
      </c>
      <c r="G4251" s="12">
        <v>171</v>
      </c>
      <c r="H4251" s="12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1047</v>
      </c>
      <c r="N4251" t="b">
        <v>1</v>
      </c>
    </row>
    <row r="4252" spans="1:14" x14ac:dyDescent="0.3">
      <c r="A4252" t="s">
        <v>5298</v>
      </c>
      <c r="B4252" t="s">
        <v>912</v>
      </c>
      <c r="C4252" s="1">
        <v>45021</v>
      </c>
      <c r="E4252" t="s">
        <v>15</v>
      </c>
      <c r="F4252">
        <v>39</v>
      </c>
      <c r="G4252" s="12">
        <v>0</v>
      </c>
      <c r="H4252" s="1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1050</v>
      </c>
      <c r="N4252" t="b">
        <v>1</v>
      </c>
    </row>
    <row r="4253" spans="1:14" x14ac:dyDescent="0.3">
      <c r="A4253" t="s">
        <v>5299</v>
      </c>
      <c r="B4253" t="s">
        <v>198</v>
      </c>
      <c r="C4253" s="1">
        <v>45618</v>
      </c>
      <c r="E4253" t="s">
        <v>32</v>
      </c>
      <c r="F4253">
        <v>46</v>
      </c>
      <c r="G4253" s="12">
        <v>9154</v>
      </c>
      <c r="H4253" s="12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1047</v>
      </c>
      <c r="N4253" t="b">
        <v>1</v>
      </c>
    </row>
    <row r="4254" spans="1:14" x14ac:dyDescent="0.3">
      <c r="A4254" t="s">
        <v>5300</v>
      </c>
      <c r="B4254" t="s">
        <v>114</v>
      </c>
      <c r="C4254" s="1">
        <v>45193</v>
      </c>
      <c r="E4254" t="s">
        <v>39</v>
      </c>
      <c r="F4254">
        <v>34</v>
      </c>
      <c r="G4254" s="12">
        <v>1666</v>
      </c>
      <c r="H4254" s="12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1047</v>
      </c>
      <c r="N4254" t="b">
        <v>0</v>
      </c>
    </row>
    <row r="4255" spans="1:14" x14ac:dyDescent="0.3">
      <c r="A4255" t="s">
        <v>5301</v>
      </c>
      <c r="B4255" t="s">
        <v>478</v>
      </c>
      <c r="C4255" s="1">
        <v>45565</v>
      </c>
      <c r="E4255" t="s">
        <v>32</v>
      </c>
      <c r="F4255">
        <v>3</v>
      </c>
      <c r="G4255" s="12">
        <v>597</v>
      </c>
      <c r="H4255" s="12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1050</v>
      </c>
      <c r="N4255" t="b">
        <v>1</v>
      </c>
    </row>
    <row r="4256" spans="1:14" x14ac:dyDescent="0.3">
      <c r="A4256" t="s">
        <v>5302</v>
      </c>
      <c r="B4256" t="s">
        <v>87</v>
      </c>
      <c r="C4256" s="1">
        <v>45599</v>
      </c>
      <c r="E4256" t="s">
        <v>32</v>
      </c>
      <c r="F4256">
        <v>20</v>
      </c>
      <c r="G4256" s="12">
        <v>3980</v>
      </c>
      <c r="H4256" s="12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1047</v>
      </c>
      <c r="N4256" t="b">
        <v>1</v>
      </c>
    </row>
    <row r="4257" spans="1:14" x14ac:dyDescent="0.3">
      <c r="A4257" t="s">
        <v>5303</v>
      </c>
      <c r="B4257" t="s">
        <v>766</v>
      </c>
      <c r="C4257" s="1">
        <v>45368</v>
      </c>
      <c r="E4257" t="s">
        <v>39</v>
      </c>
      <c r="F4257">
        <v>105</v>
      </c>
      <c r="G4257" s="12">
        <v>0</v>
      </c>
      <c r="H4257" s="12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1050</v>
      </c>
      <c r="N4257" t="b">
        <v>1</v>
      </c>
    </row>
    <row r="4258" spans="1:14" x14ac:dyDescent="0.3">
      <c r="A4258" t="s">
        <v>5304</v>
      </c>
      <c r="B4258" t="s">
        <v>418</v>
      </c>
      <c r="C4258" s="1">
        <v>45629</v>
      </c>
      <c r="E4258" t="s">
        <v>15</v>
      </c>
      <c r="F4258">
        <v>13</v>
      </c>
      <c r="G4258" s="12">
        <v>247</v>
      </c>
      <c r="H4258" s="12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1050</v>
      </c>
      <c r="N4258" t="b">
        <v>1</v>
      </c>
    </row>
    <row r="4259" spans="1:14" x14ac:dyDescent="0.3">
      <c r="A4259" t="s">
        <v>5305</v>
      </c>
      <c r="B4259" t="s">
        <v>800</v>
      </c>
      <c r="C4259" s="1">
        <v>45346</v>
      </c>
      <c r="E4259" t="s">
        <v>39</v>
      </c>
      <c r="F4259">
        <v>27</v>
      </c>
      <c r="G4259" s="12">
        <v>1323</v>
      </c>
      <c r="H4259" s="12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1047</v>
      </c>
      <c r="N4259" t="b">
        <v>1</v>
      </c>
    </row>
    <row r="4260" spans="1:14" x14ac:dyDescent="0.3">
      <c r="A4260" t="s">
        <v>5306</v>
      </c>
      <c r="B4260" t="s">
        <v>116</v>
      </c>
      <c r="C4260" s="1">
        <v>45557</v>
      </c>
      <c r="E4260" t="s">
        <v>15</v>
      </c>
      <c r="F4260">
        <v>29</v>
      </c>
      <c r="G4260" s="12">
        <v>551</v>
      </c>
      <c r="H4260" s="12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1050</v>
      </c>
      <c r="N4260" t="b">
        <v>1</v>
      </c>
    </row>
    <row r="4261" spans="1:14" x14ac:dyDescent="0.3">
      <c r="A4261" t="s">
        <v>5307</v>
      </c>
      <c r="B4261" t="s">
        <v>324</v>
      </c>
      <c r="C4261" s="1">
        <v>45639</v>
      </c>
      <c r="E4261" t="s">
        <v>32</v>
      </c>
      <c r="F4261">
        <v>86</v>
      </c>
      <c r="G4261" s="12">
        <v>0</v>
      </c>
      <c r="H4261" s="12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1047</v>
      </c>
      <c r="N4261" t="b">
        <v>1</v>
      </c>
    </row>
    <row r="4262" spans="1:14" x14ac:dyDescent="0.3">
      <c r="A4262" t="s">
        <v>5308</v>
      </c>
      <c r="B4262" t="s">
        <v>184</v>
      </c>
      <c r="C4262" s="1">
        <v>45220</v>
      </c>
      <c r="E4262" t="s">
        <v>39</v>
      </c>
      <c r="F4262">
        <v>13</v>
      </c>
      <c r="G4262" s="12">
        <v>637</v>
      </c>
      <c r="H4262" s="1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1047</v>
      </c>
      <c r="N4262" t="b">
        <v>1</v>
      </c>
    </row>
    <row r="4263" spans="1:14" x14ac:dyDescent="0.3">
      <c r="A4263" t="s">
        <v>5309</v>
      </c>
      <c r="B4263" t="s">
        <v>350</v>
      </c>
      <c r="C4263" s="1">
        <v>45627</v>
      </c>
      <c r="E4263" t="s">
        <v>39</v>
      </c>
      <c r="F4263">
        <v>19</v>
      </c>
      <c r="G4263" s="12">
        <v>931</v>
      </c>
      <c r="H4263" s="12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1047</v>
      </c>
      <c r="N4263" t="b">
        <v>1</v>
      </c>
    </row>
    <row r="4264" spans="1:14" x14ac:dyDescent="0.3">
      <c r="A4264" t="s">
        <v>5310</v>
      </c>
      <c r="B4264" t="s">
        <v>548</v>
      </c>
      <c r="C4264" s="1">
        <v>45591</v>
      </c>
      <c r="E4264" t="s">
        <v>39</v>
      </c>
      <c r="F4264">
        <v>25</v>
      </c>
      <c r="G4264" s="12">
        <v>1225</v>
      </c>
      <c r="H4264" s="12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1047</v>
      </c>
      <c r="N4264" t="b">
        <v>1</v>
      </c>
    </row>
    <row r="4265" spans="1:14" x14ac:dyDescent="0.3">
      <c r="A4265" t="s">
        <v>5311</v>
      </c>
      <c r="B4265" t="s">
        <v>72</v>
      </c>
      <c r="C4265" s="1">
        <v>45536</v>
      </c>
      <c r="E4265" t="s">
        <v>15</v>
      </c>
      <c r="F4265">
        <v>11</v>
      </c>
      <c r="G4265" s="12">
        <v>209</v>
      </c>
      <c r="H4265" s="12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1050</v>
      </c>
      <c r="N4265" t="b">
        <v>1</v>
      </c>
    </row>
    <row r="4266" spans="1:14" x14ac:dyDescent="0.3">
      <c r="A4266" t="s">
        <v>5312</v>
      </c>
      <c r="B4266" t="s">
        <v>936</v>
      </c>
      <c r="C4266" s="1">
        <v>45589</v>
      </c>
      <c r="E4266" t="s">
        <v>39</v>
      </c>
      <c r="F4266">
        <v>17</v>
      </c>
      <c r="G4266" s="12">
        <v>833</v>
      </c>
      <c r="H4266" s="12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1050</v>
      </c>
      <c r="N4266" t="b">
        <v>0</v>
      </c>
    </row>
    <row r="4267" spans="1:14" x14ac:dyDescent="0.3">
      <c r="A4267" t="s">
        <v>5313</v>
      </c>
      <c r="B4267" t="s">
        <v>680</v>
      </c>
      <c r="C4267" s="1">
        <v>45642</v>
      </c>
      <c r="E4267" t="s">
        <v>15</v>
      </c>
      <c r="F4267">
        <v>34</v>
      </c>
      <c r="G4267" s="12">
        <v>646</v>
      </c>
      <c r="H4267" s="12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1050</v>
      </c>
      <c r="N4267" t="b">
        <v>1</v>
      </c>
    </row>
    <row r="4268" spans="1:14" x14ac:dyDescent="0.3">
      <c r="A4268" t="s">
        <v>5314</v>
      </c>
      <c r="B4268" t="s">
        <v>770</v>
      </c>
      <c r="C4268" s="1">
        <v>45641</v>
      </c>
      <c r="E4268" t="s">
        <v>39</v>
      </c>
      <c r="F4268">
        <v>33</v>
      </c>
      <c r="G4268" s="12">
        <v>1617</v>
      </c>
      <c r="H4268" s="12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1047</v>
      </c>
      <c r="N4268" t="b">
        <v>1</v>
      </c>
    </row>
    <row r="4269" spans="1:14" x14ac:dyDescent="0.3">
      <c r="A4269" t="s">
        <v>5315</v>
      </c>
      <c r="B4269" t="s">
        <v>444</v>
      </c>
      <c r="C4269" s="1">
        <v>45586</v>
      </c>
      <c r="E4269" t="s">
        <v>32</v>
      </c>
      <c r="F4269">
        <v>5</v>
      </c>
      <c r="G4269" s="12">
        <v>995</v>
      </c>
      <c r="H4269" s="12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1047</v>
      </c>
      <c r="N4269" t="b">
        <v>1</v>
      </c>
    </row>
    <row r="4270" spans="1:14" x14ac:dyDescent="0.3">
      <c r="A4270" t="s">
        <v>5316</v>
      </c>
      <c r="B4270" t="s">
        <v>270</v>
      </c>
      <c r="C4270" s="1">
        <v>45527</v>
      </c>
      <c r="E4270" t="s">
        <v>15</v>
      </c>
      <c r="F4270">
        <v>28</v>
      </c>
      <c r="G4270" s="12">
        <v>532</v>
      </c>
      <c r="H4270" s="12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1050</v>
      </c>
      <c r="N4270" t="b">
        <v>1</v>
      </c>
    </row>
    <row r="4271" spans="1:14" x14ac:dyDescent="0.3">
      <c r="A4271" t="s">
        <v>5317</v>
      </c>
      <c r="B4271" t="s">
        <v>552</v>
      </c>
      <c r="C4271" s="1">
        <v>45374</v>
      </c>
      <c r="E4271" t="s">
        <v>39</v>
      </c>
      <c r="F4271">
        <v>53</v>
      </c>
      <c r="G4271" s="12">
        <v>2597</v>
      </c>
      <c r="H4271" s="12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1050</v>
      </c>
      <c r="N4271" t="b">
        <v>0</v>
      </c>
    </row>
    <row r="4272" spans="1:14" x14ac:dyDescent="0.3">
      <c r="A4272" t="s">
        <v>5318</v>
      </c>
      <c r="B4272" t="s">
        <v>706</v>
      </c>
      <c r="C4272" s="1">
        <v>45485</v>
      </c>
      <c r="E4272" t="s">
        <v>39</v>
      </c>
      <c r="F4272">
        <v>24</v>
      </c>
      <c r="G4272" s="12">
        <v>1176</v>
      </c>
      <c r="H4272" s="1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1050</v>
      </c>
      <c r="N4272" t="b">
        <v>1</v>
      </c>
    </row>
    <row r="4273" spans="1:14" x14ac:dyDescent="0.3">
      <c r="A4273" t="s">
        <v>5319</v>
      </c>
      <c r="B4273" t="s">
        <v>870</v>
      </c>
      <c r="C4273" s="1">
        <v>45567</v>
      </c>
      <c r="E4273" t="s">
        <v>32</v>
      </c>
      <c r="F4273">
        <v>16</v>
      </c>
      <c r="G4273" s="12">
        <v>3184</v>
      </c>
      <c r="H4273" s="12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1050</v>
      </c>
      <c r="N4273" t="b">
        <v>1</v>
      </c>
    </row>
    <row r="4274" spans="1:14" x14ac:dyDescent="0.3">
      <c r="A4274" t="s">
        <v>5320</v>
      </c>
      <c r="B4274" t="s">
        <v>776</v>
      </c>
      <c r="C4274" s="1">
        <v>45495</v>
      </c>
      <c r="E4274" t="s">
        <v>32</v>
      </c>
      <c r="F4274">
        <v>35</v>
      </c>
      <c r="G4274" s="12">
        <v>6965</v>
      </c>
      <c r="H4274" s="12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1047</v>
      </c>
      <c r="N4274" t="b">
        <v>1</v>
      </c>
    </row>
    <row r="4275" spans="1:14" x14ac:dyDescent="0.3">
      <c r="A4275" t="s">
        <v>5321</v>
      </c>
      <c r="B4275" t="s">
        <v>670</v>
      </c>
      <c r="C4275" s="1">
        <v>45494</v>
      </c>
      <c r="E4275" t="s">
        <v>15</v>
      </c>
      <c r="F4275">
        <v>12</v>
      </c>
      <c r="G4275" s="12">
        <v>228</v>
      </c>
      <c r="H4275" s="12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1050</v>
      </c>
      <c r="N4275" t="b">
        <v>1</v>
      </c>
    </row>
    <row r="4276" spans="1:14" x14ac:dyDescent="0.3">
      <c r="A4276" t="s">
        <v>5322</v>
      </c>
      <c r="B4276" t="s">
        <v>242</v>
      </c>
      <c r="C4276" s="1">
        <v>45647</v>
      </c>
      <c r="E4276" t="s">
        <v>39</v>
      </c>
      <c r="F4276">
        <v>15</v>
      </c>
      <c r="G4276" s="12">
        <v>735</v>
      </c>
      <c r="H4276" s="12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1050</v>
      </c>
      <c r="N4276" t="b">
        <v>1</v>
      </c>
    </row>
    <row r="4277" spans="1:14" x14ac:dyDescent="0.3">
      <c r="A4277" t="s">
        <v>5323</v>
      </c>
      <c r="B4277" t="s">
        <v>662</v>
      </c>
      <c r="C4277" s="1">
        <v>45632</v>
      </c>
      <c r="E4277" t="s">
        <v>15</v>
      </c>
      <c r="F4277">
        <v>41</v>
      </c>
      <c r="G4277" s="12">
        <v>0</v>
      </c>
      <c r="H4277" s="12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1047</v>
      </c>
      <c r="N4277" t="b">
        <v>1</v>
      </c>
    </row>
    <row r="4278" spans="1:14" x14ac:dyDescent="0.3">
      <c r="A4278" t="s">
        <v>5324</v>
      </c>
      <c r="B4278" t="s">
        <v>158</v>
      </c>
      <c r="C4278" s="1">
        <v>45281</v>
      </c>
      <c r="E4278" t="s">
        <v>15</v>
      </c>
      <c r="F4278">
        <v>46</v>
      </c>
      <c r="G4278" s="12">
        <v>874</v>
      </c>
      <c r="H4278" s="12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1050</v>
      </c>
      <c r="N4278" t="b">
        <v>1</v>
      </c>
    </row>
    <row r="4279" spans="1:14" x14ac:dyDescent="0.3">
      <c r="A4279" t="s">
        <v>5325</v>
      </c>
      <c r="B4279" t="s">
        <v>850</v>
      </c>
      <c r="C4279" s="1">
        <v>45036</v>
      </c>
      <c r="E4279" t="s">
        <v>15</v>
      </c>
      <c r="F4279">
        <v>44</v>
      </c>
      <c r="G4279" s="12">
        <v>836</v>
      </c>
      <c r="H4279" s="12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1050</v>
      </c>
      <c r="N4279" t="b">
        <v>1</v>
      </c>
    </row>
    <row r="4280" spans="1:14" x14ac:dyDescent="0.3">
      <c r="A4280" t="s">
        <v>5326</v>
      </c>
      <c r="B4280" t="s">
        <v>288</v>
      </c>
      <c r="C4280" s="1">
        <v>45628</v>
      </c>
      <c r="E4280" t="s">
        <v>15</v>
      </c>
      <c r="F4280">
        <v>11</v>
      </c>
      <c r="G4280" s="12">
        <v>209</v>
      </c>
      <c r="H4280" s="12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1047</v>
      </c>
      <c r="N4280" t="b">
        <v>0</v>
      </c>
    </row>
    <row r="4281" spans="1:14" x14ac:dyDescent="0.3">
      <c r="A4281" t="s">
        <v>5327</v>
      </c>
      <c r="B4281" t="s">
        <v>296</v>
      </c>
      <c r="C4281" s="1">
        <v>45491</v>
      </c>
      <c r="E4281" t="s">
        <v>32</v>
      </c>
      <c r="F4281">
        <v>28</v>
      </c>
      <c r="G4281" s="12">
        <v>5572</v>
      </c>
      <c r="H4281" s="12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1050</v>
      </c>
      <c r="N4281" t="b">
        <v>0</v>
      </c>
    </row>
    <row r="4282" spans="1:14" x14ac:dyDescent="0.3">
      <c r="A4282" t="s">
        <v>5328</v>
      </c>
      <c r="B4282" t="s">
        <v>1014</v>
      </c>
      <c r="C4282" s="1">
        <v>45650</v>
      </c>
      <c r="D4282" s="1">
        <v>45652</v>
      </c>
      <c r="E4282" t="s">
        <v>32</v>
      </c>
      <c r="F4282">
        <v>128</v>
      </c>
      <c r="G4282" s="12">
        <v>25472</v>
      </c>
      <c r="H4282" s="1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1050</v>
      </c>
      <c r="N4282" t="b">
        <v>1</v>
      </c>
    </row>
    <row r="4283" spans="1:14" x14ac:dyDescent="0.3">
      <c r="A4283" t="s">
        <v>5329</v>
      </c>
      <c r="B4283" t="s">
        <v>540</v>
      </c>
      <c r="C4283" s="1">
        <v>45612</v>
      </c>
      <c r="E4283" t="s">
        <v>32</v>
      </c>
      <c r="F4283">
        <v>16</v>
      </c>
      <c r="G4283" s="12">
        <v>3184</v>
      </c>
      <c r="H4283" s="12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1047</v>
      </c>
      <c r="N4283" t="b">
        <v>1</v>
      </c>
    </row>
    <row r="4284" spans="1:14" x14ac:dyDescent="0.3">
      <c r="A4284" t="s">
        <v>5330</v>
      </c>
      <c r="B4284" t="s">
        <v>416</v>
      </c>
      <c r="C4284" s="1">
        <v>45120</v>
      </c>
      <c r="E4284" t="s">
        <v>32</v>
      </c>
      <c r="F4284">
        <v>58</v>
      </c>
      <c r="G4284" s="12">
        <v>11542</v>
      </c>
      <c r="H4284" s="12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1047</v>
      </c>
      <c r="N4284" t="b">
        <v>1</v>
      </c>
    </row>
    <row r="4285" spans="1:14" x14ac:dyDescent="0.3">
      <c r="A4285" t="s">
        <v>5331</v>
      </c>
      <c r="B4285" t="s">
        <v>438</v>
      </c>
      <c r="C4285" s="1">
        <v>45203</v>
      </c>
      <c r="E4285" t="s">
        <v>15</v>
      </c>
      <c r="F4285">
        <v>19</v>
      </c>
      <c r="G4285" s="12">
        <v>361</v>
      </c>
      <c r="H4285" s="12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1047</v>
      </c>
      <c r="N4285" t="b">
        <v>1</v>
      </c>
    </row>
    <row r="4286" spans="1:14" x14ac:dyDescent="0.3">
      <c r="A4286" t="s">
        <v>5332</v>
      </c>
      <c r="B4286" t="s">
        <v>718</v>
      </c>
      <c r="C4286" s="1">
        <v>45420</v>
      </c>
      <c r="E4286" t="s">
        <v>15</v>
      </c>
      <c r="F4286">
        <v>5</v>
      </c>
      <c r="G4286" s="12">
        <v>95</v>
      </c>
      <c r="H4286" s="12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1050</v>
      </c>
      <c r="N4286" t="b">
        <v>1</v>
      </c>
    </row>
    <row r="4287" spans="1:14" x14ac:dyDescent="0.3">
      <c r="A4287" t="s">
        <v>5333</v>
      </c>
      <c r="B4287" t="s">
        <v>662</v>
      </c>
      <c r="C4287" s="1">
        <v>45624</v>
      </c>
      <c r="E4287" t="s">
        <v>32</v>
      </c>
      <c r="F4287">
        <v>41</v>
      </c>
      <c r="G4287" s="12">
        <v>0</v>
      </c>
      <c r="H4287" s="12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1047</v>
      </c>
      <c r="N4287" t="b">
        <v>0</v>
      </c>
    </row>
    <row r="4288" spans="1:14" x14ac:dyDescent="0.3">
      <c r="A4288" t="s">
        <v>5334</v>
      </c>
      <c r="B4288" t="s">
        <v>564</v>
      </c>
      <c r="C4288" s="1">
        <v>45657</v>
      </c>
      <c r="E4288" t="s">
        <v>39</v>
      </c>
      <c r="F4288">
        <v>21</v>
      </c>
      <c r="G4288" s="12">
        <v>1029</v>
      </c>
      <c r="H4288" s="12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1050</v>
      </c>
      <c r="N4288" t="b">
        <v>1</v>
      </c>
    </row>
    <row r="4289" spans="1:14" x14ac:dyDescent="0.3">
      <c r="A4289" t="s">
        <v>5335</v>
      </c>
      <c r="B4289" t="s">
        <v>192</v>
      </c>
      <c r="C4289" s="1">
        <v>45353</v>
      </c>
      <c r="D4289" s="1">
        <v>45567</v>
      </c>
      <c r="E4289" t="s">
        <v>15</v>
      </c>
      <c r="F4289">
        <v>19</v>
      </c>
      <c r="G4289" s="12">
        <v>0</v>
      </c>
      <c r="H4289" s="12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1047</v>
      </c>
      <c r="N4289" t="b">
        <v>1</v>
      </c>
    </row>
    <row r="4290" spans="1:14" x14ac:dyDescent="0.3">
      <c r="A4290" t="s">
        <v>5336</v>
      </c>
      <c r="B4290" t="s">
        <v>406</v>
      </c>
      <c r="C4290" s="1">
        <v>45643</v>
      </c>
      <c r="D4290" s="1">
        <v>45646</v>
      </c>
      <c r="E4290" t="s">
        <v>39</v>
      </c>
      <c r="F4290">
        <v>32</v>
      </c>
      <c r="G4290" s="12">
        <v>1568</v>
      </c>
      <c r="H4290" s="12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1047</v>
      </c>
      <c r="N4290" t="b">
        <v>1</v>
      </c>
    </row>
    <row r="4291" spans="1:14" x14ac:dyDescent="0.3">
      <c r="A4291" t="s">
        <v>5337</v>
      </c>
      <c r="B4291" t="s">
        <v>346</v>
      </c>
      <c r="C4291" s="1">
        <v>45307</v>
      </c>
      <c r="E4291" t="s">
        <v>15</v>
      </c>
      <c r="F4291">
        <v>15</v>
      </c>
      <c r="G4291" s="12">
        <v>285</v>
      </c>
      <c r="H4291" s="12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1050</v>
      </c>
      <c r="N4291" t="b">
        <v>1</v>
      </c>
    </row>
    <row r="4292" spans="1:14" x14ac:dyDescent="0.3">
      <c r="A4292" t="s">
        <v>5338</v>
      </c>
      <c r="B4292" t="s">
        <v>924</v>
      </c>
      <c r="C4292" s="1">
        <v>45428</v>
      </c>
      <c r="D4292" s="1">
        <v>45502</v>
      </c>
      <c r="E4292" t="s">
        <v>39</v>
      </c>
      <c r="F4292">
        <v>12</v>
      </c>
      <c r="G4292" s="12">
        <v>588</v>
      </c>
      <c r="H4292" s="1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1050</v>
      </c>
      <c r="N4292" t="b">
        <v>1</v>
      </c>
    </row>
    <row r="4293" spans="1:14" x14ac:dyDescent="0.3">
      <c r="A4293" t="s">
        <v>5339</v>
      </c>
      <c r="B4293" t="s">
        <v>190</v>
      </c>
      <c r="C4293" s="1">
        <v>45505</v>
      </c>
      <c r="E4293" t="s">
        <v>39</v>
      </c>
      <c r="F4293">
        <v>148</v>
      </c>
      <c r="G4293" s="12">
        <v>0</v>
      </c>
      <c r="H4293" s="12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1050</v>
      </c>
      <c r="N4293" t="b">
        <v>1</v>
      </c>
    </row>
    <row r="4294" spans="1:14" x14ac:dyDescent="0.3">
      <c r="A4294" t="s">
        <v>5340</v>
      </c>
      <c r="B4294" t="s">
        <v>916</v>
      </c>
      <c r="C4294" s="1">
        <v>45418</v>
      </c>
      <c r="E4294" t="s">
        <v>15</v>
      </c>
      <c r="F4294">
        <v>13</v>
      </c>
      <c r="G4294" s="12">
        <v>247</v>
      </c>
      <c r="H4294" s="12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1050</v>
      </c>
      <c r="N4294" t="b">
        <v>1</v>
      </c>
    </row>
    <row r="4295" spans="1:14" x14ac:dyDescent="0.3">
      <c r="A4295" t="s">
        <v>5341</v>
      </c>
      <c r="B4295" t="s">
        <v>836</v>
      </c>
      <c r="C4295" s="1">
        <v>45612</v>
      </c>
      <c r="E4295" t="s">
        <v>32</v>
      </c>
      <c r="F4295">
        <v>117</v>
      </c>
      <c r="G4295" s="12">
        <v>23283</v>
      </c>
      <c r="H4295" s="12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1050</v>
      </c>
      <c r="N4295" t="b">
        <v>1</v>
      </c>
    </row>
    <row r="4296" spans="1:14" x14ac:dyDescent="0.3">
      <c r="A4296" t="s">
        <v>5342</v>
      </c>
      <c r="B4296" t="s">
        <v>378</v>
      </c>
      <c r="C4296" s="1">
        <v>45450</v>
      </c>
      <c r="E4296" t="s">
        <v>32</v>
      </c>
      <c r="F4296">
        <v>70</v>
      </c>
      <c r="G4296" s="12">
        <v>13930</v>
      </c>
      <c r="H4296" s="12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1047</v>
      </c>
      <c r="N4296" t="b">
        <v>1</v>
      </c>
    </row>
    <row r="4297" spans="1:14" x14ac:dyDescent="0.3">
      <c r="A4297" t="s">
        <v>5343</v>
      </c>
      <c r="B4297" t="s">
        <v>330</v>
      </c>
      <c r="C4297" s="1">
        <v>45311</v>
      </c>
      <c r="E4297" t="s">
        <v>32</v>
      </c>
      <c r="F4297">
        <v>30</v>
      </c>
      <c r="G4297" s="12">
        <v>5970</v>
      </c>
      <c r="H4297" s="12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1047</v>
      </c>
      <c r="N4297" t="b">
        <v>1</v>
      </c>
    </row>
    <row r="4298" spans="1:14" x14ac:dyDescent="0.3">
      <c r="A4298" t="s">
        <v>5344</v>
      </c>
      <c r="B4298" t="s">
        <v>714</v>
      </c>
      <c r="C4298" s="1">
        <v>45440</v>
      </c>
      <c r="E4298" t="s">
        <v>39</v>
      </c>
      <c r="F4298">
        <v>39</v>
      </c>
      <c r="G4298" s="12">
        <v>1911</v>
      </c>
      <c r="H4298" s="12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1050</v>
      </c>
      <c r="N4298" t="b">
        <v>1</v>
      </c>
    </row>
    <row r="4299" spans="1:14" x14ac:dyDescent="0.3">
      <c r="A4299" t="s">
        <v>5345</v>
      </c>
      <c r="B4299" t="s">
        <v>344</v>
      </c>
      <c r="C4299" s="1">
        <v>45497</v>
      </c>
      <c r="D4299" s="1">
        <v>45571</v>
      </c>
      <c r="E4299" t="s">
        <v>39</v>
      </c>
      <c r="F4299">
        <v>70</v>
      </c>
      <c r="G4299" s="12">
        <v>3430</v>
      </c>
      <c r="H4299" s="12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1047</v>
      </c>
      <c r="N4299" t="b">
        <v>1</v>
      </c>
    </row>
    <row r="4300" spans="1:14" x14ac:dyDescent="0.3">
      <c r="A4300" t="s">
        <v>5346</v>
      </c>
      <c r="B4300" t="s">
        <v>820</v>
      </c>
      <c r="C4300" s="1">
        <v>45462</v>
      </c>
      <c r="E4300" t="s">
        <v>32</v>
      </c>
      <c r="F4300">
        <v>55</v>
      </c>
      <c r="G4300" s="12">
        <v>0</v>
      </c>
      <c r="H4300" s="12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1047</v>
      </c>
      <c r="N4300" t="b">
        <v>1</v>
      </c>
    </row>
    <row r="4301" spans="1:14" x14ac:dyDescent="0.3">
      <c r="A4301" t="s">
        <v>5347</v>
      </c>
      <c r="B4301" t="s">
        <v>406</v>
      </c>
      <c r="C4301" s="1">
        <v>45496</v>
      </c>
      <c r="E4301" t="s">
        <v>32</v>
      </c>
      <c r="F4301">
        <v>8</v>
      </c>
      <c r="G4301" s="12">
        <v>1592</v>
      </c>
      <c r="H4301" s="12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1047</v>
      </c>
      <c r="N4301" t="b">
        <v>1</v>
      </c>
    </row>
    <row r="4302" spans="1:14" x14ac:dyDescent="0.3">
      <c r="A4302" t="s">
        <v>5348</v>
      </c>
      <c r="B4302" t="s">
        <v>880</v>
      </c>
      <c r="C4302" s="1">
        <v>45513</v>
      </c>
      <c r="E4302" t="s">
        <v>39</v>
      </c>
      <c r="F4302">
        <v>2</v>
      </c>
      <c r="G4302" s="12">
        <v>98</v>
      </c>
      <c r="H4302" s="1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1047</v>
      </c>
      <c r="N4302" t="b">
        <v>0</v>
      </c>
    </row>
    <row r="4303" spans="1:14" x14ac:dyDescent="0.3">
      <c r="A4303" t="s">
        <v>5349</v>
      </c>
      <c r="B4303" t="s">
        <v>506</v>
      </c>
      <c r="C4303" s="1">
        <v>45596</v>
      </c>
      <c r="E4303" t="s">
        <v>32</v>
      </c>
      <c r="F4303">
        <v>46</v>
      </c>
      <c r="G4303" s="12">
        <v>9154</v>
      </c>
      <c r="H4303" s="12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1047</v>
      </c>
      <c r="N4303" t="b">
        <v>1</v>
      </c>
    </row>
    <row r="4304" spans="1:14" x14ac:dyDescent="0.3">
      <c r="A4304" t="s">
        <v>5350</v>
      </c>
      <c r="B4304" t="s">
        <v>718</v>
      </c>
      <c r="C4304" s="1">
        <v>45561</v>
      </c>
      <c r="D4304" s="1">
        <v>45598</v>
      </c>
      <c r="E4304" t="s">
        <v>15</v>
      </c>
      <c r="F4304">
        <v>5</v>
      </c>
      <c r="G4304" s="12">
        <v>0</v>
      </c>
      <c r="H4304" s="12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1047</v>
      </c>
      <c r="N4304" t="b">
        <v>1</v>
      </c>
    </row>
    <row r="4305" spans="1:14" x14ac:dyDescent="0.3">
      <c r="A4305" t="s">
        <v>5351</v>
      </c>
      <c r="B4305" t="s">
        <v>902</v>
      </c>
      <c r="C4305" s="1">
        <v>45593</v>
      </c>
      <c r="E4305" t="s">
        <v>15</v>
      </c>
      <c r="F4305">
        <v>8</v>
      </c>
      <c r="G4305" s="12">
        <v>152</v>
      </c>
      <c r="H4305" s="12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1047</v>
      </c>
      <c r="N4305" t="b">
        <v>1</v>
      </c>
    </row>
    <row r="4306" spans="1:14" x14ac:dyDescent="0.3">
      <c r="A4306" t="s">
        <v>5352</v>
      </c>
      <c r="B4306" t="s">
        <v>968</v>
      </c>
      <c r="C4306" s="1">
        <v>45291</v>
      </c>
      <c r="E4306" t="s">
        <v>15</v>
      </c>
      <c r="F4306">
        <v>32</v>
      </c>
      <c r="G4306" s="12">
        <v>608</v>
      </c>
      <c r="H4306" s="12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1050</v>
      </c>
      <c r="N4306" t="b">
        <v>0</v>
      </c>
    </row>
    <row r="4307" spans="1:14" x14ac:dyDescent="0.3">
      <c r="A4307" t="s">
        <v>5353</v>
      </c>
      <c r="B4307" t="s">
        <v>228</v>
      </c>
      <c r="C4307" s="1">
        <v>45644</v>
      </c>
      <c r="E4307" t="s">
        <v>32</v>
      </c>
      <c r="F4307">
        <v>4</v>
      </c>
      <c r="G4307" s="12">
        <v>796</v>
      </c>
      <c r="H4307" s="12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1050</v>
      </c>
      <c r="N4307" t="b">
        <v>1</v>
      </c>
    </row>
    <row r="4308" spans="1:14" x14ac:dyDescent="0.3">
      <c r="A4308" t="s">
        <v>5354</v>
      </c>
      <c r="B4308" t="s">
        <v>630</v>
      </c>
      <c r="C4308" s="1">
        <v>45494</v>
      </c>
      <c r="E4308" t="s">
        <v>32</v>
      </c>
      <c r="F4308">
        <v>25</v>
      </c>
      <c r="G4308" s="12">
        <v>0</v>
      </c>
      <c r="H4308" s="12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1047</v>
      </c>
      <c r="N4308" t="b">
        <v>1</v>
      </c>
    </row>
    <row r="4309" spans="1:14" x14ac:dyDescent="0.3">
      <c r="A4309" t="s">
        <v>5355</v>
      </c>
      <c r="B4309" t="s">
        <v>434</v>
      </c>
      <c r="C4309" s="1">
        <v>45349</v>
      </c>
      <c r="E4309" t="s">
        <v>15</v>
      </c>
      <c r="F4309">
        <v>13</v>
      </c>
      <c r="G4309" s="12">
        <v>247</v>
      </c>
      <c r="H4309" s="12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1047</v>
      </c>
      <c r="N4309" t="b">
        <v>1</v>
      </c>
    </row>
    <row r="4310" spans="1:14" x14ac:dyDescent="0.3">
      <c r="A4310" t="s">
        <v>5356</v>
      </c>
      <c r="B4310" t="s">
        <v>122</v>
      </c>
      <c r="C4310" s="1">
        <v>45119</v>
      </c>
      <c r="E4310" t="s">
        <v>32</v>
      </c>
      <c r="F4310">
        <v>9</v>
      </c>
      <c r="G4310" s="12">
        <v>1791</v>
      </c>
      <c r="H4310" s="12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1050</v>
      </c>
      <c r="N4310" t="b">
        <v>1</v>
      </c>
    </row>
    <row r="4311" spans="1:14" x14ac:dyDescent="0.3">
      <c r="A4311" t="s">
        <v>5357</v>
      </c>
      <c r="B4311" t="s">
        <v>568</v>
      </c>
      <c r="C4311" s="1">
        <v>45634</v>
      </c>
      <c r="E4311" t="s">
        <v>32</v>
      </c>
      <c r="F4311">
        <v>51</v>
      </c>
      <c r="G4311" s="12">
        <v>10149</v>
      </c>
      <c r="H4311" s="12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1047</v>
      </c>
      <c r="N4311" t="b">
        <v>1</v>
      </c>
    </row>
    <row r="4312" spans="1:14" x14ac:dyDescent="0.3">
      <c r="A4312" t="s">
        <v>5358</v>
      </c>
      <c r="B4312" t="s">
        <v>586</v>
      </c>
      <c r="C4312" s="1">
        <v>45514</v>
      </c>
      <c r="D4312" s="1">
        <v>45564</v>
      </c>
      <c r="E4312" t="s">
        <v>32</v>
      </c>
      <c r="F4312">
        <v>13</v>
      </c>
      <c r="G4312" s="12">
        <v>0</v>
      </c>
      <c r="H4312" s="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1047</v>
      </c>
      <c r="N4312" t="b">
        <v>1</v>
      </c>
    </row>
    <row r="4313" spans="1:14" x14ac:dyDescent="0.3">
      <c r="A4313" t="s">
        <v>5359</v>
      </c>
      <c r="B4313" t="s">
        <v>636</v>
      </c>
      <c r="C4313" s="1">
        <v>45305</v>
      </c>
      <c r="E4313" t="s">
        <v>32</v>
      </c>
      <c r="F4313">
        <v>15</v>
      </c>
      <c r="G4313" s="12">
        <v>2985</v>
      </c>
      <c r="H4313" s="12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1047</v>
      </c>
      <c r="N4313" t="b">
        <v>1</v>
      </c>
    </row>
    <row r="4314" spans="1:14" x14ac:dyDescent="0.3">
      <c r="A4314" t="s">
        <v>5360</v>
      </c>
      <c r="B4314" t="s">
        <v>534</v>
      </c>
      <c r="C4314" s="1">
        <v>45408</v>
      </c>
      <c r="D4314" s="1">
        <v>45511</v>
      </c>
      <c r="E4314" t="s">
        <v>15</v>
      </c>
      <c r="F4314">
        <v>19</v>
      </c>
      <c r="G4314" s="12">
        <v>361</v>
      </c>
      <c r="H4314" s="12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1050</v>
      </c>
      <c r="N4314" t="b">
        <v>1</v>
      </c>
    </row>
    <row r="4315" spans="1:14" x14ac:dyDescent="0.3">
      <c r="A4315" t="s">
        <v>5361</v>
      </c>
      <c r="B4315" t="s">
        <v>260</v>
      </c>
      <c r="C4315" s="1">
        <v>45239</v>
      </c>
      <c r="E4315" t="s">
        <v>39</v>
      </c>
      <c r="F4315">
        <v>37</v>
      </c>
      <c r="G4315" s="12">
        <v>1813</v>
      </c>
      <c r="H4315" s="12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1047</v>
      </c>
      <c r="N4315" t="b">
        <v>1</v>
      </c>
    </row>
    <row r="4316" spans="1:14" x14ac:dyDescent="0.3">
      <c r="A4316" t="s">
        <v>5362</v>
      </c>
      <c r="B4316" t="s">
        <v>770</v>
      </c>
      <c r="C4316" s="1">
        <v>45416</v>
      </c>
      <c r="E4316" t="s">
        <v>15</v>
      </c>
      <c r="F4316">
        <v>51</v>
      </c>
      <c r="G4316" s="12">
        <v>0</v>
      </c>
      <c r="H4316" s="12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1050</v>
      </c>
      <c r="N4316" t="b">
        <v>1</v>
      </c>
    </row>
    <row r="4317" spans="1:14" x14ac:dyDescent="0.3">
      <c r="A4317" t="s">
        <v>5363</v>
      </c>
      <c r="B4317" t="s">
        <v>806</v>
      </c>
      <c r="C4317" s="1">
        <v>45657</v>
      </c>
      <c r="E4317" t="s">
        <v>39</v>
      </c>
      <c r="F4317">
        <v>11</v>
      </c>
      <c r="G4317" s="12">
        <v>539</v>
      </c>
      <c r="H4317" s="12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1047</v>
      </c>
      <c r="N4317" t="b">
        <v>1</v>
      </c>
    </row>
    <row r="4318" spans="1:14" x14ac:dyDescent="0.3">
      <c r="A4318" t="s">
        <v>5364</v>
      </c>
      <c r="B4318" t="s">
        <v>502</v>
      </c>
      <c r="C4318" s="1">
        <v>45485</v>
      </c>
      <c r="E4318" t="s">
        <v>39</v>
      </c>
      <c r="F4318">
        <v>5</v>
      </c>
      <c r="G4318" s="12">
        <v>245</v>
      </c>
      <c r="H4318" s="12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1047</v>
      </c>
      <c r="N4318" t="b">
        <v>1</v>
      </c>
    </row>
    <row r="4319" spans="1:14" x14ac:dyDescent="0.3">
      <c r="A4319" t="s">
        <v>5365</v>
      </c>
      <c r="B4319" t="s">
        <v>33</v>
      </c>
      <c r="C4319" s="1">
        <v>45305</v>
      </c>
      <c r="E4319" t="s">
        <v>15</v>
      </c>
      <c r="F4319">
        <v>16</v>
      </c>
      <c r="G4319" s="12">
        <v>304</v>
      </c>
      <c r="H4319" s="12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1047</v>
      </c>
      <c r="N4319" t="b">
        <v>1</v>
      </c>
    </row>
    <row r="4320" spans="1:14" x14ac:dyDescent="0.3">
      <c r="A4320" t="s">
        <v>5366</v>
      </c>
      <c r="B4320" t="s">
        <v>860</v>
      </c>
      <c r="C4320" s="1">
        <v>45008</v>
      </c>
      <c r="E4320" t="s">
        <v>32</v>
      </c>
      <c r="F4320">
        <v>19</v>
      </c>
      <c r="G4320" s="12">
        <v>3781</v>
      </c>
      <c r="H4320" s="12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1047</v>
      </c>
      <c r="N4320" t="b">
        <v>1</v>
      </c>
    </row>
    <row r="4321" spans="1:14" x14ac:dyDescent="0.3">
      <c r="A4321" t="s">
        <v>5367</v>
      </c>
      <c r="B4321" t="s">
        <v>372</v>
      </c>
      <c r="C4321" s="1">
        <v>45592</v>
      </c>
      <c r="E4321" t="s">
        <v>15</v>
      </c>
      <c r="F4321">
        <v>40</v>
      </c>
      <c r="G4321" s="12">
        <v>0</v>
      </c>
      <c r="H4321" s="12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1047</v>
      </c>
      <c r="N4321" t="b">
        <v>0</v>
      </c>
    </row>
    <row r="4322" spans="1:14" x14ac:dyDescent="0.3">
      <c r="A4322" t="s">
        <v>5368</v>
      </c>
      <c r="B4322" t="s">
        <v>886</v>
      </c>
      <c r="C4322" s="1">
        <v>45143</v>
      </c>
      <c r="E4322" t="s">
        <v>15</v>
      </c>
      <c r="F4322">
        <v>7</v>
      </c>
      <c r="G4322" s="12">
        <v>133</v>
      </c>
      <c r="H4322" s="1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1050</v>
      </c>
      <c r="N4322" t="b">
        <v>1</v>
      </c>
    </row>
    <row r="4323" spans="1:14" x14ac:dyDescent="0.3">
      <c r="A4323" t="s">
        <v>5369</v>
      </c>
      <c r="B4323" t="s">
        <v>370</v>
      </c>
      <c r="C4323" s="1">
        <v>45620</v>
      </c>
      <c r="E4323" t="s">
        <v>32</v>
      </c>
      <c r="F4323">
        <v>21</v>
      </c>
      <c r="G4323" s="12">
        <v>4179</v>
      </c>
      <c r="H4323" s="12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1050</v>
      </c>
      <c r="N4323" t="b">
        <v>1</v>
      </c>
    </row>
    <row r="4324" spans="1:14" x14ac:dyDescent="0.3">
      <c r="A4324" t="s">
        <v>5370</v>
      </c>
      <c r="B4324" t="s">
        <v>300</v>
      </c>
      <c r="C4324" s="1">
        <v>45640</v>
      </c>
      <c r="D4324" s="1">
        <v>45643</v>
      </c>
      <c r="E4324" t="s">
        <v>39</v>
      </c>
      <c r="F4324">
        <v>45</v>
      </c>
      <c r="G4324" s="12">
        <v>2205</v>
      </c>
      <c r="H4324" s="12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1050</v>
      </c>
      <c r="N4324" t="b">
        <v>1</v>
      </c>
    </row>
    <row r="4325" spans="1:14" x14ac:dyDescent="0.3">
      <c r="A4325" t="s">
        <v>5371</v>
      </c>
      <c r="B4325" t="s">
        <v>968</v>
      </c>
      <c r="C4325" s="1">
        <v>45073</v>
      </c>
      <c r="E4325" t="s">
        <v>32</v>
      </c>
      <c r="F4325">
        <v>32</v>
      </c>
      <c r="G4325" s="12">
        <v>6368</v>
      </c>
      <c r="H4325" s="12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1047</v>
      </c>
      <c r="N4325" t="b">
        <v>1</v>
      </c>
    </row>
    <row r="4326" spans="1:14" x14ac:dyDescent="0.3">
      <c r="A4326" t="s">
        <v>5372</v>
      </c>
      <c r="B4326" t="s">
        <v>430</v>
      </c>
      <c r="C4326" s="1">
        <v>45413</v>
      </c>
      <c r="E4326" t="s">
        <v>32</v>
      </c>
      <c r="F4326">
        <v>18</v>
      </c>
      <c r="G4326" s="12">
        <v>3582</v>
      </c>
      <c r="H4326" s="12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1050</v>
      </c>
      <c r="N4326" t="b">
        <v>1</v>
      </c>
    </row>
    <row r="4327" spans="1:14" x14ac:dyDescent="0.3">
      <c r="A4327" t="s">
        <v>5373</v>
      </c>
      <c r="B4327" t="s">
        <v>166</v>
      </c>
      <c r="C4327" s="1">
        <v>45056</v>
      </c>
      <c r="E4327" t="s">
        <v>15</v>
      </c>
      <c r="F4327">
        <v>18</v>
      </c>
      <c r="G4327" s="12">
        <v>342</v>
      </c>
      <c r="H4327" s="12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1050</v>
      </c>
      <c r="N4327" t="b">
        <v>1</v>
      </c>
    </row>
    <row r="4328" spans="1:14" x14ac:dyDescent="0.3">
      <c r="A4328" t="s">
        <v>5374</v>
      </c>
      <c r="B4328" t="s">
        <v>648</v>
      </c>
      <c r="C4328" s="1">
        <v>45201</v>
      </c>
      <c r="E4328" t="s">
        <v>15</v>
      </c>
      <c r="F4328">
        <v>15</v>
      </c>
      <c r="G4328" s="12">
        <v>285</v>
      </c>
      <c r="H4328" s="12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1050</v>
      </c>
      <c r="N4328" t="b">
        <v>1</v>
      </c>
    </row>
    <row r="4329" spans="1:14" x14ac:dyDescent="0.3">
      <c r="A4329" t="s">
        <v>5375</v>
      </c>
      <c r="B4329" t="s">
        <v>140</v>
      </c>
      <c r="C4329" s="1">
        <v>45636</v>
      </c>
      <c r="E4329" t="s">
        <v>39</v>
      </c>
      <c r="F4329">
        <v>36</v>
      </c>
      <c r="G4329" s="12">
        <v>1764</v>
      </c>
      <c r="H4329" s="12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1047</v>
      </c>
      <c r="N4329" t="b">
        <v>1</v>
      </c>
    </row>
    <row r="4330" spans="1:14" x14ac:dyDescent="0.3">
      <c r="A4330" t="s">
        <v>5376</v>
      </c>
      <c r="B4330" t="s">
        <v>266</v>
      </c>
      <c r="C4330" s="1">
        <v>45583</v>
      </c>
      <c r="E4330" t="s">
        <v>32</v>
      </c>
      <c r="F4330">
        <v>22</v>
      </c>
      <c r="G4330" s="12">
        <v>4378</v>
      </c>
      <c r="H4330" s="12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1050</v>
      </c>
      <c r="N4330" t="b">
        <v>1</v>
      </c>
    </row>
    <row r="4331" spans="1:14" x14ac:dyDescent="0.3">
      <c r="A4331" t="s">
        <v>5377</v>
      </c>
      <c r="B4331" t="s">
        <v>380</v>
      </c>
      <c r="C4331" s="1">
        <v>45358</v>
      </c>
      <c r="E4331" t="s">
        <v>32</v>
      </c>
      <c r="F4331">
        <v>12</v>
      </c>
      <c r="G4331" s="12">
        <v>2388</v>
      </c>
      <c r="H4331" s="12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1047</v>
      </c>
      <c r="N4331" t="b">
        <v>0</v>
      </c>
    </row>
    <row r="4332" spans="1:14" x14ac:dyDescent="0.3">
      <c r="A4332" t="s">
        <v>5378</v>
      </c>
      <c r="B4332" t="s">
        <v>804</v>
      </c>
      <c r="C4332" s="1">
        <v>45469</v>
      </c>
      <c r="E4332" t="s">
        <v>15</v>
      </c>
      <c r="F4332">
        <v>2</v>
      </c>
      <c r="G4332" s="12">
        <v>0</v>
      </c>
      <c r="H4332" s="1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1047</v>
      </c>
      <c r="N4332" t="b">
        <v>1</v>
      </c>
    </row>
    <row r="4333" spans="1:14" x14ac:dyDescent="0.3">
      <c r="A4333" t="s">
        <v>5379</v>
      </c>
      <c r="B4333" t="s">
        <v>864</v>
      </c>
      <c r="C4333" s="1">
        <v>45617</v>
      </c>
      <c r="E4333" t="s">
        <v>15</v>
      </c>
      <c r="F4333">
        <v>17</v>
      </c>
      <c r="G4333" s="12">
        <v>323</v>
      </c>
      <c r="H4333" s="12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1047</v>
      </c>
      <c r="N4333" t="b">
        <v>0</v>
      </c>
    </row>
    <row r="4334" spans="1:14" x14ac:dyDescent="0.3">
      <c r="A4334" t="s">
        <v>5380</v>
      </c>
      <c r="B4334" t="s">
        <v>650</v>
      </c>
      <c r="C4334" s="1">
        <v>45647</v>
      </c>
      <c r="E4334" t="s">
        <v>32</v>
      </c>
      <c r="F4334">
        <v>5</v>
      </c>
      <c r="G4334" s="12">
        <v>995</v>
      </c>
      <c r="H4334" s="12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1047</v>
      </c>
      <c r="N4334" t="b">
        <v>1</v>
      </c>
    </row>
    <row r="4335" spans="1:14" x14ac:dyDescent="0.3">
      <c r="A4335" t="s">
        <v>5381</v>
      </c>
      <c r="B4335" t="s">
        <v>104</v>
      </c>
      <c r="C4335" s="1">
        <v>45528</v>
      </c>
      <c r="E4335" t="s">
        <v>39</v>
      </c>
      <c r="F4335">
        <v>79</v>
      </c>
      <c r="G4335" s="12">
        <v>3871</v>
      </c>
      <c r="H4335" s="12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1050</v>
      </c>
      <c r="N4335" t="b">
        <v>1</v>
      </c>
    </row>
    <row r="4336" spans="1:14" x14ac:dyDescent="0.3">
      <c r="A4336" t="s">
        <v>5382</v>
      </c>
      <c r="B4336" t="s">
        <v>372</v>
      </c>
      <c r="C4336" s="1">
        <v>45552</v>
      </c>
      <c r="E4336" t="s">
        <v>39</v>
      </c>
      <c r="F4336">
        <v>40</v>
      </c>
      <c r="G4336" s="12">
        <v>1960</v>
      </c>
      <c r="H4336" s="12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1047</v>
      </c>
      <c r="N4336" t="b">
        <v>0</v>
      </c>
    </row>
    <row r="4337" spans="1:14" x14ac:dyDescent="0.3">
      <c r="A4337" t="s">
        <v>5383</v>
      </c>
      <c r="B4337" t="s">
        <v>124</v>
      </c>
      <c r="C4337" s="1">
        <v>45477</v>
      </c>
      <c r="E4337" t="s">
        <v>15</v>
      </c>
      <c r="F4337">
        <v>9</v>
      </c>
      <c r="G4337" s="12">
        <v>171</v>
      </c>
      <c r="H4337" s="12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1050</v>
      </c>
      <c r="N4337" t="b">
        <v>1</v>
      </c>
    </row>
    <row r="4338" spans="1:14" x14ac:dyDescent="0.3">
      <c r="A4338" t="s">
        <v>5384</v>
      </c>
      <c r="B4338" t="s">
        <v>162</v>
      </c>
      <c r="C4338" s="1">
        <v>45604</v>
      </c>
      <c r="D4338" s="1">
        <v>45606</v>
      </c>
      <c r="E4338" t="s">
        <v>32</v>
      </c>
      <c r="F4338">
        <v>43</v>
      </c>
      <c r="G4338" s="12">
        <v>8557</v>
      </c>
      <c r="H4338" s="12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1050</v>
      </c>
      <c r="N4338" t="b">
        <v>0</v>
      </c>
    </row>
    <row r="4339" spans="1:14" x14ac:dyDescent="0.3">
      <c r="A4339" t="s">
        <v>5385</v>
      </c>
      <c r="B4339" t="s">
        <v>674</v>
      </c>
      <c r="C4339" s="1">
        <v>45553</v>
      </c>
      <c r="E4339" t="s">
        <v>39</v>
      </c>
      <c r="F4339">
        <v>25</v>
      </c>
      <c r="G4339" s="12">
        <v>1225</v>
      </c>
      <c r="H4339" s="12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1047</v>
      </c>
      <c r="N4339" t="b">
        <v>1</v>
      </c>
    </row>
    <row r="4340" spans="1:14" x14ac:dyDescent="0.3">
      <c r="A4340" t="s">
        <v>5386</v>
      </c>
      <c r="B4340" t="s">
        <v>534</v>
      </c>
      <c r="C4340" s="1">
        <v>45500</v>
      </c>
      <c r="E4340" t="s">
        <v>39</v>
      </c>
      <c r="F4340">
        <v>19</v>
      </c>
      <c r="G4340" s="12">
        <v>931</v>
      </c>
      <c r="H4340" s="12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1050</v>
      </c>
      <c r="N4340" t="b">
        <v>1</v>
      </c>
    </row>
    <row r="4341" spans="1:14" x14ac:dyDescent="0.3">
      <c r="A4341" t="s">
        <v>5387</v>
      </c>
      <c r="B4341" t="s">
        <v>1018</v>
      </c>
      <c r="C4341" s="1">
        <v>44997</v>
      </c>
      <c r="E4341" t="s">
        <v>32</v>
      </c>
      <c r="F4341">
        <v>42</v>
      </c>
      <c r="G4341" s="12">
        <v>0</v>
      </c>
      <c r="H4341" s="12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1047</v>
      </c>
      <c r="N4341" t="b">
        <v>1</v>
      </c>
    </row>
    <row r="4342" spans="1:14" x14ac:dyDescent="0.3">
      <c r="A4342" t="s">
        <v>5388</v>
      </c>
      <c r="B4342" t="s">
        <v>148</v>
      </c>
      <c r="C4342" s="1">
        <v>45116</v>
      </c>
      <c r="E4342" t="s">
        <v>39</v>
      </c>
      <c r="F4342">
        <v>25</v>
      </c>
      <c r="G4342" s="12">
        <v>1225</v>
      </c>
      <c r="H4342" s="1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1047</v>
      </c>
      <c r="N4342" t="b">
        <v>1</v>
      </c>
    </row>
    <row r="4343" spans="1:14" x14ac:dyDescent="0.3">
      <c r="A4343" t="s">
        <v>5389</v>
      </c>
      <c r="B4343" t="s">
        <v>990</v>
      </c>
      <c r="C4343" s="1">
        <v>45514</v>
      </c>
      <c r="E4343" t="s">
        <v>15</v>
      </c>
      <c r="F4343">
        <v>70</v>
      </c>
      <c r="G4343" s="12">
        <v>1330</v>
      </c>
      <c r="H4343" s="12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1047</v>
      </c>
      <c r="N4343" t="b">
        <v>1</v>
      </c>
    </row>
    <row r="4344" spans="1:14" x14ac:dyDescent="0.3">
      <c r="A4344" t="s">
        <v>5390</v>
      </c>
      <c r="B4344" t="s">
        <v>562</v>
      </c>
      <c r="C4344" s="1">
        <v>45643</v>
      </c>
      <c r="E4344" t="s">
        <v>15</v>
      </c>
      <c r="F4344">
        <v>29</v>
      </c>
      <c r="G4344" s="12">
        <v>0</v>
      </c>
      <c r="H4344" s="12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1050</v>
      </c>
      <c r="N4344" t="b">
        <v>1</v>
      </c>
    </row>
    <row r="4345" spans="1:14" x14ac:dyDescent="0.3">
      <c r="A4345" t="s">
        <v>5391</v>
      </c>
      <c r="B4345" t="s">
        <v>428</v>
      </c>
      <c r="C4345" s="1">
        <v>45450</v>
      </c>
      <c r="D4345" s="1">
        <v>45472</v>
      </c>
      <c r="E4345" t="s">
        <v>32</v>
      </c>
      <c r="F4345">
        <v>11</v>
      </c>
      <c r="G4345" s="12">
        <v>2189</v>
      </c>
      <c r="H4345" s="12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1047</v>
      </c>
      <c r="N4345" t="b">
        <v>0</v>
      </c>
    </row>
    <row r="4346" spans="1:14" x14ac:dyDescent="0.3">
      <c r="A4346" t="s">
        <v>5392</v>
      </c>
      <c r="B4346" t="s">
        <v>424</v>
      </c>
      <c r="C4346" s="1">
        <v>45113</v>
      </c>
      <c r="E4346" t="s">
        <v>32</v>
      </c>
      <c r="F4346">
        <v>20</v>
      </c>
      <c r="G4346" s="12">
        <v>3980</v>
      </c>
      <c r="H4346" s="12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1050</v>
      </c>
      <c r="N4346" t="b">
        <v>0</v>
      </c>
    </row>
    <row r="4347" spans="1:14" x14ac:dyDescent="0.3">
      <c r="A4347" t="s">
        <v>5393</v>
      </c>
      <c r="B4347" t="s">
        <v>104</v>
      </c>
      <c r="C4347" s="1">
        <v>45549</v>
      </c>
      <c r="E4347" t="s">
        <v>32</v>
      </c>
      <c r="F4347">
        <v>14</v>
      </c>
      <c r="G4347" s="12">
        <v>0</v>
      </c>
      <c r="H4347" s="12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1047</v>
      </c>
      <c r="N4347" t="b">
        <v>1</v>
      </c>
    </row>
    <row r="4348" spans="1:14" x14ac:dyDescent="0.3">
      <c r="A4348" t="s">
        <v>5394</v>
      </c>
      <c r="B4348" t="s">
        <v>132</v>
      </c>
      <c r="C4348" s="1">
        <v>45469</v>
      </c>
      <c r="E4348" t="s">
        <v>15</v>
      </c>
      <c r="F4348">
        <v>74</v>
      </c>
      <c r="G4348" s="12">
        <v>1406</v>
      </c>
      <c r="H4348" s="12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1050</v>
      </c>
      <c r="N4348" t="b">
        <v>1</v>
      </c>
    </row>
    <row r="4349" spans="1:14" x14ac:dyDescent="0.3">
      <c r="A4349" t="s">
        <v>5395</v>
      </c>
      <c r="B4349" t="s">
        <v>948</v>
      </c>
      <c r="C4349" s="1">
        <v>45601</v>
      </c>
      <c r="E4349" t="s">
        <v>39</v>
      </c>
      <c r="F4349">
        <v>14</v>
      </c>
      <c r="G4349" s="12">
        <v>686</v>
      </c>
      <c r="H4349" s="12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1047</v>
      </c>
      <c r="N4349" t="b">
        <v>1</v>
      </c>
    </row>
    <row r="4350" spans="1:14" x14ac:dyDescent="0.3">
      <c r="A4350" t="s">
        <v>5396</v>
      </c>
      <c r="B4350" t="s">
        <v>866</v>
      </c>
      <c r="C4350" s="1">
        <v>45515</v>
      </c>
      <c r="E4350" t="s">
        <v>32</v>
      </c>
      <c r="F4350">
        <v>49</v>
      </c>
      <c r="G4350" s="12">
        <v>9751</v>
      </c>
      <c r="H4350" s="12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1047</v>
      </c>
      <c r="N4350" t="b">
        <v>1</v>
      </c>
    </row>
    <row r="4351" spans="1:14" x14ac:dyDescent="0.3">
      <c r="A4351" t="s">
        <v>5397</v>
      </c>
      <c r="B4351" t="s">
        <v>476</v>
      </c>
      <c r="C4351" s="1">
        <v>45632</v>
      </c>
      <c r="D4351" s="1">
        <v>45652</v>
      </c>
      <c r="E4351" t="s">
        <v>39</v>
      </c>
      <c r="F4351">
        <v>26</v>
      </c>
      <c r="G4351" s="12">
        <v>1274</v>
      </c>
      <c r="H4351" s="12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1050</v>
      </c>
      <c r="N4351" t="b">
        <v>1</v>
      </c>
    </row>
    <row r="4352" spans="1:14" x14ac:dyDescent="0.3">
      <c r="A4352" t="s">
        <v>5398</v>
      </c>
      <c r="B4352" t="s">
        <v>464</v>
      </c>
      <c r="C4352" s="1">
        <v>45571</v>
      </c>
      <c r="E4352" t="s">
        <v>32</v>
      </c>
      <c r="F4352">
        <v>15</v>
      </c>
      <c r="G4352" s="12">
        <v>0</v>
      </c>
      <c r="H4352" s="1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1047</v>
      </c>
      <c r="N4352" t="b">
        <v>1</v>
      </c>
    </row>
    <row r="4353" spans="1:14" x14ac:dyDescent="0.3">
      <c r="A4353" t="s">
        <v>5399</v>
      </c>
      <c r="B4353" t="s">
        <v>666</v>
      </c>
      <c r="C4353" s="1">
        <v>45565</v>
      </c>
      <c r="E4353" t="s">
        <v>32</v>
      </c>
      <c r="F4353">
        <v>16</v>
      </c>
      <c r="G4353" s="12">
        <v>3184</v>
      </c>
      <c r="H4353" s="12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1050</v>
      </c>
      <c r="N4353" t="b">
        <v>0</v>
      </c>
    </row>
    <row r="4354" spans="1:14" x14ac:dyDescent="0.3">
      <c r="A4354" t="s">
        <v>5400</v>
      </c>
      <c r="B4354" t="s">
        <v>326</v>
      </c>
      <c r="C4354" s="1">
        <v>45613</v>
      </c>
      <c r="E4354" t="s">
        <v>15</v>
      </c>
      <c r="F4354">
        <v>33</v>
      </c>
      <c r="G4354" s="12">
        <v>627</v>
      </c>
      <c r="H4354" s="12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1047</v>
      </c>
      <c r="N4354" t="b">
        <v>1</v>
      </c>
    </row>
    <row r="4355" spans="1:14" x14ac:dyDescent="0.3">
      <c r="A4355" t="s">
        <v>5401</v>
      </c>
      <c r="B4355" t="s">
        <v>340</v>
      </c>
      <c r="C4355" s="1">
        <v>45641</v>
      </c>
      <c r="E4355" t="s">
        <v>15</v>
      </c>
      <c r="F4355">
        <v>9</v>
      </c>
      <c r="G4355" s="12">
        <v>171</v>
      </c>
      <c r="H4355" s="12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1050</v>
      </c>
      <c r="N4355" t="b">
        <v>1</v>
      </c>
    </row>
    <row r="4356" spans="1:14" x14ac:dyDescent="0.3">
      <c r="A4356" t="s">
        <v>5402</v>
      </c>
      <c r="B4356" t="s">
        <v>828</v>
      </c>
      <c r="C4356" s="1">
        <v>45506</v>
      </c>
      <c r="E4356" t="s">
        <v>39</v>
      </c>
      <c r="F4356">
        <v>69</v>
      </c>
      <c r="G4356" s="12">
        <v>3381</v>
      </c>
      <c r="H4356" s="12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1050</v>
      </c>
      <c r="N4356" t="b">
        <v>1</v>
      </c>
    </row>
    <row r="4357" spans="1:14" x14ac:dyDescent="0.3">
      <c r="A4357" t="s">
        <v>5403</v>
      </c>
      <c r="B4357" t="s">
        <v>272</v>
      </c>
      <c r="C4357" s="1">
        <v>45570</v>
      </c>
      <c r="E4357" t="s">
        <v>32</v>
      </c>
      <c r="F4357">
        <v>15</v>
      </c>
      <c r="G4357" s="12">
        <v>0</v>
      </c>
      <c r="H4357" s="12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1047</v>
      </c>
      <c r="N4357" t="b">
        <v>1</v>
      </c>
    </row>
    <row r="4358" spans="1:14" x14ac:dyDescent="0.3">
      <c r="A4358" t="s">
        <v>5404</v>
      </c>
      <c r="B4358" t="s">
        <v>446</v>
      </c>
      <c r="C4358" s="1">
        <v>45342</v>
      </c>
      <c r="E4358" t="s">
        <v>15</v>
      </c>
      <c r="F4358">
        <v>19</v>
      </c>
      <c r="G4358" s="12">
        <v>361</v>
      </c>
      <c r="H4358" s="12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1047</v>
      </c>
      <c r="N4358" t="b">
        <v>1</v>
      </c>
    </row>
    <row r="4359" spans="1:14" x14ac:dyDescent="0.3">
      <c r="A4359" t="s">
        <v>5405</v>
      </c>
      <c r="B4359" t="s">
        <v>690</v>
      </c>
      <c r="C4359" s="1">
        <v>45488</v>
      </c>
      <c r="E4359" t="s">
        <v>32</v>
      </c>
      <c r="F4359">
        <v>32</v>
      </c>
      <c r="G4359" s="12">
        <v>6368</v>
      </c>
      <c r="H4359" s="12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1047</v>
      </c>
      <c r="N4359" t="b">
        <v>1</v>
      </c>
    </row>
    <row r="4360" spans="1:14" x14ac:dyDescent="0.3">
      <c r="A4360" t="s">
        <v>5406</v>
      </c>
      <c r="B4360" t="s">
        <v>83</v>
      </c>
      <c r="C4360" s="1">
        <v>45148</v>
      </c>
      <c r="E4360" t="s">
        <v>32</v>
      </c>
      <c r="F4360">
        <v>19</v>
      </c>
      <c r="G4360" s="12">
        <v>3781</v>
      </c>
      <c r="H4360" s="12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1050</v>
      </c>
      <c r="N4360" t="b">
        <v>1</v>
      </c>
    </row>
    <row r="4361" spans="1:14" x14ac:dyDescent="0.3">
      <c r="A4361" t="s">
        <v>5407</v>
      </c>
      <c r="B4361" t="s">
        <v>492</v>
      </c>
      <c r="C4361" s="1">
        <v>45645</v>
      </c>
      <c r="E4361" t="s">
        <v>32</v>
      </c>
      <c r="F4361">
        <v>5</v>
      </c>
      <c r="G4361" s="12">
        <v>0</v>
      </c>
      <c r="H4361" s="12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1047</v>
      </c>
      <c r="N4361" t="b">
        <v>1</v>
      </c>
    </row>
    <row r="4362" spans="1:14" x14ac:dyDescent="0.3">
      <c r="A4362" t="s">
        <v>5408</v>
      </c>
      <c r="B4362" t="s">
        <v>650</v>
      </c>
      <c r="C4362" s="1">
        <v>45576</v>
      </c>
      <c r="E4362" t="s">
        <v>32</v>
      </c>
      <c r="F4362">
        <v>6</v>
      </c>
      <c r="G4362" s="12">
        <v>1194</v>
      </c>
      <c r="H4362" s="1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1050</v>
      </c>
      <c r="N4362" t="b">
        <v>1</v>
      </c>
    </row>
    <row r="4363" spans="1:14" x14ac:dyDescent="0.3">
      <c r="A4363" t="s">
        <v>5409</v>
      </c>
      <c r="B4363" t="s">
        <v>608</v>
      </c>
      <c r="C4363" s="1">
        <v>45154</v>
      </c>
      <c r="E4363" t="s">
        <v>39</v>
      </c>
      <c r="F4363">
        <v>4</v>
      </c>
      <c r="G4363" s="12">
        <v>196</v>
      </c>
      <c r="H4363" s="12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1050</v>
      </c>
      <c r="N4363" t="b">
        <v>0</v>
      </c>
    </row>
    <row r="4364" spans="1:14" x14ac:dyDescent="0.3">
      <c r="A4364" t="s">
        <v>5410</v>
      </c>
      <c r="B4364" t="s">
        <v>616</v>
      </c>
      <c r="C4364" s="1">
        <v>45299</v>
      </c>
      <c r="E4364" t="s">
        <v>15</v>
      </c>
      <c r="F4364">
        <v>25</v>
      </c>
      <c r="G4364" s="12">
        <v>475</v>
      </c>
      <c r="H4364" s="12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1050</v>
      </c>
      <c r="N4364" t="b">
        <v>1</v>
      </c>
    </row>
    <row r="4365" spans="1:14" x14ac:dyDescent="0.3">
      <c r="A4365" t="s">
        <v>5411</v>
      </c>
      <c r="B4365" t="s">
        <v>290</v>
      </c>
      <c r="C4365" s="1">
        <v>45628</v>
      </c>
      <c r="E4365" t="s">
        <v>15</v>
      </c>
      <c r="F4365">
        <v>93</v>
      </c>
      <c r="G4365" s="12">
        <v>1767</v>
      </c>
      <c r="H4365" s="12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1050</v>
      </c>
      <c r="N4365" t="b">
        <v>0</v>
      </c>
    </row>
    <row r="4366" spans="1:14" x14ac:dyDescent="0.3">
      <c r="A4366" t="s">
        <v>5412</v>
      </c>
      <c r="B4366" t="s">
        <v>804</v>
      </c>
      <c r="C4366" s="1">
        <v>45638</v>
      </c>
      <c r="E4366" t="s">
        <v>32</v>
      </c>
      <c r="F4366">
        <v>9</v>
      </c>
      <c r="G4366" s="12">
        <v>0</v>
      </c>
      <c r="H4366" s="12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1050</v>
      </c>
      <c r="N4366" t="b">
        <v>1</v>
      </c>
    </row>
    <row r="4367" spans="1:14" x14ac:dyDescent="0.3">
      <c r="A4367" t="s">
        <v>5413</v>
      </c>
      <c r="B4367" t="s">
        <v>814</v>
      </c>
      <c r="C4367" s="1">
        <v>45592</v>
      </c>
      <c r="E4367" t="s">
        <v>32</v>
      </c>
      <c r="F4367">
        <v>30</v>
      </c>
      <c r="G4367" s="12">
        <v>5970</v>
      </c>
      <c r="H4367" s="12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1050</v>
      </c>
      <c r="N4367" t="b">
        <v>1</v>
      </c>
    </row>
    <row r="4368" spans="1:14" x14ac:dyDescent="0.3">
      <c r="A4368" t="s">
        <v>5414</v>
      </c>
      <c r="B4368" t="s">
        <v>920</v>
      </c>
      <c r="C4368" s="1">
        <v>45611</v>
      </c>
      <c r="D4368" s="1">
        <v>45629</v>
      </c>
      <c r="E4368" t="s">
        <v>32</v>
      </c>
      <c r="F4368">
        <v>54</v>
      </c>
      <c r="G4368" s="12">
        <v>10746</v>
      </c>
      <c r="H4368" s="12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1050</v>
      </c>
      <c r="N4368" t="b">
        <v>0</v>
      </c>
    </row>
    <row r="4369" spans="1:14" x14ac:dyDescent="0.3">
      <c r="A4369" t="s">
        <v>5415</v>
      </c>
      <c r="B4369" t="s">
        <v>120</v>
      </c>
      <c r="C4369" s="1">
        <v>45638</v>
      </c>
      <c r="E4369" t="s">
        <v>32</v>
      </c>
      <c r="F4369">
        <v>34</v>
      </c>
      <c r="G4369" s="12">
        <v>6766</v>
      </c>
      <c r="H4369" s="12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1050</v>
      </c>
      <c r="N4369" t="b">
        <v>1</v>
      </c>
    </row>
    <row r="4370" spans="1:14" x14ac:dyDescent="0.3">
      <c r="A4370" t="s">
        <v>5416</v>
      </c>
      <c r="B4370" t="s">
        <v>178</v>
      </c>
      <c r="C4370" s="1">
        <v>45569</v>
      </c>
      <c r="E4370" t="s">
        <v>39</v>
      </c>
      <c r="F4370">
        <v>15</v>
      </c>
      <c r="G4370" s="12">
        <v>0</v>
      </c>
      <c r="H4370" s="12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1050</v>
      </c>
      <c r="N4370" t="b">
        <v>1</v>
      </c>
    </row>
    <row r="4371" spans="1:14" x14ac:dyDescent="0.3">
      <c r="A4371" t="s">
        <v>5417</v>
      </c>
      <c r="B4371" t="s">
        <v>682</v>
      </c>
      <c r="C4371" s="1">
        <v>45559</v>
      </c>
      <c r="E4371" t="s">
        <v>15</v>
      </c>
      <c r="F4371">
        <v>17</v>
      </c>
      <c r="G4371" s="12">
        <v>0</v>
      </c>
      <c r="H4371" s="12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1047</v>
      </c>
      <c r="N4371" t="b">
        <v>1</v>
      </c>
    </row>
    <row r="4372" spans="1:14" x14ac:dyDescent="0.3">
      <c r="A4372" t="s">
        <v>5418</v>
      </c>
      <c r="B4372" t="s">
        <v>368</v>
      </c>
      <c r="C4372" s="1">
        <v>45626</v>
      </c>
      <c r="E4372" t="s">
        <v>15</v>
      </c>
      <c r="F4372">
        <v>34</v>
      </c>
      <c r="G4372" s="12">
        <v>646</v>
      </c>
      <c r="H4372" s="1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1050</v>
      </c>
      <c r="N4372" t="b">
        <v>1</v>
      </c>
    </row>
    <row r="4373" spans="1:14" x14ac:dyDescent="0.3">
      <c r="A4373" t="s">
        <v>5419</v>
      </c>
      <c r="B4373" t="s">
        <v>47</v>
      </c>
      <c r="C4373" s="1">
        <v>45624</v>
      </c>
      <c r="D4373" s="1">
        <v>45636</v>
      </c>
      <c r="E4373" t="s">
        <v>39</v>
      </c>
      <c r="F4373">
        <v>18</v>
      </c>
      <c r="G4373" s="12">
        <v>0</v>
      </c>
      <c r="H4373" s="12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1047</v>
      </c>
      <c r="N4373" t="b">
        <v>1</v>
      </c>
    </row>
    <row r="4374" spans="1:14" x14ac:dyDescent="0.3">
      <c r="A4374" t="s">
        <v>5420</v>
      </c>
      <c r="B4374" t="s">
        <v>940</v>
      </c>
      <c r="C4374" s="1">
        <v>45458</v>
      </c>
      <c r="E4374" t="s">
        <v>15</v>
      </c>
      <c r="F4374">
        <v>34</v>
      </c>
      <c r="G4374" s="12">
        <v>646</v>
      </c>
      <c r="H4374" s="12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1047</v>
      </c>
      <c r="N4374" t="b">
        <v>1</v>
      </c>
    </row>
    <row r="4375" spans="1:14" x14ac:dyDescent="0.3">
      <c r="A4375" t="s">
        <v>5421</v>
      </c>
      <c r="B4375" t="s">
        <v>888</v>
      </c>
      <c r="C4375" s="1">
        <v>45201</v>
      </c>
      <c r="E4375" t="s">
        <v>39</v>
      </c>
      <c r="F4375">
        <v>11</v>
      </c>
      <c r="G4375" s="12">
        <v>0</v>
      </c>
      <c r="H4375" s="12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1047</v>
      </c>
      <c r="N4375" t="b">
        <v>0</v>
      </c>
    </row>
    <row r="4376" spans="1:14" x14ac:dyDescent="0.3">
      <c r="A4376" t="s">
        <v>5422</v>
      </c>
      <c r="B4376" t="s">
        <v>824</v>
      </c>
      <c r="C4376" s="1">
        <v>45498</v>
      </c>
      <c r="E4376" t="s">
        <v>39</v>
      </c>
      <c r="F4376">
        <v>17</v>
      </c>
      <c r="G4376" s="12">
        <v>833</v>
      </c>
      <c r="H4376" s="12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1047</v>
      </c>
      <c r="N4376" t="b">
        <v>1</v>
      </c>
    </row>
    <row r="4377" spans="1:14" x14ac:dyDescent="0.3">
      <c r="A4377" t="s">
        <v>5423</v>
      </c>
      <c r="B4377" t="s">
        <v>446</v>
      </c>
      <c r="C4377" s="1">
        <v>45637</v>
      </c>
      <c r="E4377" t="s">
        <v>32</v>
      </c>
      <c r="F4377">
        <v>19</v>
      </c>
      <c r="G4377" s="12">
        <v>0</v>
      </c>
      <c r="H4377" s="12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1047</v>
      </c>
      <c r="N4377" t="b">
        <v>1</v>
      </c>
    </row>
    <row r="4378" spans="1:14" x14ac:dyDescent="0.3">
      <c r="A4378" t="s">
        <v>5424</v>
      </c>
      <c r="B4378" t="s">
        <v>600</v>
      </c>
      <c r="C4378" s="1">
        <v>45595</v>
      </c>
      <c r="E4378" t="s">
        <v>15</v>
      </c>
      <c r="F4378">
        <v>8</v>
      </c>
      <c r="G4378" s="12">
        <v>0</v>
      </c>
      <c r="H4378" s="12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1050</v>
      </c>
      <c r="N4378" t="b">
        <v>1</v>
      </c>
    </row>
    <row r="4379" spans="1:14" x14ac:dyDescent="0.3">
      <c r="A4379" t="s">
        <v>5425</v>
      </c>
      <c r="B4379" t="s">
        <v>684</v>
      </c>
      <c r="C4379" s="1">
        <v>45304</v>
      </c>
      <c r="E4379" t="s">
        <v>39</v>
      </c>
      <c r="F4379">
        <v>29</v>
      </c>
      <c r="G4379" s="12">
        <v>1421</v>
      </c>
      <c r="H4379" s="12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1050</v>
      </c>
      <c r="N4379" t="b">
        <v>1</v>
      </c>
    </row>
    <row r="4380" spans="1:14" x14ac:dyDescent="0.3">
      <c r="A4380" t="s">
        <v>5426</v>
      </c>
      <c r="B4380" t="s">
        <v>1024</v>
      </c>
      <c r="C4380" s="1">
        <v>45604</v>
      </c>
      <c r="E4380" t="s">
        <v>32</v>
      </c>
      <c r="F4380">
        <v>9</v>
      </c>
      <c r="G4380" s="12">
        <v>0</v>
      </c>
      <c r="H4380" s="12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1050</v>
      </c>
      <c r="N4380" t="b">
        <v>0</v>
      </c>
    </row>
    <row r="4381" spans="1:14" x14ac:dyDescent="0.3">
      <c r="A4381" t="s">
        <v>5427</v>
      </c>
      <c r="B4381" t="s">
        <v>208</v>
      </c>
      <c r="C4381" s="1">
        <v>45576</v>
      </c>
      <c r="E4381" t="s">
        <v>39</v>
      </c>
      <c r="F4381">
        <v>24</v>
      </c>
      <c r="G4381" s="12">
        <v>1176</v>
      </c>
      <c r="H4381" s="12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1047</v>
      </c>
      <c r="N4381" t="b">
        <v>1</v>
      </c>
    </row>
    <row r="4382" spans="1:14" x14ac:dyDescent="0.3">
      <c r="A4382" t="s">
        <v>5428</v>
      </c>
      <c r="B4382" t="s">
        <v>562</v>
      </c>
      <c r="C4382" s="1">
        <v>45572</v>
      </c>
      <c r="E4382" t="s">
        <v>15</v>
      </c>
      <c r="F4382">
        <v>23</v>
      </c>
      <c r="G4382" s="12">
        <v>437</v>
      </c>
      <c r="H4382" s="1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1050</v>
      </c>
      <c r="N4382" t="b">
        <v>1</v>
      </c>
    </row>
    <row r="4383" spans="1:14" x14ac:dyDescent="0.3">
      <c r="A4383" t="s">
        <v>5429</v>
      </c>
      <c r="B4383" t="s">
        <v>716</v>
      </c>
      <c r="C4383" s="1">
        <v>45624</v>
      </c>
      <c r="E4383" t="s">
        <v>32</v>
      </c>
      <c r="F4383">
        <v>35</v>
      </c>
      <c r="G4383" s="12">
        <v>6965</v>
      </c>
      <c r="H4383" s="12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1050</v>
      </c>
      <c r="N4383" t="b">
        <v>0</v>
      </c>
    </row>
    <row r="4384" spans="1:14" x14ac:dyDescent="0.3">
      <c r="A4384" t="s">
        <v>5430</v>
      </c>
      <c r="B4384" t="s">
        <v>694</v>
      </c>
      <c r="C4384" s="1">
        <v>45255</v>
      </c>
      <c r="E4384" t="s">
        <v>32</v>
      </c>
      <c r="F4384">
        <v>49</v>
      </c>
      <c r="G4384" s="12">
        <v>0</v>
      </c>
      <c r="H4384" s="12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1047</v>
      </c>
      <c r="N4384" t="b">
        <v>1</v>
      </c>
    </row>
    <row r="4385" spans="1:14" x14ac:dyDescent="0.3">
      <c r="A4385" t="s">
        <v>5431</v>
      </c>
      <c r="B4385" t="s">
        <v>702</v>
      </c>
      <c r="C4385" s="1">
        <v>45383</v>
      </c>
      <c r="D4385" s="1">
        <v>45384</v>
      </c>
      <c r="E4385" t="s">
        <v>39</v>
      </c>
      <c r="F4385">
        <v>35</v>
      </c>
      <c r="G4385" s="12">
        <v>1715</v>
      </c>
      <c r="H4385" s="12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1050</v>
      </c>
      <c r="N4385" t="b">
        <v>1</v>
      </c>
    </row>
    <row r="4386" spans="1:14" x14ac:dyDescent="0.3">
      <c r="A4386" t="s">
        <v>5432</v>
      </c>
      <c r="B4386" t="s">
        <v>1012</v>
      </c>
      <c r="C4386" s="1">
        <v>45521</v>
      </c>
      <c r="E4386" t="s">
        <v>32</v>
      </c>
      <c r="F4386">
        <v>10</v>
      </c>
      <c r="G4386" s="12">
        <v>1990</v>
      </c>
      <c r="H4386" s="12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1047</v>
      </c>
      <c r="N4386" t="b">
        <v>1</v>
      </c>
    </row>
    <row r="4387" spans="1:14" x14ac:dyDescent="0.3">
      <c r="A4387" t="s">
        <v>5433</v>
      </c>
      <c r="B4387" t="s">
        <v>174</v>
      </c>
      <c r="C4387" s="1">
        <v>45560</v>
      </c>
      <c r="E4387" t="s">
        <v>32</v>
      </c>
      <c r="F4387">
        <v>12</v>
      </c>
      <c r="G4387" s="12">
        <v>2388</v>
      </c>
      <c r="H4387" s="12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1050</v>
      </c>
      <c r="N4387" t="b">
        <v>1</v>
      </c>
    </row>
    <row r="4388" spans="1:14" x14ac:dyDescent="0.3">
      <c r="A4388" t="s">
        <v>5434</v>
      </c>
      <c r="B4388" t="s">
        <v>378</v>
      </c>
      <c r="C4388" s="1">
        <v>45187</v>
      </c>
      <c r="E4388" t="s">
        <v>32</v>
      </c>
      <c r="F4388">
        <v>70</v>
      </c>
      <c r="G4388" s="12">
        <v>0</v>
      </c>
      <c r="H4388" s="12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1047</v>
      </c>
      <c r="N4388" t="b">
        <v>1</v>
      </c>
    </row>
    <row r="4389" spans="1:14" x14ac:dyDescent="0.3">
      <c r="A4389" t="s">
        <v>5435</v>
      </c>
      <c r="B4389" t="s">
        <v>444</v>
      </c>
      <c r="C4389" s="1">
        <v>45576</v>
      </c>
      <c r="E4389" t="s">
        <v>32</v>
      </c>
      <c r="F4389">
        <v>4</v>
      </c>
      <c r="G4389" s="12">
        <v>796</v>
      </c>
      <c r="H4389" s="12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1047</v>
      </c>
      <c r="N4389" t="b">
        <v>1</v>
      </c>
    </row>
    <row r="4390" spans="1:14" x14ac:dyDescent="0.3">
      <c r="A4390" t="s">
        <v>5436</v>
      </c>
      <c r="B4390" t="s">
        <v>474</v>
      </c>
      <c r="C4390" s="1">
        <v>45378</v>
      </c>
      <c r="D4390" s="1">
        <v>45573</v>
      </c>
      <c r="E4390" t="s">
        <v>15</v>
      </c>
      <c r="F4390">
        <v>5</v>
      </c>
      <c r="G4390" s="12">
        <v>95</v>
      </c>
      <c r="H4390" s="12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1050</v>
      </c>
      <c r="N4390" t="b">
        <v>0</v>
      </c>
    </row>
    <row r="4391" spans="1:14" x14ac:dyDescent="0.3">
      <c r="A4391" t="s">
        <v>5437</v>
      </c>
      <c r="B4391" t="s">
        <v>382</v>
      </c>
      <c r="C4391" s="1">
        <v>45376</v>
      </c>
      <c r="D4391" s="1">
        <v>45413</v>
      </c>
      <c r="E4391" t="s">
        <v>32</v>
      </c>
      <c r="F4391">
        <v>41</v>
      </c>
      <c r="G4391" s="12">
        <v>8159</v>
      </c>
      <c r="H4391" s="12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1047</v>
      </c>
      <c r="N4391" t="b">
        <v>1</v>
      </c>
    </row>
    <row r="4392" spans="1:14" x14ac:dyDescent="0.3">
      <c r="A4392" t="s">
        <v>5438</v>
      </c>
      <c r="B4392" t="s">
        <v>40</v>
      </c>
      <c r="C4392" s="1">
        <v>45606</v>
      </c>
      <c r="E4392" t="s">
        <v>39</v>
      </c>
      <c r="F4392">
        <v>32</v>
      </c>
      <c r="G4392" s="12">
        <v>1568</v>
      </c>
      <c r="H4392" s="1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1050</v>
      </c>
      <c r="N4392" t="b">
        <v>1</v>
      </c>
    </row>
    <row r="4393" spans="1:14" x14ac:dyDescent="0.3">
      <c r="A4393" t="s">
        <v>5439</v>
      </c>
      <c r="B4393" t="s">
        <v>130</v>
      </c>
      <c r="C4393" s="1">
        <v>45433</v>
      </c>
      <c r="E4393" t="s">
        <v>15</v>
      </c>
      <c r="F4393">
        <v>47</v>
      </c>
      <c r="G4393" s="12">
        <v>893</v>
      </c>
      <c r="H4393" s="12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1050</v>
      </c>
      <c r="N4393" t="b">
        <v>1</v>
      </c>
    </row>
    <row r="4394" spans="1:14" x14ac:dyDescent="0.3">
      <c r="A4394" t="s">
        <v>5440</v>
      </c>
      <c r="B4394" t="s">
        <v>614</v>
      </c>
      <c r="C4394" s="1">
        <v>45625</v>
      </c>
      <c r="E4394" t="s">
        <v>15</v>
      </c>
      <c r="F4394">
        <v>25</v>
      </c>
      <c r="G4394" s="12">
        <v>475</v>
      </c>
      <c r="H4394" s="12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1050</v>
      </c>
      <c r="N4394" t="b">
        <v>1</v>
      </c>
    </row>
    <row r="4395" spans="1:14" x14ac:dyDescent="0.3">
      <c r="A4395" t="s">
        <v>5441</v>
      </c>
      <c r="B4395" t="s">
        <v>892</v>
      </c>
      <c r="C4395" s="1">
        <v>45360</v>
      </c>
      <c r="E4395" t="s">
        <v>39</v>
      </c>
      <c r="F4395">
        <v>23</v>
      </c>
      <c r="G4395" s="12">
        <v>0</v>
      </c>
      <c r="H4395" s="12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1050</v>
      </c>
      <c r="N4395" t="b">
        <v>1</v>
      </c>
    </row>
    <row r="4396" spans="1:14" x14ac:dyDescent="0.3">
      <c r="A4396" t="s">
        <v>5442</v>
      </c>
      <c r="B4396" t="s">
        <v>584</v>
      </c>
      <c r="C4396" s="1">
        <v>45384</v>
      </c>
      <c r="E4396" t="s">
        <v>15</v>
      </c>
      <c r="F4396">
        <v>12</v>
      </c>
      <c r="G4396" s="12">
        <v>0</v>
      </c>
      <c r="H4396" s="12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1050</v>
      </c>
      <c r="N4396" t="b">
        <v>0</v>
      </c>
    </row>
    <row r="4397" spans="1:14" x14ac:dyDescent="0.3">
      <c r="A4397" t="s">
        <v>5443</v>
      </c>
      <c r="B4397" t="s">
        <v>900</v>
      </c>
      <c r="C4397" s="1">
        <v>45647</v>
      </c>
      <c r="E4397" t="s">
        <v>39</v>
      </c>
      <c r="F4397">
        <v>40</v>
      </c>
      <c r="G4397" s="12">
        <v>1960</v>
      </c>
      <c r="H4397" s="12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1047</v>
      </c>
      <c r="N4397" t="b">
        <v>1</v>
      </c>
    </row>
    <row r="4398" spans="1:14" x14ac:dyDescent="0.3">
      <c r="A4398" t="s">
        <v>5444</v>
      </c>
      <c r="B4398" t="s">
        <v>904</v>
      </c>
      <c r="C4398" s="1">
        <v>45425</v>
      </c>
      <c r="E4398" t="s">
        <v>15</v>
      </c>
      <c r="F4398">
        <v>161</v>
      </c>
      <c r="G4398" s="12">
        <v>3059</v>
      </c>
      <c r="H4398" s="12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1050</v>
      </c>
      <c r="N4398" t="b">
        <v>1</v>
      </c>
    </row>
    <row r="4399" spans="1:14" x14ac:dyDescent="0.3">
      <c r="A4399" t="s">
        <v>5445</v>
      </c>
      <c r="B4399" t="s">
        <v>800</v>
      </c>
      <c r="C4399" s="1">
        <v>45276</v>
      </c>
      <c r="E4399" t="s">
        <v>15</v>
      </c>
      <c r="F4399">
        <v>55</v>
      </c>
      <c r="G4399" s="12">
        <v>1045</v>
      </c>
      <c r="H4399" s="12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1047</v>
      </c>
      <c r="N4399" t="b">
        <v>1</v>
      </c>
    </row>
    <row r="4400" spans="1:14" x14ac:dyDescent="0.3">
      <c r="A4400" t="s">
        <v>5446</v>
      </c>
      <c r="B4400" t="s">
        <v>712</v>
      </c>
      <c r="C4400" s="1">
        <v>45655</v>
      </c>
      <c r="E4400" t="s">
        <v>32</v>
      </c>
      <c r="F4400">
        <v>70</v>
      </c>
      <c r="G4400" s="12">
        <v>13930</v>
      </c>
      <c r="H4400" s="12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1050</v>
      </c>
      <c r="N4400" t="b">
        <v>1</v>
      </c>
    </row>
    <row r="4401" spans="1:14" x14ac:dyDescent="0.3">
      <c r="A4401" t="s">
        <v>5447</v>
      </c>
      <c r="B4401" t="s">
        <v>644</v>
      </c>
      <c r="C4401" s="1">
        <v>45549</v>
      </c>
      <c r="E4401" t="s">
        <v>39</v>
      </c>
      <c r="F4401">
        <v>13</v>
      </c>
      <c r="G4401" s="12">
        <v>0</v>
      </c>
      <c r="H4401" s="12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1047</v>
      </c>
      <c r="N4401" t="b">
        <v>0</v>
      </c>
    </row>
    <row r="4402" spans="1:14" x14ac:dyDescent="0.3">
      <c r="A4402" t="s">
        <v>5448</v>
      </c>
      <c r="B4402" t="s">
        <v>85</v>
      </c>
      <c r="C4402" s="1">
        <v>45286</v>
      </c>
      <c r="E4402" t="s">
        <v>39</v>
      </c>
      <c r="F4402">
        <v>12</v>
      </c>
      <c r="G4402" s="12">
        <v>588</v>
      </c>
      <c r="H4402" s="1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1047</v>
      </c>
      <c r="N4402" t="b">
        <v>1</v>
      </c>
    </row>
    <row r="4403" spans="1:14" x14ac:dyDescent="0.3">
      <c r="A4403" t="s">
        <v>5449</v>
      </c>
      <c r="B4403" t="s">
        <v>106</v>
      </c>
      <c r="C4403" s="1">
        <v>45635</v>
      </c>
      <c r="E4403" t="s">
        <v>32</v>
      </c>
      <c r="F4403">
        <v>20</v>
      </c>
      <c r="G4403" s="12">
        <v>3980</v>
      </c>
      <c r="H4403" s="12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1047</v>
      </c>
      <c r="N4403" t="b">
        <v>1</v>
      </c>
    </row>
    <row r="4404" spans="1:14" x14ac:dyDescent="0.3">
      <c r="A4404" t="s">
        <v>5450</v>
      </c>
      <c r="B4404" t="s">
        <v>862</v>
      </c>
      <c r="C4404" s="1">
        <v>45494</v>
      </c>
      <c r="E4404" t="s">
        <v>39</v>
      </c>
      <c r="F4404">
        <v>50</v>
      </c>
      <c r="G4404" s="12">
        <v>2450</v>
      </c>
      <c r="H4404" s="12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1047</v>
      </c>
      <c r="N4404" t="b">
        <v>1</v>
      </c>
    </row>
    <row r="4405" spans="1:14" x14ac:dyDescent="0.3">
      <c r="A4405" t="s">
        <v>5451</v>
      </c>
      <c r="B4405" t="s">
        <v>76</v>
      </c>
      <c r="C4405" s="1">
        <v>45577</v>
      </c>
      <c r="E4405" t="s">
        <v>39</v>
      </c>
      <c r="F4405">
        <v>27</v>
      </c>
      <c r="G4405" s="12">
        <v>0</v>
      </c>
      <c r="H4405" s="12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1047</v>
      </c>
      <c r="N4405" t="b">
        <v>1</v>
      </c>
    </row>
    <row r="4406" spans="1:14" x14ac:dyDescent="0.3">
      <c r="A4406" t="s">
        <v>5452</v>
      </c>
      <c r="B4406" t="s">
        <v>656</v>
      </c>
      <c r="C4406" s="1">
        <v>45521</v>
      </c>
      <c r="E4406" t="s">
        <v>15</v>
      </c>
      <c r="F4406">
        <v>78</v>
      </c>
      <c r="G4406" s="12">
        <v>1482</v>
      </c>
      <c r="H4406" s="12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1050</v>
      </c>
      <c r="N4406" t="b">
        <v>1</v>
      </c>
    </row>
    <row r="4407" spans="1:14" x14ac:dyDescent="0.3">
      <c r="A4407" t="s">
        <v>5453</v>
      </c>
      <c r="B4407" t="s">
        <v>674</v>
      </c>
      <c r="C4407" s="1">
        <v>45628</v>
      </c>
      <c r="E4407" t="s">
        <v>15</v>
      </c>
      <c r="F4407">
        <v>25</v>
      </c>
      <c r="G4407" s="12">
        <v>475</v>
      </c>
      <c r="H4407" s="12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1050</v>
      </c>
      <c r="N4407" t="b">
        <v>0</v>
      </c>
    </row>
    <row r="4408" spans="1:14" x14ac:dyDescent="0.3">
      <c r="A4408" t="s">
        <v>5454</v>
      </c>
      <c r="B4408" t="s">
        <v>83</v>
      </c>
      <c r="C4408" s="1">
        <v>45508</v>
      </c>
      <c r="E4408" t="s">
        <v>39</v>
      </c>
      <c r="F4408">
        <v>48</v>
      </c>
      <c r="G4408" s="12">
        <v>0</v>
      </c>
      <c r="H4408" s="12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1047</v>
      </c>
      <c r="N4408" t="b">
        <v>1</v>
      </c>
    </row>
    <row r="4409" spans="1:14" x14ac:dyDescent="0.3">
      <c r="A4409" t="s">
        <v>5455</v>
      </c>
      <c r="B4409" t="s">
        <v>912</v>
      </c>
      <c r="C4409" s="1">
        <v>45634</v>
      </c>
      <c r="D4409" s="1">
        <v>45640</v>
      </c>
      <c r="E4409" t="s">
        <v>32</v>
      </c>
      <c r="F4409">
        <v>24</v>
      </c>
      <c r="G4409" s="12">
        <v>4776</v>
      </c>
      <c r="H4409" s="12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1050</v>
      </c>
      <c r="N4409" t="b">
        <v>1</v>
      </c>
    </row>
    <row r="4410" spans="1:14" x14ac:dyDescent="0.3">
      <c r="A4410" t="s">
        <v>5456</v>
      </c>
      <c r="B4410" t="s">
        <v>686</v>
      </c>
      <c r="C4410" s="1">
        <v>45604</v>
      </c>
      <c r="E4410" t="s">
        <v>32</v>
      </c>
      <c r="F4410">
        <v>26</v>
      </c>
      <c r="G4410" s="12">
        <v>0</v>
      </c>
      <c r="H4410" s="12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1047</v>
      </c>
      <c r="N4410" t="b">
        <v>1</v>
      </c>
    </row>
    <row r="4411" spans="1:14" x14ac:dyDescent="0.3">
      <c r="A4411" t="s">
        <v>5457</v>
      </c>
      <c r="B4411" t="s">
        <v>78</v>
      </c>
      <c r="C4411" s="1">
        <v>45369</v>
      </c>
      <c r="E4411" t="s">
        <v>15</v>
      </c>
      <c r="F4411">
        <v>29</v>
      </c>
      <c r="G4411" s="12">
        <v>551</v>
      </c>
      <c r="H4411" s="12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1050</v>
      </c>
      <c r="N4411" t="b">
        <v>1</v>
      </c>
    </row>
    <row r="4412" spans="1:14" x14ac:dyDescent="0.3">
      <c r="A4412" t="s">
        <v>5458</v>
      </c>
      <c r="B4412" t="s">
        <v>306</v>
      </c>
      <c r="C4412" s="1">
        <v>45535</v>
      </c>
      <c r="D4412" s="1">
        <v>45591</v>
      </c>
      <c r="E4412" t="s">
        <v>39</v>
      </c>
      <c r="F4412">
        <v>20</v>
      </c>
      <c r="G4412" s="12">
        <v>980</v>
      </c>
      <c r="H4412" s="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1050</v>
      </c>
      <c r="N4412" t="b">
        <v>1</v>
      </c>
    </row>
    <row r="4413" spans="1:14" x14ac:dyDescent="0.3">
      <c r="A4413" t="s">
        <v>5459</v>
      </c>
      <c r="B4413" t="s">
        <v>642</v>
      </c>
      <c r="C4413" s="1">
        <v>45388</v>
      </c>
      <c r="E4413" t="s">
        <v>39</v>
      </c>
      <c r="F4413">
        <v>28</v>
      </c>
      <c r="G4413" s="12">
        <v>1372</v>
      </c>
      <c r="H4413" s="12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1047</v>
      </c>
      <c r="N4413" t="b">
        <v>1</v>
      </c>
    </row>
    <row r="4414" spans="1:14" x14ac:dyDescent="0.3">
      <c r="A4414" t="s">
        <v>5460</v>
      </c>
      <c r="B4414" t="s">
        <v>87</v>
      </c>
      <c r="C4414" s="1">
        <v>45561</v>
      </c>
      <c r="E4414" t="s">
        <v>39</v>
      </c>
      <c r="F4414">
        <v>27</v>
      </c>
      <c r="G4414" s="12">
        <v>1323</v>
      </c>
      <c r="H4414" s="12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1047</v>
      </c>
      <c r="N4414" t="b">
        <v>1</v>
      </c>
    </row>
    <row r="4415" spans="1:14" x14ac:dyDescent="0.3">
      <c r="A4415" t="s">
        <v>5461</v>
      </c>
      <c r="B4415" t="s">
        <v>772</v>
      </c>
      <c r="C4415" s="1">
        <v>45647</v>
      </c>
      <c r="E4415" t="s">
        <v>39</v>
      </c>
      <c r="F4415">
        <v>15</v>
      </c>
      <c r="G4415" s="12">
        <v>735</v>
      </c>
      <c r="H4415" s="12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1047</v>
      </c>
      <c r="N4415" t="b">
        <v>1</v>
      </c>
    </row>
    <row r="4416" spans="1:14" x14ac:dyDescent="0.3">
      <c r="A4416" t="s">
        <v>5462</v>
      </c>
      <c r="B4416" t="s">
        <v>640</v>
      </c>
      <c r="C4416" s="1">
        <v>45443</v>
      </c>
      <c r="E4416" t="s">
        <v>39</v>
      </c>
      <c r="F4416">
        <v>11</v>
      </c>
      <c r="G4416" s="12">
        <v>539</v>
      </c>
      <c r="H4416" s="12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1047</v>
      </c>
      <c r="N4416" t="b">
        <v>0</v>
      </c>
    </row>
    <row r="4417" spans="1:14" x14ac:dyDescent="0.3">
      <c r="A4417" t="s">
        <v>5463</v>
      </c>
      <c r="B4417" t="s">
        <v>598</v>
      </c>
      <c r="C4417" s="1">
        <v>45623</v>
      </c>
      <c r="E4417" t="s">
        <v>32</v>
      </c>
      <c r="F4417">
        <v>7</v>
      </c>
      <c r="G4417" s="12">
        <v>1393</v>
      </c>
      <c r="H4417" s="12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1050</v>
      </c>
      <c r="N4417" t="b">
        <v>1</v>
      </c>
    </row>
    <row r="4418" spans="1:14" x14ac:dyDescent="0.3">
      <c r="A4418" t="s">
        <v>5464</v>
      </c>
      <c r="B4418" t="s">
        <v>772</v>
      </c>
      <c r="C4418" s="1">
        <v>45655</v>
      </c>
      <c r="D4418" s="1">
        <v>45656</v>
      </c>
      <c r="E4418" t="s">
        <v>39</v>
      </c>
      <c r="F4418">
        <v>33</v>
      </c>
      <c r="G4418" s="12">
        <v>1617</v>
      </c>
      <c r="H4418" s="12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1047</v>
      </c>
      <c r="N4418" t="b">
        <v>1</v>
      </c>
    </row>
    <row r="4419" spans="1:14" x14ac:dyDescent="0.3">
      <c r="A4419" t="s">
        <v>5465</v>
      </c>
      <c r="B4419" t="s">
        <v>194</v>
      </c>
      <c r="C4419" s="1">
        <v>45176</v>
      </c>
      <c r="E4419" t="s">
        <v>39</v>
      </c>
      <c r="F4419">
        <v>21</v>
      </c>
      <c r="G4419" s="12">
        <v>1029</v>
      </c>
      <c r="H4419" s="12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1047</v>
      </c>
      <c r="N4419" t="b">
        <v>0</v>
      </c>
    </row>
    <row r="4420" spans="1:14" x14ac:dyDescent="0.3">
      <c r="A4420" t="s">
        <v>5466</v>
      </c>
      <c r="B4420" t="s">
        <v>436</v>
      </c>
      <c r="C4420" s="1">
        <v>45477</v>
      </c>
      <c r="E4420" t="s">
        <v>32</v>
      </c>
      <c r="F4420">
        <v>23</v>
      </c>
      <c r="G4420" s="12">
        <v>4577</v>
      </c>
      <c r="H4420" s="12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1050</v>
      </c>
      <c r="N4420" t="b">
        <v>0</v>
      </c>
    </row>
    <row r="4421" spans="1:14" x14ac:dyDescent="0.3">
      <c r="A4421" t="s">
        <v>5467</v>
      </c>
      <c r="B4421" t="s">
        <v>97</v>
      </c>
      <c r="C4421" s="1">
        <v>45185</v>
      </c>
      <c r="E4421" t="s">
        <v>15</v>
      </c>
      <c r="F4421">
        <v>42</v>
      </c>
      <c r="G4421" s="12">
        <v>798</v>
      </c>
      <c r="H4421" s="12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1047</v>
      </c>
      <c r="N4421" t="b">
        <v>1</v>
      </c>
    </row>
    <row r="4422" spans="1:14" x14ac:dyDescent="0.3">
      <c r="A4422" t="s">
        <v>5468</v>
      </c>
      <c r="B4422" t="s">
        <v>494</v>
      </c>
      <c r="C4422" s="1">
        <v>45214</v>
      </c>
      <c r="E4422" t="s">
        <v>15</v>
      </c>
      <c r="F4422">
        <v>11</v>
      </c>
      <c r="G4422" s="12">
        <v>209</v>
      </c>
      <c r="H4422" s="1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1047</v>
      </c>
      <c r="N4422" t="b">
        <v>0</v>
      </c>
    </row>
    <row r="4423" spans="1:14" x14ac:dyDescent="0.3">
      <c r="A4423" t="s">
        <v>5469</v>
      </c>
      <c r="B4423" t="s">
        <v>1006</v>
      </c>
      <c r="C4423" s="1">
        <v>45649</v>
      </c>
      <c r="E4423" t="s">
        <v>39</v>
      </c>
      <c r="F4423">
        <v>148</v>
      </c>
      <c r="G4423" s="12">
        <v>7252</v>
      </c>
      <c r="H4423" s="12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1047</v>
      </c>
      <c r="N4423" t="b">
        <v>1</v>
      </c>
    </row>
    <row r="4424" spans="1:14" x14ac:dyDescent="0.3">
      <c r="A4424" t="s">
        <v>5470</v>
      </c>
      <c r="B4424" t="s">
        <v>236</v>
      </c>
      <c r="C4424" s="1">
        <v>45375</v>
      </c>
      <c r="E4424" t="s">
        <v>39</v>
      </c>
      <c r="F4424">
        <v>13</v>
      </c>
      <c r="G4424" s="12">
        <v>0</v>
      </c>
      <c r="H4424" s="12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1047</v>
      </c>
      <c r="N4424" t="b">
        <v>1</v>
      </c>
    </row>
    <row r="4425" spans="1:14" x14ac:dyDescent="0.3">
      <c r="A4425" t="s">
        <v>5471</v>
      </c>
      <c r="B4425" t="s">
        <v>508</v>
      </c>
      <c r="C4425" s="1">
        <v>45507</v>
      </c>
      <c r="D4425" s="1">
        <v>45625</v>
      </c>
      <c r="E4425" t="s">
        <v>15</v>
      </c>
      <c r="F4425">
        <v>67</v>
      </c>
      <c r="G4425" s="12">
        <v>1273</v>
      </c>
      <c r="H4425" s="12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1047</v>
      </c>
      <c r="N4425" t="b">
        <v>1</v>
      </c>
    </row>
    <row r="4426" spans="1:14" x14ac:dyDescent="0.3">
      <c r="A4426" t="s">
        <v>5472</v>
      </c>
      <c r="B4426" t="s">
        <v>238</v>
      </c>
      <c r="C4426" s="1">
        <v>45245</v>
      </c>
      <c r="E4426" t="s">
        <v>32</v>
      </c>
      <c r="F4426">
        <v>22</v>
      </c>
      <c r="G4426" s="12">
        <v>0</v>
      </c>
      <c r="H4426" s="12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1047</v>
      </c>
      <c r="N4426" t="b">
        <v>1</v>
      </c>
    </row>
    <row r="4427" spans="1:14" x14ac:dyDescent="0.3">
      <c r="A4427" t="s">
        <v>5473</v>
      </c>
      <c r="B4427" t="s">
        <v>110</v>
      </c>
      <c r="C4427" s="1">
        <v>45217</v>
      </c>
      <c r="E4427" t="s">
        <v>15</v>
      </c>
      <c r="F4427">
        <v>32</v>
      </c>
      <c r="G4427" s="12">
        <v>608</v>
      </c>
      <c r="H4427" s="12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1050</v>
      </c>
      <c r="N4427" t="b">
        <v>1</v>
      </c>
    </row>
    <row r="4428" spans="1:14" x14ac:dyDescent="0.3">
      <c r="A4428" t="s">
        <v>5474</v>
      </c>
      <c r="B4428" t="s">
        <v>144</v>
      </c>
      <c r="C4428" s="1">
        <v>45538</v>
      </c>
      <c r="D4428" s="1">
        <v>45568</v>
      </c>
      <c r="E4428" t="s">
        <v>39</v>
      </c>
      <c r="F4428">
        <v>18</v>
      </c>
      <c r="G4428" s="12">
        <v>882</v>
      </c>
      <c r="H4428" s="12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1050</v>
      </c>
      <c r="N4428" t="b">
        <v>1</v>
      </c>
    </row>
    <row r="4429" spans="1:14" x14ac:dyDescent="0.3">
      <c r="A4429" t="s">
        <v>5475</v>
      </c>
      <c r="B4429" t="s">
        <v>164</v>
      </c>
      <c r="C4429" s="1">
        <v>45596</v>
      </c>
      <c r="E4429" t="s">
        <v>39</v>
      </c>
      <c r="F4429">
        <v>15</v>
      </c>
      <c r="G4429" s="12">
        <v>735</v>
      </c>
      <c r="H4429" s="12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1050</v>
      </c>
      <c r="N4429" t="b">
        <v>1</v>
      </c>
    </row>
    <row r="4430" spans="1:14" x14ac:dyDescent="0.3">
      <c r="A4430" t="s">
        <v>5476</v>
      </c>
      <c r="B4430" t="s">
        <v>414</v>
      </c>
      <c r="C4430" s="1">
        <v>45247</v>
      </c>
      <c r="E4430" t="s">
        <v>15</v>
      </c>
      <c r="F4430">
        <v>17</v>
      </c>
      <c r="G4430" s="12">
        <v>323</v>
      </c>
      <c r="H4430" s="12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1047</v>
      </c>
      <c r="N4430" t="b">
        <v>1</v>
      </c>
    </row>
    <row r="4431" spans="1:14" x14ac:dyDescent="0.3">
      <c r="A4431" t="s">
        <v>5477</v>
      </c>
      <c r="B4431" t="s">
        <v>488</v>
      </c>
      <c r="C4431" s="1">
        <v>45440</v>
      </c>
      <c r="D4431" s="1">
        <v>45579</v>
      </c>
      <c r="E4431" t="s">
        <v>32</v>
      </c>
      <c r="F4431">
        <v>28</v>
      </c>
      <c r="G4431" s="12">
        <v>5572</v>
      </c>
      <c r="H4431" s="12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1050</v>
      </c>
      <c r="N4431" t="b">
        <v>0</v>
      </c>
    </row>
    <row r="4432" spans="1:14" x14ac:dyDescent="0.3">
      <c r="A4432" t="s">
        <v>5478</v>
      </c>
      <c r="B4432" t="s">
        <v>344</v>
      </c>
      <c r="C4432" s="1">
        <v>45422</v>
      </c>
      <c r="E4432" t="s">
        <v>32</v>
      </c>
      <c r="F4432">
        <v>70</v>
      </c>
      <c r="G4432" s="12">
        <v>13930</v>
      </c>
      <c r="H4432" s="1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1047</v>
      </c>
      <c r="N4432" t="b">
        <v>1</v>
      </c>
    </row>
    <row r="4433" spans="1:14" x14ac:dyDescent="0.3">
      <c r="A4433" t="s">
        <v>5479</v>
      </c>
      <c r="B4433" t="s">
        <v>772</v>
      </c>
      <c r="C4433" s="1">
        <v>45640</v>
      </c>
      <c r="E4433" t="s">
        <v>32</v>
      </c>
      <c r="F4433">
        <v>15</v>
      </c>
      <c r="G4433" s="12">
        <v>2985</v>
      </c>
      <c r="H4433" s="12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1050</v>
      </c>
      <c r="N4433" t="b">
        <v>1</v>
      </c>
    </row>
    <row r="4434" spans="1:14" x14ac:dyDescent="0.3">
      <c r="A4434" t="s">
        <v>5480</v>
      </c>
      <c r="B4434" t="s">
        <v>76</v>
      </c>
      <c r="C4434" s="1">
        <v>45587</v>
      </c>
      <c r="E4434" t="s">
        <v>39</v>
      </c>
      <c r="F4434">
        <v>39</v>
      </c>
      <c r="G4434" s="12">
        <v>0</v>
      </c>
      <c r="H4434" s="12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1050</v>
      </c>
      <c r="N4434" t="b">
        <v>1</v>
      </c>
    </row>
    <row r="4435" spans="1:14" x14ac:dyDescent="0.3">
      <c r="A4435" t="s">
        <v>5481</v>
      </c>
      <c r="B4435" t="s">
        <v>552</v>
      </c>
      <c r="C4435" s="1">
        <v>45280</v>
      </c>
      <c r="E4435" t="s">
        <v>15</v>
      </c>
      <c r="F4435">
        <v>17</v>
      </c>
      <c r="G4435" s="12">
        <v>323</v>
      </c>
      <c r="H4435" s="12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1050</v>
      </c>
      <c r="N4435" t="b">
        <v>1</v>
      </c>
    </row>
    <row r="4436" spans="1:14" x14ac:dyDescent="0.3">
      <c r="A4436" t="s">
        <v>5482</v>
      </c>
      <c r="B4436" t="s">
        <v>312</v>
      </c>
      <c r="C4436" s="1">
        <v>45517</v>
      </c>
      <c r="E4436" t="s">
        <v>15</v>
      </c>
      <c r="F4436">
        <v>13</v>
      </c>
      <c r="G4436" s="12">
        <v>247</v>
      </c>
      <c r="H4436" s="12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1047</v>
      </c>
      <c r="N4436" t="b">
        <v>1</v>
      </c>
    </row>
    <row r="4437" spans="1:14" x14ac:dyDescent="0.3">
      <c r="A4437" t="s">
        <v>5483</v>
      </c>
      <c r="B4437" t="s">
        <v>492</v>
      </c>
      <c r="C4437" s="1">
        <v>45614</v>
      </c>
      <c r="E4437" t="s">
        <v>32</v>
      </c>
      <c r="F4437">
        <v>37</v>
      </c>
      <c r="G4437" s="12">
        <v>7363</v>
      </c>
      <c r="H4437" s="12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1050</v>
      </c>
      <c r="N4437" t="b">
        <v>1</v>
      </c>
    </row>
    <row r="4438" spans="1:14" x14ac:dyDescent="0.3">
      <c r="A4438" t="s">
        <v>5484</v>
      </c>
      <c r="B4438" t="s">
        <v>880</v>
      </c>
      <c r="C4438" s="1">
        <v>45469</v>
      </c>
      <c r="E4438" t="s">
        <v>39</v>
      </c>
      <c r="F4438">
        <v>6</v>
      </c>
      <c r="G4438" s="12">
        <v>294</v>
      </c>
      <c r="H4438" s="12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1050</v>
      </c>
      <c r="N4438" t="b">
        <v>0</v>
      </c>
    </row>
    <row r="4439" spans="1:14" x14ac:dyDescent="0.3">
      <c r="A4439" t="s">
        <v>5485</v>
      </c>
      <c r="B4439" t="s">
        <v>576</v>
      </c>
      <c r="C4439" s="1">
        <v>45444</v>
      </c>
      <c r="E4439" t="s">
        <v>15</v>
      </c>
      <c r="F4439">
        <v>25</v>
      </c>
      <c r="G4439" s="12">
        <v>475</v>
      </c>
      <c r="H4439" s="12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1050</v>
      </c>
      <c r="N4439" t="b">
        <v>0</v>
      </c>
    </row>
    <row r="4440" spans="1:14" x14ac:dyDescent="0.3">
      <c r="A4440" t="s">
        <v>5486</v>
      </c>
      <c r="B4440" t="s">
        <v>788</v>
      </c>
      <c r="C4440" s="1">
        <v>45652</v>
      </c>
      <c r="E4440" t="s">
        <v>32</v>
      </c>
      <c r="F4440">
        <v>13</v>
      </c>
      <c r="G4440" s="12">
        <v>2587</v>
      </c>
      <c r="H4440" s="12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1047</v>
      </c>
      <c r="N4440" t="b">
        <v>0</v>
      </c>
    </row>
    <row r="4441" spans="1:14" x14ac:dyDescent="0.3">
      <c r="A4441" t="s">
        <v>5487</v>
      </c>
      <c r="B4441" t="s">
        <v>966</v>
      </c>
      <c r="C4441" s="1">
        <v>45501</v>
      </c>
      <c r="E4441" t="s">
        <v>15</v>
      </c>
      <c r="F4441">
        <v>21</v>
      </c>
      <c r="G4441" s="12">
        <v>399</v>
      </c>
      <c r="H4441" s="12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1047</v>
      </c>
      <c r="N4441" t="b">
        <v>1</v>
      </c>
    </row>
    <row r="4442" spans="1:14" x14ac:dyDescent="0.3">
      <c r="A4442" t="s">
        <v>5488</v>
      </c>
      <c r="B4442" t="s">
        <v>882</v>
      </c>
      <c r="C4442" s="1">
        <v>45633</v>
      </c>
      <c r="E4442" t="s">
        <v>32</v>
      </c>
      <c r="F4442">
        <v>3</v>
      </c>
      <c r="G4442" s="12">
        <v>597</v>
      </c>
      <c r="H4442" s="1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1047</v>
      </c>
      <c r="N4442" t="b">
        <v>1</v>
      </c>
    </row>
    <row r="4443" spans="1:14" x14ac:dyDescent="0.3">
      <c r="A4443" t="s">
        <v>5489</v>
      </c>
      <c r="B4443" t="s">
        <v>928</v>
      </c>
      <c r="C4443" s="1">
        <v>45531</v>
      </c>
      <c r="D4443" s="1">
        <v>45599</v>
      </c>
      <c r="E4443" t="s">
        <v>32</v>
      </c>
      <c r="F4443">
        <v>49</v>
      </c>
      <c r="G4443" s="12">
        <v>9751</v>
      </c>
      <c r="H4443" s="12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1047</v>
      </c>
      <c r="N4443" t="b">
        <v>1</v>
      </c>
    </row>
    <row r="4444" spans="1:14" x14ac:dyDescent="0.3">
      <c r="A4444" t="s">
        <v>5490</v>
      </c>
      <c r="B4444" t="s">
        <v>134</v>
      </c>
      <c r="C4444" s="1">
        <v>45220</v>
      </c>
      <c r="E4444" t="s">
        <v>39</v>
      </c>
      <c r="F4444">
        <v>22</v>
      </c>
      <c r="G4444" s="12">
        <v>1078</v>
      </c>
      <c r="H4444" s="12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1050</v>
      </c>
      <c r="N4444" t="b">
        <v>1</v>
      </c>
    </row>
    <row r="4445" spans="1:14" x14ac:dyDescent="0.3">
      <c r="A4445" t="s">
        <v>5491</v>
      </c>
      <c r="B4445" t="s">
        <v>204</v>
      </c>
      <c r="C4445" s="1">
        <v>45656</v>
      </c>
      <c r="E4445" t="s">
        <v>32</v>
      </c>
      <c r="F4445">
        <v>92</v>
      </c>
      <c r="G4445" s="12">
        <v>0</v>
      </c>
      <c r="H4445" s="12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1050</v>
      </c>
      <c r="N4445" t="b">
        <v>1</v>
      </c>
    </row>
    <row r="4446" spans="1:14" x14ac:dyDescent="0.3">
      <c r="A4446" t="s">
        <v>5492</v>
      </c>
      <c r="B4446" t="s">
        <v>782</v>
      </c>
      <c r="C4446" s="1">
        <v>45473</v>
      </c>
      <c r="E4446" t="s">
        <v>32</v>
      </c>
      <c r="F4446">
        <v>35</v>
      </c>
      <c r="G4446" s="12">
        <v>0</v>
      </c>
      <c r="H4446" s="12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1050</v>
      </c>
      <c r="N4446" t="b">
        <v>1</v>
      </c>
    </row>
    <row r="4447" spans="1:14" x14ac:dyDescent="0.3">
      <c r="A4447" t="s">
        <v>5493</v>
      </c>
      <c r="B4447" t="s">
        <v>268</v>
      </c>
      <c r="C4447" s="1">
        <v>45543</v>
      </c>
      <c r="E4447" t="s">
        <v>15</v>
      </c>
      <c r="F4447">
        <v>17</v>
      </c>
      <c r="G4447" s="12">
        <v>0</v>
      </c>
      <c r="H4447" s="12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1047</v>
      </c>
      <c r="N4447" t="b">
        <v>1</v>
      </c>
    </row>
    <row r="4448" spans="1:14" x14ac:dyDescent="0.3">
      <c r="A4448" t="s">
        <v>5494</v>
      </c>
      <c r="B4448" t="s">
        <v>926</v>
      </c>
      <c r="C4448" s="1">
        <v>45168</v>
      </c>
      <c r="E4448" t="s">
        <v>32</v>
      </c>
      <c r="F4448">
        <v>36</v>
      </c>
      <c r="G4448" s="12">
        <v>7164</v>
      </c>
      <c r="H4448" s="12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1047</v>
      </c>
      <c r="N4448" t="b">
        <v>0</v>
      </c>
    </row>
    <row r="4449" spans="1:14" x14ac:dyDescent="0.3">
      <c r="A4449" t="s">
        <v>5495</v>
      </c>
      <c r="B4449" t="s">
        <v>586</v>
      </c>
      <c r="C4449" s="1">
        <v>45583</v>
      </c>
      <c r="E4449" t="s">
        <v>39</v>
      </c>
      <c r="F4449">
        <v>46</v>
      </c>
      <c r="G4449" s="12">
        <v>0</v>
      </c>
      <c r="H4449" s="12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1047</v>
      </c>
      <c r="N4449" t="b">
        <v>1</v>
      </c>
    </row>
    <row r="4450" spans="1:14" x14ac:dyDescent="0.3">
      <c r="A4450" t="s">
        <v>5496</v>
      </c>
      <c r="B4450" t="s">
        <v>376</v>
      </c>
      <c r="C4450" s="1">
        <v>45596</v>
      </c>
      <c r="D4450" s="1">
        <v>45644</v>
      </c>
      <c r="E4450" t="s">
        <v>32</v>
      </c>
      <c r="F4450">
        <v>14</v>
      </c>
      <c r="G4450" s="12">
        <v>2786</v>
      </c>
      <c r="H4450" s="12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1050</v>
      </c>
      <c r="N4450" t="b">
        <v>1</v>
      </c>
    </row>
    <row r="4451" spans="1:14" x14ac:dyDescent="0.3">
      <c r="A4451" t="s">
        <v>5497</v>
      </c>
      <c r="B4451" t="s">
        <v>1012</v>
      </c>
      <c r="C4451" s="1">
        <v>45324</v>
      </c>
      <c r="E4451" t="s">
        <v>39</v>
      </c>
      <c r="F4451">
        <v>14</v>
      </c>
      <c r="G4451" s="12">
        <v>686</v>
      </c>
      <c r="H4451" s="12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1050</v>
      </c>
      <c r="N4451" t="b">
        <v>0</v>
      </c>
    </row>
    <row r="4452" spans="1:14" x14ac:dyDescent="0.3">
      <c r="A4452" t="s">
        <v>5498</v>
      </c>
      <c r="B4452" t="s">
        <v>442</v>
      </c>
      <c r="C4452" s="1">
        <v>45596</v>
      </c>
      <c r="D4452" s="1">
        <v>45625</v>
      </c>
      <c r="E4452" t="s">
        <v>15</v>
      </c>
      <c r="F4452">
        <v>32</v>
      </c>
      <c r="G4452" s="12">
        <v>608</v>
      </c>
      <c r="H4452" s="1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1050</v>
      </c>
      <c r="N4452" t="b">
        <v>0</v>
      </c>
    </row>
    <row r="4453" spans="1:14" x14ac:dyDescent="0.3">
      <c r="A4453" t="s">
        <v>5499</v>
      </c>
      <c r="B4453" t="s">
        <v>746</v>
      </c>
      <c r="C4453" s="1">
        <v>45327</v>
      </c>
      <c r="E4453" t="s">
        <v>39</v>
      </c>
      <c r="F4453">
        <v>87</v>
      </c>
      <c r="G4453" s="12">
        <v>0</v>
      </c>
      <c r="H4453" s="12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1050</v>
      </c>
      <c r="N4453" t="b">
        <v>1</v>
      </c>
    </row>
    <row r="4454" spans="1:14" x14ac:dyDescent="0.3">
      <c r="A4454" t="s">
        <v>5500</v>
      </c>
      <c r="B4454" t="s">
        <v>270</v>
      </c>
      <c r="C4454" s="1">
        <v>45523</v>
      </c>
      <c r="D4454" s="1">
        <v>45560</v>
      </c>
      <c r="E4454" t="s">
        <v>32</v>
      </c>
      <c r="F4454">
        <v>9</v>
      </c>
      <c r="G4454" s="12">
        <v>1791</v>
      </c>
      <c r="H4454" s="12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1047</v>
      </c>
      <c r="N4454" t="b">
        <v>1</v>
      </c>
    </row>
    <row r="4455" spans="1:14" x14ac:dyDescent="0.3">
      <c r="A4455" t="s">
        <v>5501</v>
      </c>
      <c r="B4455" t="s">
        <v>402</v>
      </c>
      <c r="C4455" s="1">
        <v>45593</v>
      </c>
      <c r="E4455" t="s">
        <v>15</v>
      </c>
      <c r="F4455">
        <v>28</v>
      </c>
      <c r="G4455" s="12">
        <v>532</v>
      </c>
      <c r="H4455" s="12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1050</v>
      </c>
      <c r="N4455" t="b">
        <v>1</v>
      </c>
    </row>
    <row r="4456" spans="1:14" x14ac:dyDescent="0.3">
      <c r="A4456" t="s">
        <v>5502</v>
      </c>
      <c r="B4456" t="s">
        <v>582</v>
      </c>
      <c r="C4456" s="1">
        <v>45167</v>
      </c>
      <c r="E4456" t="s">
        <v>15</v>
      </c>
      <c r="F4456">
        <v>26</v>
      </c>
      <c r="G4456" s="12">
        <v>494</v>
      </c>
      <c r="H4456" s="12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1047</v>
      </c>
      <c r="N4456" t="b">
        <v>1</v>
      </c>
    </row>
    <row r="4457" spans="1:14" x14ac:dyDescent="0.3">
      <c r="A4457" t="s">
        <v>5503</v>
      </c>
      <c r="B4457" t="s">
        <v>214</v>
      </c>
      <c r="C4457" s="1">
        <v>45487</v>
      </c>
      <c r="E4457" t="s">
        <v>32</v>
      </c>
      <c r="F4457">
        <v>32</v>
      </c>
      <c r="G4457" s="12">
        <v>6368</v>
      </c>
      <c r="H4457" s="12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1050</v>
      </c>
      <c r="N4457" t="b">
        <v>1</v>
      </c>
    </row>
    <row r="4458" spans="1:14" x14ac:dyDescent="0.3">
      <c r="A4458" t="s">
        <v>5504</v>
      </c>
      <c r="B4458" t="s">
        <v>364</v>
      </c>
      <c r="C4458" s="1">
        <v>45602</v>
      </c>
      <c r="E4458" t="s">
        <v>15</v>
      </c>
      <c r="F4458">
        <v>73</v>
      </c>
      <c r="G4458" s="12">
        <v>0</v>
      </c>
      <c r="H4458" s="12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1047</v>
      </c>
      <c r="N4458" t="b">
        <v>1</v>
      </c>
    </row>
    <row r="4459" spans="1:14" x14ac:dyDescent="0.3">
      <c r="A4459" t="s">
        <v>5505</v>
      </c>
      <c r="B4459" t="s">
        <v>432</v>
      </c>
      <c r="C4459" s="1">
        <v>45583</v>
      </c>
      <c r="E4459" t="s">
        <v>32</v>
      </c>
      <c r="F4459">
        <v>9</v>
      </c>
      <c r="G4459" s="12">
        <v>1791</v>
      </c>
      <c r="H4459" s="12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1050</v>
      </c>
      <c r="N4459" t="b">
        <v>1</v>
      </c>
    </row>
    <row r="4460" spans="1:14" x14ac:dyDescent="0.3">
      <c r="A4460" t="s">
        <v>5506</v>
      </c>
      <c r="B4460" t="s">
        <v>40</v>
      </c>
      <c r="C4460" s="1">
        <v>45374</v>
      </c>
      <c r="E4460" t="s">
        <v>32</v>
      </c>
      <c r="F4460">
        <v>15</v>
      </c>
      <c r="G4460" s="12">
        <v>2985</v>
      </c>
      <c r="H4460" s="12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1050</v>
      </c>
      <c r="N4460" t="b">
        <v>1</v>
      </c>
    </row>
    <row r="4461" spans="1:14" x14ac:dyDescent="0.3">
      <c r="A4461" t="s">
        <v>5507</v>
      </c>
      <c r="B4461" t="s">
        <v>988</v>
      </c>
      <c r="C4461" s="1">
        <v>45491</v>
      </c>
      <c r="E4461" t="s">
        <v>32</v>
      </c>
      <c r="F4461">
        <v>24</v>
      </c>
      <c r="G4461" s="12">
        <v>4776</v>
      </c>
      <c r="H4461" s="12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1050</v>
      </c>
      <c r="N4461" t="b">
        <v>1</v>
      </c>
    </row>
    <row r="4462" spans="1:14" x14ac:dyDescent="0.3">
      <c r="A4462" t="s">
        <v>5508</v>
      </c>
      <c r="B4462" t="s">
        <v>444</v>
      </c>
      <c r="C4462" s="1">
        <v>45469</v>
      </c>
      <c r="E4462" t="s">
        <v>32</v>
      </c>
      <c r="F4462">
        <v>7</v>
      </c>
      <c r="G4462" s="12">
        <v>0</v>
      </c>
      <c r="H4462" s="1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1047</v>
      </c>
      <c r="N4462" t="b">
        <v>1</v>
      </c>
    </row>
    <row r="4463" spans="1:14" x14ac:dyDescent="0.3">
      <c r="A4463" t="s">
        <v>5509</v>
      </c>
      <c r="B4463" t="s">
        <v>564</v>
      </c>
      <c r="C4463" s="1">
        <v>45656</v>
      </c>
      <c r="E4463" t="s">
        <v>15</v>
      </c>
      <c r="F4463">
        <v>12</v>
      </c>
      <c r="G4463" s="12">
        <v>228</v>
      </c>
      <c r="H4463" s="12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1047</v>
      </c>
      <c r="N4463" t="b">
        <v>1</v>
      </c>
    </row>
    <row r="4464" spans="1:14" x14ac:dyDescent="0.3">
      <c r="A4464" t="s">
        <v>5510</v>
      </c>
      <c r="B4464" t="s">
        <v>364</v>
      </c>
      <c r="C4464" s="1">
        <v>45575</v>
      </c>
      <c r="E4464" t="s">
        <v>39</v>
      </c>
      <c r="F4464">
        <v>22</v>
      </c>
      <c r="G4464" s="12">
        <v>1078</v>
      </c>
      <c r="H4464" s="12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1050</v>
      </c>
      <c r="N4464" t="b">
        <v>1</v>
      </c>
    </row>
    <row r="4465" spans="1:14" x14ac:dyDescent="0.3">
      <c r="A4465" t="s">
        <v>5511</v>
      </c>
      <c r="B4465" t="s">
        <v>802</v>
      </c>
      <c r="C4465" s="1">
        <v>45629</v>
      </c>
      <c r="E4465" t="s">
        <v>15</v>
      </c>
      <c r="F4465">
        <v>41</v>
      </c>
      <c r="G4465" s="12">
        <v>779</v>
      </c>
      <c r="H4465" s="12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1050</v>
      </c>
      <c r="N4465" t="b">
        <v>1</v>
      </c>
    </row>
    <row r="4466" spans="1:14" x14ac:dyDescent="0.3">
      <c r="A4466" t="s">
        <v>5512</v>
      </c>
      <c r="B4466" t="s">
        <v>270</v>
      </c>
      <c r="C4466" s="1">
        <v>45536</v>
      </c>
      <c r="E4466" t="s">
        <v>32</v>
      </c>
      <c r="F4466">
        <v>9</v>
      </c>
      <c r="G4466" s="12">
        <v>1791</v>
      </c>
      <c r="H4466" s="12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1050</v>
      </c>
      <c r="N4466" t="b">
        <v>1</v>
      </c>
    </row>
    <row r="4467" spans="1:14" x14ac:dyDescent="0.3">
      <c r="A4467" t="s">
        <v>5513</v>
      </c>
      <c r="B4467" t="s">
        <v>832</v>
      </c>
      <c r="C4467" s="1">
        <v>45566</v>
      </c>
      <c r="E4467" t="s">
        <v>15</v>
      </c>
      <c r="F4467">
        <v>18</v>
      </c>
      <c r="G4467" s="12">
        <v>342</v>
      </c>
      <c r="H4467" s="12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1047</v>
      </c>
      <c r="N4467" t="b">
        <v>1</v>
      </c>
    </row>
    <row r="4468" spans="1:14" x14ac:dyDescent="0.3">
      <c r="A4468" t="s">
        <v>5514</v>
      </c>
      <c r="B4468" t="s">
        <v>158</v>
      </c>
      <c r="C4468" s="1">
        <v>45267</v>
      </c>
      <c r="E4468" t="s">
        <v>39</v>
      </c>
      <c r="F4468">
        <v>46</v>
      </c>
      <c r="G4468" s="12">
        <v>2254</v>
      </c>
      <c r="H4468" s="12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1047</v>
      </c>
      <c r="N4468" t="b">
        <v>0</v>
      </c>
    </row>
    <row r="4469" spans="1:14" x14ac:dyDescent="0.3">
      <c r="A4469" t="s">
        <v>5515</v>
      </c>
      <c r="B4469" t="s">
        <v>1004</v>
      </c>
      <c r="C4469" s="1">
        <v>45459</v>
      </c>
      <c r="E4469" t="s">
        <v>32</v>
      </c>
      <c r="F4469">
        <v>21</v>
      </c>
      <c r="G4469" s="12">
        <v>4179</v>
      </c>
      <c r="H4469" s="12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1047</v>
      </c>
      <c r="N4469" t="b">
        <v>1</v>
      </c>
    </row>
    <row r="4470" spans="1:14" x14ac:dyDescent="0.3">
      <c r="A4470" t="s">
        <v>5516</v>
      </c>
      <c r="B4470" t="s">
        <v>708</v>
      </c>
      <c r="C4470" s="1">
        <v>45580</v>
      </c>
      <c r="D4470" s="1">
        <v>45656</v>
      </c>
      <c r="E4470" t="s">
        <v>39</v>
      </c>
      <c r="F4470">
        <v>23</v>
      </c>
      <c r="G4470" s="12">
        <v>1127</v>
      </c>
      <c r="H4470" s="12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1050</v>
      </c>
      <c r="N4470" t="b">
        <v>1</v>
      </c>
    </row>
    <row r="4471" spans="1:14" x14ac:dyDescent="0.3">
      <c r="A4471" t="s">
        <v>5517</v>
      </c>
      <c r="B4471" t="s">
        <v>548</v>
      </c>
      <c r="C4471" s="1">
        <v>45554</v>
      </c>
      <c r="E4471" t="s">
        <v>32</v>
      </c>
      <c r="F4471">
        <v>27</v>
      </c>
      <c r="G4471" s="12">
        <v>5373</v>
      </c>
      <c r="H4471" s="12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1047</v>
      </c>
      <c r="N4471" t="b">
        <v>1</v>
      </c>
    </row>
    <row r="4472" spans="1:14" x14ac:dyDescent="0.3">
      <c r="A4472" t="s">
        <v>5518</v>
      </c>
      <c r="B4472" t="s">
        <v>334</v>
      </c>
      <c r="C4472" s="1">
        <v>45653</v>
      </c>
      <c r="E4472" t="s">
        <v>39</v>
      </c>
      <c r="F4472">
        <v>26</v>
      </c>
      <c r="G4472" s="12">
        <v>1274</v>
      </c>
      <c r="H4472" s="1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1047</v>
      </c>
      <c r="N4472" t="b">
        <v>1</v>
      </c>
    </row>
    <row r="4473" spans="1:14" x14ac:dyDescent="0.3">
      <c r="A4473" t="s">
        <v>5519</v>
      </c>
      <c r="B4473" t="s">
        <v>692</v>
      </c>
      <c r="C4473" s="1">
        <v>45319</v>
      </c>
      <c r="E4473" t="s">
        <v>39</v>
      </c>
      <c r="F4473">
        <v>58</v>
      </c>
      <c r="G4473" s="12">
        <v>0</v>
      </c>
      <c r="H4473" s="12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1050</v>
      </c>
      <c r="N4473" t="b">
        <v>0</v>
      </c>
    </row>
    <row r="4474" spans="1:14" x14ac:dyDescent="0.3">
      <c r="A4474" t="s">
        <v>5520</v>
      </c>
      <c r="B4474" t="s">
        <v>492</v>
      </c>
      <c r="C4474" s="1">
        <v>45641</v>
      </c>
      <c r="E4474" t="s">
        <v>32</v>
      </c>
      <c r="F4474">
        <v>13</v>
      </c>
      <c r="G4474" s="12">
        <v>2587</v>
      </c>
      <c r="H4474" s="12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1050</v>
      </c>
      <c r="N4474" t="b">
        <v>1</v>
      </c>
    </row>
    <row r="4475" spans="1:14" x14ac:dyDescent="0.3">
      <c r="A4475" t="s">
        <v>5521</v>
      </c>
      <c r="B4475" t="s">
        <v>1014</v>
      </c>
      <c r="C4475" s="1">
        <v>45647</v>
      </c>
      <c r="D4475" s="1">
        <v>45657</v>
      </c>
      <c r="E4475" t="s">
        <v>15</v>
      </c>
      <c r="F4475">
        <v>32</v>
      </c>
      <c r="G4475" s="12">
        <v>608</v>
      </c>
      <c r="H4475" s="12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1050</v>
      </c>
      <c r="N4475" t="b">
        <v>0</v>
      </c>
    </row>
    <row r="4476" spans="1:14" x14ac:dyDescent="0.3">
      <c r="A4476" t="s">
        <v>5522</v>
      </c>
      <c r="B4476" t="s">
        <v>122</v>
      </c>
      <c r="C4476" s="1">
        <v>45388</v>
      </c>
      <c r="E4476" t="s">
        <v>15</v>
      </c>
      <c r="F4476">
        <v>20</v>
      </c>
      <c r="G4476" s="12">
        <v>380</v>
      </c>
      <c r="H4476" s="12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1047</v>
      </c>
      <c r="N4476" t="b">
        <v>1</v>
      </c>
    </row>
    <row r="4477" spans="1:14" x14ac:dyDescent="0.3">
      <c r="A4477" t="s">
        <v>5523</v>
      </c>
      <c r="B4477" t="s">
        <v>946</v>
      </c>
      <c r="C4477" s="1">
        <v>45497</v>
      </c>
      <c r="E4477" t="s">
        <v>39</v>
      </c>
      <c r="F4477">
        <v>57</v>
      </c>
      <c r="G4477" s="12">
        <v>2793</v>
      </c>
      <c r="H4477" s="12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1050</v>
      </c>
      <c r="N4477" t="b">
        <v>1</v>
      </c>
    </row>
    <row r="4478" spans="1:14" x14ac:dyDescent="0.3">
      <c r="A4478" t="s">
        <v>5524</v>
      </c>
      <c r="B4478" t="s">
        <v>428</v>
      </c>
      <c r="C4478" s="1">
        <v>45532</v>
      </c>
      <c r="E4478" t="s">
        <v>15</v>
      </c>
      <c r="F4478">
        <v>5</v>
      </c>
      <c r="G4478" s="12">
        <v>95</v>
      </c>
      <c r="H4478" s="12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1047</v>
      </c>
      <c r="N4478" t="b">
        <v>1</v>
      </c>
    </row>
    <row r="4479" spans="1:14" x14ac:dyDescent="0.3">
      <c r="A4479" t="s">
        <v>5525</v>
      </c>
      <c r="B4479" t="s">
        <v>53</v>
      </c>
      <c r="C4479" s="1">
        <v>45621</v>
      </c>
      <c r="D4479" s="1">
        <v>45638</v>
      </c>
      <c r="E4479" t="s">
        <v>39</v>
      </c>
      <c r="F4479">
        <v>61</v>
      </c>
      <c r="G4479" s="12">
        <v>2989</v>
      </c>
      <c r="H4479" s="12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1050</v>
      </c>
      <c r="N4479" t="b">
        <v>1</v>
      </c>
    </row>
    <row r="4480" spans="1:14" x14ac:dyDescent="0.3">
      <c r="A4480" t="s">
        <v>5526</v>
      </c>
      <c r="B4480" t="s">
        <v>828</v>
      </c>
      <c r="C4480" s="1">
        <v>45476</v>
      </c>
      <c r="E4480" t="s">
        <v>32</v>
      </c>
      <c r="F4480">
        <v>69</v>
      </c>
      <c r="G4480" s="12">
        <v>13731</v>
      </c>
      <c r="H4480" s="12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1047</v>
      </c>
      <c r="N4480" t="b">
        <v>1</v>
      </c>
    </row>
    <row r="4481" spans="1:14" x14ac:dyDescent="0.3">
      <c r="A4481" t="s">
        <v>5527</v>
      </c>
      <c r="B4481" t="s">
        <v>766</v>
      </c>
      <c r="C4481" s="1">
        <v>45613</v>
      </c>
      <c r="E4481" t="s">
        <v>32</v>
      </c>
      <c r="F4481">
        <v>105</v>
      </c>
      <c r="G4481" s="12">
        <v>20895</v>
      </c>
      <c r="H4481" s="12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1050</v>
      </c>
      <c r="N4481" t="b">
        <v>0</v>
      </c>
    </row>
    <row r="4482" spans="1:14" x14ac:dyDescent="0.3">
      <c r="A4482" t="s">
        <v>5528</v>
      </c>
      <c r="B4482" t="s">
        <v>536</v>
      </c>
      <c r="C4482" s="1">
        <v>45655</v>
      </c>
      <c r="E4482" t="s">
        <v>39</v>
      </c>
      <c r="F4482">
        <v>94</v>
      </c>
      <c r="G4482" s="12">
        <v>4606</v>
      </c>
      <c r="H4482" s="1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1050</v>
      </c>
      <c r="N4482" t="b">
        <v>1</v>
      </c>
    </row>
    <row r="4483" spans="1:14" x14ac:dyDescent="0.3">
      <c r="A4483" t="s">
        <v>5529</v>
      </c>
      <c r="B4483" t="s">
        <v>584</v>
      </c>
      <c r="C4483" s="1">
        <v>45384</v>
      </c>
      <c r="E4483" t="s">
        <v>32</v>
      </c>
      <c r="F4483">
        <v>23</v>
      </c>
      <c r="G4483" s="12">
        <v>4577</v>
      </c>
      <c r="H4483" s="12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1050</v>
      </c>
      <c r="N4483" t="b">
        <v>1</v>
      </c>
    </row>
    <row r="4484" spans="1:14" x14ac:dyDescent="0.3">
      <c r="A4484" t="s">
        <v>5530</v>
      </c>
      <c r="B4484" t="s">
        <v>546</v>
      </c>
      <c r="C4484" s="1">
        <v>45587</v>
      </c>
      <c r="D4484" s="1">
        <v>45606</v>
      </c>
      <c r="E4484" t="s">
        <v>32</v>
      </c>
      <c r="F4484">
        <v>42</v>
      </c>
      <c r="G4484" s="12">
        <v>8358</v>
      </c>
      <c r="H4484" s="12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1047</v>
      </c>
      <c r="N4484" t="b">
        <v>0</v>
      </c>
    </row>
    <row r="4485" spans="1:14" x14ac:dyDescent="0.3">
      <c r="A4485" t="s">
        <v>5531</v>
      </c>
      <c r="B4485" t="s">
        <v>356</v>
      </c>
      <c r="C4485" s="1">
        <v>45625</v>
      </c>
      <c r="E4485" t="s">
        <v>32</v>
      </c>
      <c r="F4485">
        <v>44</v>
      </c>
      <c r="G4485" s="12">
        <v>0</v>
      </c>
      <c r="H4485" s="12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1047</v>
      </c>
      <c r="N4485" t="b">
        <v>1</v>
      </c>
    </row>
    <row r="4486" spans="1:14" x14ac:dyDescent="0.3">
      <c r="A4486" t="s">
        <v>5532</v>
      </c>
      <c r="B4486" t="s">
        <v>534</v>
      </c>
      <c r="C4486" s="1">
        <v>45317</v>
      </c>
      <c r="E4486" t="s">
        <v>32</v>
      </c>
      <c r="F4486">
        <v>19</v>
      </c>
      <c r="G4486" s="12">
        <v>3781</v>
      </c>
      <c r="H4486" s="12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1050</v>
      </c>
      <c r="N4486" t="b">
        <v>0</v>
      </c>
    </row>
    <row r="4487" spans="1:14" x14ac:dyDescent="0.3">
      <c r="A4487" t="s">
        <v>5533</v>
      </c>
      <c r="B4487" t="s">
        <v>726</v>
      </c>
      <c r="C4487" s="1">
        <v>45592</v>
      </c>
      <c r="E4487" t="s">
        <v>39</v>
      </c>
      <c r="F4487">
        <v>43</v>
      </c>
      <c r="G4487" s="12">
        <v>0</v>
      </c>
      <c r="H4487" s="12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1047</v>
      </c>
      <c r="N4487" t="b">
        <v>1</v>
      </c>
    </row>
    <row r="4488" spans="1:14" x14ac:dyDescent="0.3">
      <c r="A4488" t="s">
        <v>5534</v>
      </c>
      <c r="B4488" t="s">
        <v>728</v>
      </c>
      <c r="C4488" s="1">
        <v>45540</v>
      </c>
      <c r="E4488" t="s">
        <v>15</v>
      </c>
      <c r="F4488">
        <v>7</v>
      </c>
      <c r="G4488" s="12">
        <v>133</v>
      </c>
      <c r="H4488" s="12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1050</v>
      </c>
      <c r="N4488" t="b">
        <v>1</v>
      </c>
    </row>
    <row r="4489" spans="1:14" x14ac:dyDescent="0.3">
      <c r="A4489" t="s">
        <v>5535</v>
      </c>
      <c r="B4489" t="s">
        <v>80</v>
      </c>
      <c r="C4489" s="1">
        <v>45540</v>
      </c>
      <c r="E4489" t="s">
        <v>39</v>
      </c>
      <c r="F4489">
        <v>8</v>
      </c>
      <c r="G4489" s="12">
        <v>392</v>
      </c>
      <c r="H4489" s="12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1047</v>
      </c>
      <c r="N4489" t="b">
        <v>1</v>
      </c>
    </row>
    <row r="4490" spans="1:14" x14ac:dyDescent="0.3">
      <c r="A4490" t="s">
        <v>5536</v>
      </c>
      <c r="B4490" t="s">
        <v>708</v>
      </c>
      <c r="C4490" s="1">
        <v>45487</v>
      </c>
      <c r="E4490" t="s">
        <v>39</v>
      </c>
      <c r="F4490">
        <v>16</v>
      </c>
      <c r="G4490" s="12">
        <v>784</v>
      </c>
      <c r="H4490" s="12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1050</v>
      </c>
      <c r="N4490" t="b">
        <v>0</v>
      </c>
    </row>
    <row r="4491" spans="1:14" x14ac:dyDescent="0.3">
      <c r="A4491" t="s">
        <v>5537</v>
      </c>
      <c r="B4491" t="s">
        <v>774</v>
      </c>
      <c r="C4491" s="1">
        <v>45645</v>
      </c>
      <c r="E4491" t="s">
        <v>39</v>
      </c>
      <c r="F4491">
        <v>17</v>
      </c>
      <c r="G4491" s="12">
        <v>833</v>
      </c>
      <c r="H4491" s="12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1050</v>
      </c>
      <c r="N4491" t="b">
        <v>1</v>
      </c>
    </row>
    <row r="4492" spans="1:14" x14ac:dyDescent="0.3">
      <c r="A4492" t="s">
        <v>5538</v>
      </c>
      <c r="B4492" t="s">
        <v>612</v>
      </c>
      <c r="C4492" s="1">
        <v>45563</v>
      </c>
      <c r="E4492" t="s">
        <v>15</v>
      </c>
      <c r="F4492">
        <v>33</v>
      </c>
      <c r="G4492" s="12">
        <v>627</v>
      </c>
      <c r="H4492" s="1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1047</v>
      </c>
      <c r="N4492" t="b">
        <v>1</v>
      </c>
    </row>
    <row r="4493" spans="1:14" x14ac:dyDescent="0.3">
      <c r="A4493" t="s">
        <v>5539</v>
      </c>
      <c r="B4493" t="s">
        <v>200</v>
      </c>
      <c r="C4493" s="1">
        <v>45382</v>
      </c>
      <c r="E4493" t="s">
        <v>32</v>
      </c>
      <c r="F4493">
        <v>35</v>
      </c>
      <c r="G4493" s="12">
        <v>6965</v>
      </c>
      <c r="H4493" s="12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1047</v>
      </c>
      <c r="N4493" t="b">
        <v>1</v>
      </c>
    </row>
    <row r="4494" spans="1:14" x14ac:dyDescent="0.3">
      <c r="A4494" t="s">
        <v>5540</v>
      </c>
      <c r="B4494" t="s">
        <v>826</v>
      </c>
      <c r="C4494" s="1">
        <v>45545</v>
      </c>
      <c r="E4494" t="s">
        <v>39</v>
      </c>
      <c r="F4494">
        <v>17</v>
      </c>
      <c r="G4494" s="12">
        <v>833</v>
      </c>
      <c r="H4494" s="12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1050</v>
      </c>
      <c r="N4494" t="b">
        <v>1</v>
      </c>
    </row>
    <row r="4495" spans="1:14" x14ac:dyDescent="0.3">
      <c r="A4495" t="s">
        <v>5541</v>
      </c>
      <c r="B4495" t="s">
        <v>286</v>
      </c>
      <c r="C4495" s="1">
        <v>45354</v>
      </c>
      <c r="E4495" t="s">
        <v>32</v>
      </c>
      <c r="F4495">
        <v>26</v>
      </c>
      <c r="G4495" s="12">
        <v>5174</v>
      </c>
      <c r="H4495" s="12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1050</v>
      </c>
      <c r="N4495" t="b">
        <v>1</v>
      </c>
    </row>
    <row r="4496" spans="1:14" x14ac:dyDescent="0.3">
      <c r="A4496" t="s">
        <v>5542</v>
      </c>
      <c r="B4496" t="s">
        <v>500</v>
      </c>
      <c r="C4496" s="1">
        <v>45579</v>
      </c>
      <c r="E4496" t="s">
        <v>15</v>
      </c>
      <c r="F4496">
        <v>92</v>
      </c>
      <c r="G4496" s="12">
        <v>1748</v>
      </c>
      <c r="H4496" s="12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1047</v>
      </c>
      <c r="N4496" t="b">
        <v>1</v>
      </c>
    </row>
    <row r="4497" spans="1:14" x14ac:dyDescent="0.3">
      <c r="A4497" t="s">
        <v>5543</v>
      </c>
      <c r="B4497" t="s">
        <v>390</v>
      </c>
      <c r="C4497" s="1">
        <v>45614</v>
      </c>
      <c r="E4497" t="s">
        <v>39</v>
      </c>
      <c r="F4497">
        <v>61</v>
      </c>
      <c r="G4497" s="12">
        <v>2989</v>
      </c>
      <c r="H4497" s="12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1047</v>
      </c>
      <c r="N4497" t="b">
        <v>1</v>
      </c>
    </row>
    <row r="4498" spans="1:14" x14ac:dyDescent="0.3">
      <c r="A4498" t="s">
        <v>5544</v>
      </c>
      <c r="B4498" t="s">
        <v>682</v>
      </c>
      <c r="C4498" s="1">
        <v>45394</v>
      </c>
      <c r="E4498" t="s">
        <v>32</v>
      </c>
      <c r="F4498">
        <v>13</v>
      </c>
      <c r="G4498" s="12">
        <v>2587</v>
      </c>
      <c r="H4498" s="12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1047</v>
      </c>
      <c r="N4498" t="b">
        <v>0</v>
      </c>
    </row>
    <row r="4499" spans="1:14" x14ac:dyDescent="0.3">
      <c r="A4499" t="s">
        <v>5545</v>
      </c>
      <c r="B4499" t="s">
        <v>728</v>
      </c>
      <c r="C4499" s="1">
        <v>45492</v>
      </c>
      <c r="E4499" t="s">
        <v>32</v>
      </c>
      <c r="F4499">
        <v>3</v>
      </c>
      <c r="G4499" s="12">
        <v>597</v>
      </c>
      <c r="H4499" s="12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1050</v>
      </c>
      <c r="N4499" t="b">
        <v>1</v>
      </c>
    </row>
    <row r="4500" spans="1:14" x14ac:dyDescent="0.3">
      <c r="A4500" t="s">
        <v>5546</v>
      </c>
      <c r="B4500" t="s">
        <v>838</v>
      </c>
      <c r="C4500" s="1">
        <v>45502</v>
      </c>
      <c r="E4500" t="s">
        <v>15</v>
      </c>
      <c r="F4500">
        <v>16</v>
      </c>
      <c r="G4500" s="12">
        <v>304</v>
      </c>
      <c r="H4500" s="12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1047</v>
      </c>
      <c r="N4500" t="b">
        <v>1</v>
      </c>
    </row>
    <row r="4501" spans="1:14" x14ac:dyDescent="0.3">
      <c r="A4501" t="s">
        <v>5547</v>
      </c>
      <c r="B4501" t="s">
        <v>588</v>
      </c>
      <c r="C4501" s="1">
        <v>45644</v>
      </c>
      <c r="E4501" t="s">
        <v>15</v>
      </c>
      <c r="F4501">
        <v>9</v>
      </c>
      <c r="G4501" s="12">
        <v>171</v>
      </c>
      <c r="H4501" s="12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1050</v>
      </c>
      <c r="N4501" t="b">
        <v>1</v>
      </c>
    </row>
    <row r="4502" spans="1:14" x14ac:dyDescent="0.3">
      <c r="A4502" t="s">
        <v>5548</v>
      </c>
      <c r="B4502" t="s">
        <v>444</v>
      </c>
      <c r="C4502" s="1">
        <v>45477</v>
      </c>
      <c r="E4502" t="s">
        <v>39</v>
      </c>
      <c r="F4502">
        <v>14</v>
      </c>
      <c r="G4502" s="12">
        <v>686</v>
      </c>
      <c r="H4502" s="1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1047</v>
      </c>
      <c r="N4502" t="b">
        <v>1</v>
      </c>
    </row>
    <row r="4503" spans="1:14" x14ac:dyDescent="0.3">
      <c r="A4503" t="s">
        <v>5549</v>
      </c>
      <c r="B4503" t="s">
        <v>730</v>
      </c>
      <c r="C4503" s="1">
        <v>45581</v>
      </c>
      <c r="D4503" s="1">
        <v>45604</v>
      </c>
      <c r="E4503" t="s">
        <v>39</v>
      </c>
      <c r="F4503">
        <v>41</v>
      </c>
      <c r="G4503" s="12">
        <v>2009</v>
      </c>
      <c r="H4503" s="12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1050</v>
      </c>
      <c r="N4503" t="b">
        <v>1</v>
      </c>
    </row>
    <row r="4504" spans="1:14" x14ac:dyDescent="0.3">
      <c r="A4504" t="s">
        <v>5550</v>
      </c>
      <c r="B4504" t="s">
        <v>768</v>
      </c>
      <c r="C4504" s="1">
        <v>45548</v>
      </c>
      <c r="E4504" t="s">
        <v>15</v>
      </c>
      <c r="F4504">
        <v>60</v>
      </c>
      <c r="G4504" s="12">
        <v>1140</v>
      </c>
      <c r="H4504" s="12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1050</v>
      </c>
      <c r="N4504" t="b">
        <v>1</v>
      </c>
    </row>
    <row r="4505" spans="1:14" x14ac:dyDescent="0.3">
      <c r="A4505" t="s">
        <v>5551</v>
      </c>
      <c r="B4505" t="s">
        <v>428</v>
      </c>
      <c r="C4505" s="1">
        <v>45214</v>
      </c>
      <c r="E4505" t="s">
        <v>32</v>
      </c>
      <c r="F4505">
        <v>6</v>
      </c>
      <c r="G4505" s="12">
        <v>1194</v>
      </c>
      <c r="H4505" s="12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1047</v>
      </c>
      <c r="N4505" t="b">
        <v>1</v>
      </c>
    </row>
    <row r="4506" spans="1:14" x14ac:dyDescent="0.3">
      <c r="A4506" t="s">
        <v>5552</v>
      </c>
      <c r="B4506" t="s">
        <v>442</v>
      </c>
      <c r="C4506" s="1">
        <v>45572</v>
      </c>
      <c r="E4506" t="s">
        <v>15</v>
      </c>
      <c r="F4506">
        <v>32</v>
      </c>
      <c r="G4506" s="12">
        <v>608</v>
      </c>
      <c r="H4506" s="12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1047</v>
      </c>
      <c r="N4506" t="b">
        <v>1</v>
      </c>
    </row>
    <row r="4507" spans="1:14" x14ac:dyDescent="0.3">
      <c r="A4507" t="s">
        <v>5553</v>
      </c>
      <c r="B4507" t="s">
        <v>380</v>
      </c>
      <c r="C4507" s="1">
        <v>45616</v>
      </c>
      <c r="E4507" t="s">
        <v>32</v>
      </c>
      <c r="F4507">
        <v>28</v>
      </c>
      <c r="G4507" s="12">
        <v>5572</v>
      </c>
      <c r="H4507" s="12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1050</v>
      </c>
      <c r="N4507" t="b">
        <v>1</v>
      </c>
    </row>
    <row r="4508" spans="1:14" x14ac:dyDescent="0.3">
      <c r="A4508" t="s">
        <v>5554</v>
      </c>
      <c r="B4508" t="s">
        <v>134</v>
      </c>
      <c r="C4508" s="1">
        <v>45250</v>
      </c>
      <c r="E4508" t="s">
        <v>32</v>
      </c>
      <c r="F4508">
        <v>22</v>
      </c>
      <c r="G4508" s="12">
        <v>4378</v>
      </c>
      <c r="H4508" s="12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1047</v>
      </c>
      <c r="N4508" t="b">
        <v>1</v>
      </c>
    </row>
    <row r="4509" spans="1:14" x14ac:dyDescent="0.3">
      <c r="A4509" t="s">
        <v>5555</v>
      </c>
      <c r="B4509" t="s">
        <v>602</v>
      </c>
      <c r="C4509" s="1">
        <v>45649</v>
      </c>
      <c r="D4509" s="1">
        <v>45654</v>
      </c>
      <c r="E4509" t="s">
        <v>39</v>
      </c>
      <c r="F4509">
        <v>58</v>
      </c>
      <c r="G4509" s="12">
        <v>2842</v>
      </c>
      <c r="H4509" s="12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1050</v>
      </c>
      <c r="N4509" t="b">
        <v>1</v>
      </c>
    </row>
    <row r="4510" spans="1:14" x14ac:dyDescent="0.3">
      <c r="A4510" t="s">
        <v>5556</v>
      </c>
      <c r="B4510" t="s">
        <v>53</v>
      </c>
      <c r="C4510" s="1">
        <v>45636</v>
      </c>
      <c r="E4510" t="s">
        <v>39</v>
      </c>
      <c r="F4510">
        <v>30</v>
      </c>
      <c r="G4510" s="12">
        <v>1470</v>
      </c>
      <c r="H4510" s="12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1050</v>
      </c>
      <c r="N4510" t="b">
        <v>1</v>
      </c>
    </row>
    <row r="4511" spans="1:14" x14ac:dyDescent="0.3">
      <c r="A4511" t="s">
        <v>5557</v>
      </c>
      <c r="B4511" t="s">
        <v>1008</v>
      </c>
      <c r="C4511" s="1">
        <v>45508</v>
      </c>
      <c r="E4511" t="s">
        <v>32</v>
      </c>
      <c r="F4511">
        <v>17</v>
      </c>
      <c r="G4511" s="12">
        <v>3383</v>
      </c>
      <c r="H4511" s="12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1050</v>
      </c>
      <c r="N4511" t="b">
        <v>1</v>
      </c>
    </row>
    <row r="4512" spans="1:14" x14ac:dyDescent="0.3">
      <c r="A4512" t="s">
        <v>5558</v>
      </c>
      <c r="B4512" t="s">
        <v>42</v>
      </c>
      <c r="C4512" s="1">
        <v>45623</v>
      </c>
      <c r="E4512" t="s">
        <v>39</v>
      </c>
      <c r="F4512">
        <v>12</v>
      </c>
      <c r="G4512" s="12">
        <v>588</v>
      </c>
      <c r="H4512" s="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1050</v>
      </c>
      <c r="N4512" t="b">
        <v>0</v>
      </c>
    </row>
    <row r="4513" spans="1:14" x14ac:dyDescent="0.3">
      <c r="A4513" t="s">
        <v>5559</v>
      </c>
      <c r="B4513" t="s">
        <v>820</v>
      </c>
      <c r="C4513" s="1">
        <v>45494</v>
      </c>
      <c r="E4513" t="s">
        <v>39</v>
      </c>
      <c r="F4513">
        <v>55</v>
      </c>
      <c r="G4513" s="12">
        <v>2695</v>
      </c>
      <c r="H4513" s="12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1047</v>
      </c>
      <c r="N4513" t="b">
        <v>1</v>
      </c>
    </row>
    <row r="4514" spans="1:14" x14ac:dyDescent="0.3">
      <c r="A4514" t="s">
        <v>5560</v>
      </c>
      <c r="B4514" t="s">
        <v>25</v>
      </c>
      <c r="C4514" s="1">
        <v>45264</v>
      </c>
      <c r="E4514" t="s">
        <v>39</v>
      </c>
      <c r="F4514">
        <v>24</v>
      </c>
      <c r="G4514" s="12">
        <v>1176</v>
      </c>
      <c r="H4514" s="12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1047</v>
      </c>
      <c r="N4514" t="b">
        <v>0</v>
      </c>
    </row>
    <row r="4515" spans="1:14" x14ac:dyDescent="0.3">
      <c r="A4515" t="s">
        <v>5561</v>
      </c>
      <c r="B4515" t="s">
        <v>928</v>
      </c>
      <c r="C4515" s="1">
        <v>45625</v>
      </c>
      <c r="D4515" s="1">
        <v>45629</v>
      </c>
      <c r="E4515" t="s">
        <v>32</v>
      </c>
      <c r="F4515">
        <v>18</v>
      </c>
      <c r="G4515" s="12">
        <v>3582</v>
      </c>
      <c r="H4515" s="12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1047</v>
      </c>
      <c r="N4515" t="b">
        <v>0</v>
      </c>
    </row>
    <row r="4516" spans="1:14" x14ac:dyDescent="0.3">
      <c r="A4516" t="s">
        <v>5562</v>
      </c>
      <c r="B4516" t="s">
        <v>964</v>
      </c>
      <c r="C4516" s="1">
        <v>45631</v>
      </c>
      <c r="E4516" t="s">
        <v>32</v>
      </c>
      <c r="F4516">
        <v>17</v>
      </c>
      <c r="G4516" s="12">
        <v>3383</v>
      </c>
      <c r="H4516" s="12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1050</v>
      </c>
      <c r="N4516" t="b">
        <v>1</v>
      </c>
    </row>
    <row r="4517" spans="1:14" x14ac:dyDescent="0.3">
      <c r="A4517" t="s">
        <v>5563</v>
      </c>
      <c r="B4517" t="s">
        <v>198</v>
      </c>
      <c r="C4517" s="1">
        <v>45014</v>
      </c>
      <c r="E4517" t="s">
        <v>15</v>
      </c>
      <c r="F4517">
        <v>38</v>
      </c>
      <c r="G4517" s="12">
        <v>722</v>
      </c>
      <c r="H4517" s="12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1050</v>
      </c>
      <c r="N4517" t="b">
        <v>1</v>
      </c>
    </row>
    <row r="4518" spans="1:14" x14ac:dyDescent="0.3">
      <c r="A4518" t="s">
        <v>5564</v>
      </c>
      <c r="B4518" t="s">
        <v>624</v>
      </c>
      <c r="C4518" s="1">
        <v>45308</v>
      </c>
      <c r="E4518" t="s">
        <v>39</v>
      </c>
      <c r="F4518">
        <v>38</v>
      </c>
      <c r="G4518" s="12">
        <v>1862</v>
      </c>
      <c r="H4518" s="12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1047</v>
      </c>
      <c r="N4518" t="b">
        <v>1</v>
      </c>
    </row>
    <row r="4519" spans="1:14" x14ac:dyDescent="0.3">
      <c r="A4519" t="s">
        <v>5565</v>
      </c>
      <c r="B4519" t="s">
        <v>118</v>
      </c>
      <c r="C4519" s="1">
        <v>45572</v>
      </c>
      <c r="E4519" t="s">
        <v>15</v>
      </c>
      <c r="F4519">
        <v>2</v>
      </c>
      <c r="G4519" s="12">
        <v>38</v>
      </c>
      <c r="H4519" s="12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1050</v>
      </c>
      <c r="N4519" t="b">
        <v>1</v>
      </c>
    </row>
    <row r="4520" spans="1:14" x14ac:dyDescent="0.3">
      <c r="A4520" t="s">
        <v>5566</v>
      </c>
      <c r="B4520" t="s">
        <v>344</v>
      </c>
      <c r="C4520" s="1">
        <v>45332</v>
      </c>
      <c r="E4520" t="s">
        <v>39</v>
      </c>
      <c r="F4520">
        <v>70</v>
      </c>
      <c r="G4520" s="12">
        <v>0</v>
      </c>
      <c r="H4520" s="12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1050</v>
      </c>
      <c r="N4520" t="b">
        <v>0</v>
      </c>
    </row>
    <row r="4521" spans="1:14" x14ac:dyDescent="0.3">
      <c r="A4521" t="s">
        <v>5567</v>
      </c>
      <c r="B4521" t="s">
        <v>494</v>
      </c>
      <c r="C4521" s="1">
        <v>45087</v>
      </c>
      <c r="E4521" t="s">
        <v>39</v>
      </c>
      <c r="F4521">
        <v>6</v>
      </c>
      <c r="G4521" s="12">
        <v>0</v>
      </c>
      <c r="H4521" s="12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1050</v>
      </c>
      <c r="N4521" t="b">
        <v>1</v>
      </c>
    </row>
    <row r="4522" spans="1:14" x14ac:dyDescent="0.3">
      <c r="A4522" t="s">
        <v>5568</v>
      </c>
      <c r="B4522" t="s">
        <v>236</v>
      </c>
      <c r="C4522" s="1">
        <v>45131</v>
      </c>
      <c r="E4522" t="s">
        <v>15</v>
      </c>
      <c r="F4522">
        <v>15</v>
      </c>
      <c r="G4522" s="12">
        <v>285</v>
      </c>
      <c r="H4522" s="1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1047</v>
      </c>
      <c r="N4522" t="b">
        <v>1</v>
      </c>
    </row>
    <row r="4523" spans="1:14" x14ac:dyDescent="0.3">
      <c r="A4523" t="s">
        <v>5569</v>
      </c>
      <c r="B4523" t="s">
        <v>404</v>
      </c>
      <c r="C4523" s="1">
        <v>45616</v>
      </c>
      <c r="E4523" t="s">
        <v>15</v>
      </c>
      <c r="F4523">
        <v>20</v>
      </c>
      <c r="G4523" s="12">
        <v>380</v>
      </c>
      <c r="H4523" s="12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1050</v>
      </c>
      <c r="N4523" t="b">
        <v>1</v>
      </c>
    </row>
    <row r="4524" spans="1:14" x14ac:dyDescent="0.3">
      <c r="A4524" t="s">
        <v>5570</v>
      </c>
      <c r="B4524" t="s">
        <v>516</v>
      </c>
      <c r="C4524" s="1">
        <v>45585</v>
      </c>
      <c r="E4524" t="s">
        <v>15</v>
      </c>
      <c r="F4524">
        <v>9</v>
      </c>
      <c r="G4524" s="12">
        <v>0</v>
      </c>
      <c r="H4524" s="12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1047</v>
      </c>
      <c r="N4524" t="b">
        <v>1</v>
      </c>
    </row>
    <row r="4525" spans="1:14" x14ac:dyDescent="0.3">
      <c r="A4525" t="s">
        <v>5571</v>
      </c>
      <c r="B4525" t="s">
        <v>846</v>
      </c>
      <c r="C4525" s="1">
        <v>45594</v>
      </c>
      <c r="E4525" t="s">
        <v>39</v>
      </c>
      <c r="F4525">
        <v>35</v>
      </c>
      <c r="G4525" s="12">
        <v>0</v>
      </c>
      <c r="H4525" s="12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1050</v>
      </c>
      <c r="N4525" t="b">
        <v>1</v>
      </c>
    </row>
    <row r="4526" spans="1:14" x14ac:dyDescent="0.3">
      <c r="A4526" t="s">
        <v>5572</v>
      </c>
      <c r="B4526" t="s">
        <v>74</v>
      </c>
      <c r="C4526" s="1">
        <v>45436</v>
      </c>
      <c r="E4526" t="s">
        <v>32</v>
      </c>
      <c r="F4526">
        <v>86</v>
      </c>
      <c r="G4526" s="12">
        <v>17114</v>
      </c>
      <c r="H4526" s="12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1050</v>
      </c>
      <c r="N4526" t="b">
        <v>1</v>
      </c>
    </row>
    <row r="4527" spans="1:14" x14ac:dyDescent="0.3">
      <c r="A4527" t="s">
        <v>5573</v>
      </c>
      <c r="B4527" t="s">
        <v>1004</v>
      </c>
      <c r="C4527" s="1">
        <v>45583</v>
      </c>
      <c r="E4527" t="s">
        <v>15</v>
      </c>
      <c r="F4527">
        <v>21</v>
      </c>
      <c r="G4527" s="12">
        <v>399</v>
      </c>
      <c r="H4527" s="12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1047</v>
      </c>
      <c r="N4527" t="b">
        <v>1</v>
      </c>
    </row>
    <row r="4528" spans="1:14" x14ac:dyDescent="0.3">
      <c r="A4528" t="s">
        <v>5574</v>
      </c>
      <c r="B4528" t="s">
        <v>320</v>
      </c>
      <c r="C4528" s="1">
        <v>45646</v>
      </c>
      <c r="E4528" t="s">
        <v>15</v>
      </c>
      <c r="F4528">
        <v>24</v>
      </c>
      <c r="G4528" s="12">
        <v>456</v>
      </c>
      <c r="H4528" s="12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1047</v>
      </c>
      <c r="N4528" t="b">
        <v>1</v>
      </c>
    </row>
    <row r="4529" spans="1:14" x14ac:dyDescent="0.3">
      <c r="A4529" t="s">
        <v>5575</v>
      </c>
      <c r="B4529" t="s">
        <v>824</v>
      </c>
      <c r="C4529" s="1">
        <v>45420</v>
      </c>
      <c r="E4529" t="s">
        <v>15</v>
      </c>
      <c r="F4529">
        <v>37</v>
      </c>
      <c r="G4529" s="12">
        <v>703</v>
      </c>
      <c r="H4529" s="12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1050</v>
      </c>
      <c r="N4529" t="b">
        <v>0</v>
      </c>
    </row>
    <row r="4530" spans="1:14" x14ac:dyDescent="0.3">
      <c r="A4530" t="s">
        <v>5576</v>
      </c>
      <c r="B4530" t="s">
        <v>422</v>
      </c>
      <c r="C4530" s="1">
        <v>45536</v>
      </c>
      <c r="D4530" s="1">
        <v>45657</v>
      </c>
      <c r="E4530" t="s">
        <v>32</v>
      </c>
      <c r="F4530">
        <v>4</v>
      </c>
      <c r="G4530" s="12">
        <v>796</v>
      </c>
      <c r="H4530" s="12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1047</v>
      </c>
      <c r="N4530" t="b">
        <v>1</v>
      </c>
    </row>
    <row r="4531" spans="1:14" x14ac:dyDescent="0.3">
      <c r="A4531" t="s">
        <v>5577</v>
      </c>
      <c r="B4531" t="s">
        <v>742</v>
      </c>
      <c r="C4531" s="1">
        <v>45610</v>
      </c>
      <c r="E4531" t="s">
        <v>39</v>
      </c>
      <c r="F4531">
        <v>85</v>
      </c>
      <c r="G4531" s="12">
        <v>4165</v>
      </c>
      <c r="H4531" s="12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1047</v>
      </c>
      <c r="N4531" t="b">
        <v>1</v>
      </c>
    </row>
    <row r="4532" spans="1:14" x14ac:dyDescent="0.3">
      <c r="A4532" t="s">
        <v>5578</v>
      </c>
      <c r="B4532" t="s">
        <v>648</v>
      </c>
      <c r="C4532" s="1">
        <v>45263</v>
      </c>
      <c r="E4532" t="s">
        <v>39</v>
      </c>
      <c r="F4532">
        <v>15</v>
      </c>
      <c r="G4532" s="12">
        <v>735</v>
      </c>
      <c r="H4532" s="1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1047</v>
      </c>
      <c r="N4532" t="b">
        <v>1</v>
      </c>
    </row>
    <row r="4533" spans="1:14" x14ac:dyDescent="0.3">
      <c r="A4533" t="s">
        <v>5579</v>
      </c>
      <c r="B4533" t="s">
        <v>308</v>
      </c>
      <c r="C4533" s="1">
        <v>45587</v>
      </c>
      <c r="E4533" t="s">
        <v>15</v>
      </c>
      <c r="F4533">
        <v>13</v>
      </c>
      <c r="G4533" s="12">
        <v>247</v>
      </c>
      <c r="H4533" s="12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1047</v>
      </c>
      <c r="N4533" t="b">
        <v>1</v>
      </c>
    </row>
    <row r="4534" spans="1:14" x14ac:dyDescent="0.3">
      <c r="A4534" t="s">
        <v>5580</v>
      </c>
      <c r="B4534" t="s">
        <v>894</v>
      </c>
      <c r="C4534" s="1">
        <v>45496</v>
      </c>
      <c r="E4534" t="s">
        <v>32</v>
      </c>
      <c r="F4534">
        <v>3</v>
      </c>
      <c r="G4534" s="12">
        <v>597</v>
      </c>
      <c r="H4534" s="12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1050</v>
      </c>
      <c r="N4534" t="b">
        <v>0</v>
      </c>
    </row>
    <row r="4535" spans="1:14" x14ac:dyDescent="0.3">
      <c r="A4535" t="s">
        <v>5581</v>
      </c>
      <c r="B4535" t="s">
        <v>440</v>
      </c>
      <c r="C4535" s="1">
        <v>45612</v>
      </c>
      <c r="E4535" t="s">
        <v>15</v>
      </c>
      <c r="F4535">
        <v>66</v>
      </c>
      <c r="G4535" s="12">
        <v>1254</v>
      </c>
      <c r="H4535" s="12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1050</v>
      </c>
      <c r="N4535" t="b">
        <v>1</v>
      </c>
    </row>
    <row r="4536" spans="1:14" x14ac:dyDescent="0.3">
      <c r="A4536" t="s">
        <v>5582</v>
      </c>
      <c r="B4536" t="s">
        <v>600</v>
      </c>
      <c r="C4536" s="1">
        <v>45549</v>
      </c>
      <c r="E4536" t="s">
        <v>39</v>
      </c>
      <c r="F4536">
        <v>4</v>
      </c>
      <c r="G4536" s="12">
        <v>196</v>
      </c>
      <c r="H4536" s="12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1047</v>
      </c>
      <c r="N4536" t="b">
        <v>1</v>
      </c>
    </row>
    <row r="4537" spans="1:14" x14ac:dyDescent="0.3">
      <c r="A4537" t="s">
        <v>5583</v>
      </c>
      <c r="B4537" t="s">
        <v>1008</v>
      </c>
      <c r="C4537" s="1">
        <v>45493</v>
      </c>
      <c r="E4537" t="s">
        <v>32</v>
      </c>
      <c r="F4537">
        <v>33</v>
      </c>
      <c r="G4537" s="12">
        <v>6567</v>
      </c>
      <c r="H4537" s="12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1050</v>
      </c>
      <c r="N4537" t="b">
        <v>1</v>
      </c>
    </row>
    <row r="4538" spans="1:14" x14ac:dyDescent="0.3">
      <c r="A4538" t="s">
        <v>5584</v>
      </c>
      <c r="B4538" t="s">
        <v>840</v>
      </c>
      <c r="C4538" s="1">
        <v>45619</v>
      </c>
      <c r="D4538" s="1">
        <v>45647</v>
      </c>
      <c r="E4538" t="s">
        <v>32</v>
      </c>
      <c r="F4538">
        <v>24</v>
      </c>
      <c r="G4538" s="12">
        <v>4776</v>
      </c>
      <c r="H4538" s="12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1050</v>
      </c>
      <c r="N4538" t="b">
        <v>1</v>
      </c>
    </row>
    <row r="4539" spans="1:14" x14ac:dyDescent="0.3">
      <c r="A4539" t="s">
        <v>5585</v>
      </c>
      <c r="B4539" t="s">
        <v>334</v>
      </c>
      <c r="C4539" s="1">
        <v>45428</v>
      </c>
      <c r="E4539" t="s">
        <v>15</v>
      </c>
      <c r="F4539">
        <v>6</v>
      </c>
      <c r="G4539" s="12">
        <v>114</v>
      </c>
      <c r="H4539" s="12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1050</v>
      </c>
      <c r="N4539" t="b">
        <v>1</v>
      </c>
    </row>
    <row r="4540" spans="1:14" x14ac:dyDescent="0.3">
      <c r="A4540" t="s">
        <v>5586</v>
      </c>
      <c r="B4540" t="s">
        <v>752</v>
      </c>
      <c r="C4540" s="1">
        <v>45288</v>
      </c>
      <c r="E4540" t="s">
        <v>32</v>
      </c>
      <c r="F4540">
        <v>42</v>
      </c>
      <c r="G4540" s="12">
        <v>8358</v>
      </c>
      <c r="H4540" s="12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1050</v>
      </c>
      <c r="N4540" t="b">
        <v>1</v>
      </c>
    </row>
    <row r="4541" spans="1:14" x14ac:dyDescent="0.3">
      <c r="A4541" t="s">
        <v>5587</v>
      </c>
      <c r="B4541" t="s">
        <v>788</v>
      </c>
      <c r="C4541" s="1">
        <v>45638</v>
      </c>
      <c r="E4541" t="s">
        <v>32</v>
      </c>
      <c r="F4541">
        <v>13</v>
      </c>
      <c r="G4541" s="12">
        <v>2587</v>
      </c>
      <c r="H4541" s="12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1050</v>
      </c>
      <c r="N4541" t="b">
        <v>1</v>
      </c>
    </row>
    <row r="4542" spans="1:14" x14ac:dyDescent="0.3">
      <c r="A4542" t="s">
        <v>5588</v>
      </c>
      <c r="B4542" t="s">
        <v>780</v>
      </c>
      <c r="C4542" s="1">
        <v>45579</v>
      </c>
      <c r="E4542" t="s">
        <v>39</v>
      </c>
      <c r="F4542">
        <v>16</v>
      </c>
      <c r="G4542" s="12">
        <v>784</v>
      </c>
      <c r="H4542" s="1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1050</v>
      </c>
      <c r="N4542" t="b">
        <v>1</v>
      </c>
    </row>
    <row r="4543" spans="1:14" x14ac:dyDescent="0.3">
      <c r="A4543" t="s">
        <v>5589</v>
      </c>
      <c r="B4543" t="s">
        <v>836</v>
      </c>
      <c r="C4543" s="1">
        <v>45619</v>
      </c>
      <c r="E4543" t="s">
        <v>15</v>
      </c>
      <c r="F4543">
        <v>117</v>
      </c>
      <c r="G4543" s="12">
        <v>2223</v>
      </c>
      <c r="H4543" s="12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1047</v>
      </c>
      <c r="N4543" t="b">
        <v>1</v>
      </c>
    </row>
    <row r="4544" spans="1:14" x14ac:dyDescent="0.3">
      <c r="A4544" t="s">
        <v>5590</v>
      </c>
      <c r="B4544" t="s">
        <v>340</v>
      </c>
      <c r="C4544" s="1">
        <v>45645</v>
      </c>
      <c r="E4544" t="s">
        <v>15</v>
      </c>
      <c r="F4544">
        <v>119</v>
      </c>
      <c r="G4544" s="12">
        <v>2261</v>
      </c>
      <c r="H4544" s="12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1047</v>
      </c>
      <c r="N4544" t="b">
        <v>1</v>
      </c>
    </row>
    <row r="4545" spans="1:14" x14ac:dyDescent="0.3">
      <c r="A4545" t="s">
        <v>5591</v>
      </c>
      <c r="B4545" t="s">
        <v>860</v>
      </c>
      <c r="C4545" s="1">
        <v>45416</v>
      </c>
      <c r="E4545" t="s">
        <v>39</v>
      </c>
      <c r="F4545">
        <v>19</v>
      </c>
      <c r="G4545" s="12">
        <v>931</v>
      </c>
      <c r="H4545" s="12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1047</v>
      </c>
      <c r="N4545" t="b">
        <v>1</v>
      </c>
    </row>
    <row r="4546" spans="1:14" x14ac:dyDescent="0.3">
      <c r="A4546" t="s">
        <v>5592</v>
      </c>
      <c r="B4546" t="s">
        <v>168</v>
      </c>
      <c r="C4546" s="1">
        <v>45484</v>
      </c>
      <c r="E4546" t="s">
        <v>15</v>
      </c>
      <c r="F4546">
        <v>21</v>
      </c>
      <c r="G4546" s="12">
        <v>399</v>
      </c>
      <c r="H4546" s="12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1047</v>
      </c>
      <c r="N4546" t="b">
        <v>1</v>
      </c>
    </row>
    <row r="4547" spans="1:14" x14ac:dyDescent="0.3">
      <c r="A4547" t="s">
        <v>5593</v>
      </c>
      <c r="B4547" t="s">
        <v>188</v>
      </c>
      <c r="C4547" s="1">
        <v>45371</v>
      </c>
      <c r="E4547" t="s">
        <v>39</v>
      </c>
      <c r="F4547">
        <v>49</v>
      </c>
      <c r="G4547" s="12">
        <v>0</v>
      </c>
      <c r="H4547" s="12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1047</v>
      </c>
      <c r="N4547" t="b">
        <v>0</v>
      </c>
    </row>
    <row r="4548" spans="1:14" x14ac:dyDescent="0.3">
      <c r="A4548" t="s">
        <v>5594</v>
      </c>
      <c r="B4548" t="s">
        <v>630</v>
      </c>
      <c r="C4548" s="1">
        <v>45451</v>
      </c>
      <c r="E4548" t="s">
        <v>15</v>
      </c>
      <c r="F4548">
        <v>19</v>
      </c>
      <c r="G4548" s="12">
        <v>361</v>
      </c>
      <c r="H4548" s="12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1047</v>
      </c>
      <c r="N4548" t="b">
        <v>0</v>
      </c>
    </row>
    <row r="4549" spans="1:14" x14ac:dyDescent="0.3">
      <c r="A4549" t="s">
        <v>5595</v>
      </c>
      <c r="B4549" t="s">
        <v>164</v>
      </c>
      <c r="C4549" s="1">
        <v>45641</v>
      </c>
      <c r="E4549" t="s">
        <v>15</v>
      </c>
      <c r="F4549">
        <v>19</v>
      </c>
      <c r="G4549" s="12">
        <v>361</v>
      </c>
      <c r="H4549" s="12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1050</v>
      </c>
      <c r="N4549" t="b">
        <v>0</v>
      </c>
    </row>
    <row r="4550" spans="1:14" x14ac:dyDescent="0.3">
      <c r="A4550" t="s">
        <v>5596</v>
      </c>
      <c r="B4550" t="s">
        <v>918</v>
      </c>
      <c r="C4550" s="1">
        <v>45644</v>
      </c>
      <c r="E4550" t="s">
        <v>15</v>
      </c>
      <c r="F4550">
        <v>18</v>
      </c>
      <c r="G4550" s="12">
        <v>342</v>
      </c>
      <c r="H4550" s="12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1047</v>
      </c>
      <c r="N4550" t="b">
        <v>1</v>
      </c>
    </row>
    <row r="4551" spans="1:14" x14ac:dyDescent="0.3">
      <c r="A4551" t="s">
        <v>5597</v>
      </c>
      <c r="B4551" t="s">
        <v>21</v>
      </c>
      <c r="C4551" s="1">
        <v>45572</v>
      </c>
      <c r="E4551" t="s">
        <v>39</v>
      </c>
      <c r="F4551">
        <v>20</v>
      </c>
      <c r="G4551" s="12">
        <v>980</v>
      </c>
      <c r="H4551" s="12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1050</v>
      </c>
      <c r="N4551" t="b">
        <v>1</v>
      </c>
    </row>
    <row r="4552" spans="1:14" x14ac:dyDescent="0.3">
      <c r="A4552" t="s">
        <v>5598</v>
      </c>
      <c r="B4552" t="s">
        <v>61</v>
      </c>
      <c r="C4552" s="1">
        <v>45428</v>
      </c>
      <c r="E4552" t="s">
        <v>15</v>
      </c>
      <c r="F4552">
        <v>29</v>
      </c>
      <c r="G4552" s="12">
        <v>551</v>
      </c>
      <c r="H4552" s="1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1050</v>
      </c>
      <c r="N4552" t="b">
        <v>1</v>
      </c>
    </row>
    <row r="4553" spans="1:14" x14ac:dyDescent="0.3">
      <c r="A4553" t="s">
        <v>5599</v>
      </c>
      <c r="B4553" t="s">
        <v>598</v>
      </c>
      <c r="C4553" s="1">
        <v>45629</v>
      </c>
      <c r="E4553" t="s">
        <v>32</v>
      </c>
      <c r="F4553">
        <v>16</v>
      </c>
      <c r="G4553" s="12">
        <v>3184</v>
      </c>
      <c r="H4553" s="12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1047</v>
      </c>
      <c r="N4553" t="b">
        <v>1</v>
      </c>
    </row>
    <row r="4554" spans="1:14" x14ac:dyDescent="0.3">
      <c r="A4554" t="s">
        <v>5600</v>
      </c>
      <c r="B4554" t="s">
        <v>320</v>
      </c>
      <c r="C4554" s="1">
        <v>45480</v>
      </c>
      <c r="E4554" t="s">
        <v>39</v>
      </c>
      <c r="F4554">
        <v>24</v>
      </c>
      <c r="G4554" s="12">
        <v>1176</v>
      </c>
      <c r="H4554" s="12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1050</v>
      </c>
      <c r="N4554" t="b">
        <v>1</v>
      </c>
    </row>
    <row r="4555" spans="1:14" x14ac:dyDescent="0.3">
      <c r="A4555" t="s">
        <v>5601</v>
      </c>
      <c r="B4555" t="s">
        <v>424</v>
      </c>
      <c r="C4555" s="1">
        <v>45556</v>
      </c>
      <c r="E4555" t="s">
        <v>32</v>
      </c>
      <c r="F4555">
        <v>20</v>
      </c>
      <c r="G4555" s="12">
        <v>3980</v>
      </c>
      <c r="H4555" s="12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1050</v>
      </c>
      <c r="N4555" t="b">
        <v>1</v>
      </c>
    </row>
    <row r="4556" spans="1:14" x14ac:dyDescent="0.3">
      <c r="A4556" t="s">
        <v>5602</v>
      </c>
      <c r="B4556" t="s">
        <v>176</v>
      </c>
      <c r="C4556" s="1">
        <v>45645</v>
      </c>
      <c r="E4556" t="s">
        <v>32</v>
      </c>
      <c r="F4556">
        <v>37</v>
      </c>
      <c r="G4556" s="12">
        <v>7363</v>
      </c>
      <c r="H4556" s="12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1047</v>
      </c>
      <c r="N4556" t="b">
        <v>1</v>
      </c>
    </row>
    <row r="4557" spans="1:14" x14ac:dyDescent="0.3">
      <c r="A4557" t="s">
        <v>5603</v>
      </c>
      <c r="B4557" t="s">
        <v>462</v>
      </c>
      <c r="C4557" s="1">
        <v>45480</v>
      </c>
      <c r="E4557" t="s">
        <v>32</v>
      </c>
      <c r="F4557">
        <v>31</v>
      </c>
      <c r="G4557" s="12">
        <v>6169</v>
      </c>
      <c r="H4557" s="12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1050</v>
      </c>
      <c r="N4557" t="b">
        <v>1</v>
      </c>
    </row>
    <row r="4558" spans="1:14" x14ac:dyDescent="0.3">
      <c r="A4558" t="s">
        <v>5604</v>
      </c>
      <c r="B4558" t="s">
        <v>766</v>
      </c>
      <c r="C4558" s="1">
        <v>45441</v>
      </c>
      <c r="E4558" t="s">
        <v>32</v>
      </c>
      <c r="F4558">
        <v>105</v>
      </c>
      <c r="G4558" s="12">
        <v>20895</v>
      </c>
      <c r="H4558" s="12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1050</v>
      </c>
      <c r="N4558" t="b">
        <v>1</v>
      </c>
    </row>
    <row r="4559" spans="1:14" x14ac:dyDescent="0.3">
      <c r="A4559" t="s">
        <v>5605</v>
      </c>
      <c r="B4559" t="s">
        <v>182</v>
      </c>
      <c r="C4559" s="1">
        <v>45382</v>
      </c>
      <c r="E4559" t="s">
        <v>15</v>
      </c>
      <c r="F4559">
        <v>44</v>
      </c>
      <c r="G4559" s="12">
        <v>836</v>
      </c>
      <c r="H4559" s="12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1050</v>
      </c>
      <c r="N4559" t="b">
        <v>1</v>
      </c>
    </row>
    <row r="4560" spans="1:14" x14ac:dyDescent="0.3">
      <c r="A4560" t="s">
        <v>5606</v>
      </c>
      <c r="B4560" t="s">
        <v>896</v>
      </c>
      <c r="C4560" s="1">
        <v>45559</v>
      </c>
      <c r="E4560" t="s">
        <v>32</v>
      </c>
      <c r="F4560">
        <v>24</v>
      </c>
      <c r="G4560" s="12">
        <v>4776</v>
      </c>
      <c r="H4560" s="12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1047</v>
      </c>
      <c r="N4560" t="b">
        <v>1</v>
      </c>
    </row>
    <row r="4561" spans="1:14" x14ac:dyDescent="0.3">
      <c r="A4561" t="s">
        <v>5607</v>
      </c>
      <c r="B4561" t="s">
        <v>970</v>
      </c>
      <c r="C4561" s="1">
        <v>45382</v>
      </c>
      <c r="E4561" t="s">
        <v>39</v>
      </c>
      <c r="F4561">
        <v>6</v>
      </c>
      <c r="G4561" s="12">
        <v>294</v>
      </c>
      <c r="H4561" s="12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1047</v>
      </c>
      <c r="N4561" t="b">
        <v>1</v>
      </c>
    </row>
    <row r="4562" spans="1:14" x14ac:dyDescent="0.3">
      <c r="A4562" t="s">
        <v>5608</v>
      </c>
      <c r="B4562" t="s">
        <v>1002</v>
      </c>
      <c r="C4562" s="1">
        <v>45020</v>
      </c>
      <c r="E4562" t="s">
        <v>32</v>
      </c>
      <c r="F4562">
        <v>6</v>
      </c>
      <c r="G4562" s="12">
        <v>0</v>
      </c>
      <c r="H4562" s="1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1047</v>
      </c>
      <c r="N4562" t="b">
        <v>1</v>
      </c>
    </row>
    <row r="4563" spans="1:14" x14ac:dyDescent="0.3">
      <c r="A4563" t="s">
        <v>5609</v>
      </c>
      <c r="B4563" t="s">
        <v>854</v>
      </c>
      <c r="C4563" s="1">
        <v>45341</v>
      </c>
      <c r="E4563" t="s">
        <v>32</v>
      </c>
      <c r="F4563">
        <v>39</v>
      </c>
      <c r="G4563" s="12">
        <v>7761</v>
      </c>
      <c r="H4563" s="12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1047</v>
      </c>
      <c r="N4563" t="b">
        <v>1</v>
      </c>
    </row>
    <row r="4564" spans="1:14" x14ac:dyDescent="0.3">
      <c r="A4564" t="s">
        <v>5610</v>
      </c>
      <c r="B4564" t="s">
        <v>784</v>
      </c>
      <c r="C4564" s="1">
        <v>45598</v>
      </c>
      <c r="E4564" t="s">
        <v>15</v>
      </c>
      <c r="F4564">
        <v>18</v>
      </c>
      <c r="G4564" s="12">
        <v>0</v>
      </c>
      <c r="H4564" s="12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1047</v>
      </c>
      <c r="N4564" t="b">
        <v>1</v>
      </c>
    </row>
    <row r="4565" spans="1:14" x14ac:dyDescent="0.3">
      <c r="A4565" t="s">
        <v>5611</v>
      </c>
      <c r="B4565" t="s">
        <v>158</v>
      </c>
      <c r="C4565" s="1">
        <v>45350</v>
      </c>
      <c r="E4565" t="s">
        <v>32</v>
      </c>
      <c r="F4565">
        <v>46</v>
      </c>
      <c r="G4565" s="12">
        <v>9154</v>
      </c>
      <c r="H4565" s="12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1047</v>
      </c>
      <c r="N4565" t="b">
        <v>0</v>
      </c>
    </row>
    <row r="4566" spans="1:14" x14ac:dyDescent="0.3">
      <c r="A4566" t="s">
        <v>5612</v>
      </c>
      <c r="B4566" t="s">
        <v>928</v>
      </c>
      <c r="C4566" s="1">
        <v>45610</v>
      </c>
      <c r="E4566" t="s">
        <v>15</v>
      </c>
      <c r="F4566">
        <v>30</v>
      </c>
      <c r="G4566" s="12">
        <v>0</v>
      </c>
      <c r="H4566" s="12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1050</v>
      </c>
      <c r="N4566" t="b">
        <v>1</v>
      </c>
    </row>
    <row r="4567" spans="1:14" x14ac:dyDescent="0.3">
      <c r="A4567" t="s">
        <v>5613</v>
      </c>
      <c r="B4567" t="s">
        <v>668</v>
      </c>
      <c r="C4567" s="1">
        <v>45175</v>
      </c>
      <c r="E4567" t="s">
        <v>15</v>
      </c>
      <c r="F4567">
        <v>11</v>
      </c>
      <c r="G4567" s="12">
        <v>209</v>
      </c>
      <c r="H4567" s="12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1050</v>
      </c>
      <c r="N4567" t="b">
        <v>1</v>
      </c>
    </row>
    <row r="4568" spans="1:14" x14ac:dyDescent="0.3">
      <c r="A4568" t="s">
        <v>5614</v>
      </c>
      <c r="B4568" t="s">
        <v>786</v>
      </c>
      <c r="C4568" s="1">
        <v>45454</v>
      </c>
      <c r="E4568" t="s">
        <v>15</v>
      </c>
      <c r="F4568">
        <v>22</v>
      </c>
      <c r="G4568" s="12">
        <v>418</v>
      </c>
      <c r="H4568" s="12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1047</v>
      </c>
      <c r="N4568" t="b">
        <v>1</v>
      </c>
    </row>
    <row r="4569" spans="1:14" x14ac:dyDescent="0.3">
      <c r="A4569" t="s">
        <v>5615</v>
      </c>
      <c r="B4569" t="s">
        <v>454</v>
      </c>
      <c r="C4569" s="1">
        <v>45297</v>
      </c>
      <c r="E4569" t="s">
        <v>39</v>
      </c>
      <c r="F4569">
        <v>15</v>
      </c>
      <c r="G4569" s="12">
        <v>735</v>
      </c>
      <c r="H4569" s="12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1047</v>
      </c>
      <c r="N4569" t="b">
        <v>0</v>
      </c>
    </row>
    <row r="4570" spans="1:14" x14ac:dyDescent="0.3">
      <c r="A4570" t="s">
        <v>5616</v>
      </c>
      <c r="B4570" t="s">
        <v>238</v>
      </c>
      <c r="C4570" s="1">
        <v>45643</v>
      </c>
      <c r="E4570" t="s">
        <v>39</v>
      </c>
      <c r="F4570">
        <v>25</v>
      </c>
      <c r="G4570" s="12">
        <v>1225</v>
      </c>
      <c r="H4570" s="12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1050</v>
      </c>
      <c r="N4570" t="b">
        <v>0</v>
      </c>
    </row>
    <row r="4571" spans="1:14" x14ac:dyDescent="0.3">
      <c r="A4571" t="s">
        <v>5617</v>
      </c>
      <c r="B4571" t="s">
        <v>51</v>
      </c>
      <c r="C4571" s="1">
        <v>45575</v>
      </c>
      <c r="E4571" t="s">
        <v>15</v>
      </c>
      <c r="F4571">
        <v>9</v>
      </c>
      <c r="G4571" s="12">
        <v>171</v>
      </c>
      <c r="H4571" s="12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1050</v>
      </c>
      <c r="N4571" t="b">
        <v>1</v>
      </c>
    </row>
    <row r="4572" spans="1:14" x14ac:dyDescent="0.3">
      <c r="A4572" t="s">
        <v>5618</v>
      </c>
      <c r="B4572" t="s">
        <v>442</v>
      </c>
      <c r="C4572" s="1">
        <v>45554</v>
      </c>
      <c r="E4572" t="s">
        <v>32</v>
      </c>
      <c r="F4572">
        <v>32</v>
      </c>
      <c r="G4572" s="12">
        <v>6368</v>
      </c>
      <c r="H4572" s="1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1047</v>
      </c>
      <c r="N4572" t="b">
        <v>1</v>
      </c>
    </row>
    <row r="4573" spans="1:14" x14ac:dyDescent="0.3">
      <c r="A4573" t="s">
        <v>5619</v>
      </c>
      <c r="B4573" t="s">
        <v>710</v>
      </c>
      <c r="C4573" s="1">
        <v>45551</v>
      </c>
      <c r="E4573" t="s">
        <v>15</v>
      </c>
      <c r="F4573">
        <v>23</v>
      </c>
      <c r="G4573" s="12">
        <v>437</v>
      </c>
      <c r="H4573" s="12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1047</v>
      </c>
      <c r="N4573" t="b">
        <v>1</v>
      </c>
    </row>
    <row r="4574" spans="1:14" x14ac:dyDescent="0.3">
      <c r="A4574" t="s">
        <v>5620</v>
      </c>
      <c r="B4574" t="s">
        <v>950</v>
      </c>
      <c r="C4574" s="1">
        <v>45533</v>
      </c>
      <c r="E4574" t="s">
        <v>39</v>
      </c>
      <c r="F4574">
        <v>19</v>
      </c>
      <c r="G4574" s="12">
        <v>0</v>
      </c>
      <c r="H4574" s="12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1050</v>
      </c>
      <c r="N4574" t="b">
        <v>1</v>
      </c>
    </row>
    <row r="4575" spans="1:14" x14ac:dyDescent="0.3">
      <c r="A4575" t="s">
        <v>5621</v>
      </c>
      <c r="B4575" t="s">
        <v>358</v>
      </c>
      <c r="C4575" s="1">
        <v>45495</v>
      </c>
      <c r="E4575" t="s">
        <v>32</v>
      </c>
      <c r="F4575">
        <v>14</v>
      </c>
      <c r="G4575" s="12">
        <v>2786</v>
      </c>
      <c r="H4575" s="12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1050</v>
      </c>
      <c r="N4575" t="b">
        <v>1</v>
      </c>
    </row>
    <row r="4576" spans="1:14" x14ac:dyDescent="0.3">
      <c r="A4576" t="s">
        <v>5622</v>
      </c>
      <c r="B4576" t="s">
        <v>604</v>
      </c>
      <c r="C4576" s="1">
        <v>45640</v>
      </c>
      <c r="E4576" t="s">
        <v>39</v>
      </c>
      <c r="F4576">
        <v>13</v>
      </c>
      <c r="G4576" s="12">
        <v>637</v>
      </c>
      <c r="H4576" s="12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1050</v>
      </c>
      <c r="N4576" t="b">
        <v>0</v>
      </c>
    </row>
    <row r="4577" spans="1:14" x14ac:dyDescent="0.3">
      <c r="A4577" t="s">
        <v>5623</v>
      </c>
      <c r="B4577" t="s">
        <v>168</v>
      </c>
      <c r="C4577" s="1">
        <v>45580</v>
      </c>
      <c r="E4577" t="s">
        <v>15</v>
      </c>
      <c r="F4577">
        <v>21</v>
      </c>
      <c r="G4577" s="12">
        <v>399</v>
      </c>
      <c r="H4577" s="12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1047</v>
      </c>
      <c r="N4577" t="b">
        <v>1</v>
      </c>
    </row>
    <row r="4578" spans="1:14" x14ac:dyDescent="0.3">
      <c r="A4578" t="s">
        <v>5624</v>
      </c>
      <c r="B4578" t="s">
        <v>362</v>
      </c>
      <c r="C4578" s="1">
        <v>45257</v>
      </c>
      <c r="E4578" t="s">
        <v>32</v>
      </c>
      <c r="F4578">
        <v>73</v>
      </c>
      <c r="G4578" s="12">
        <v>14527</v>
      </c>
      <c r="H4578" s="12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1047</v>
      </c>
      <c r="N4578" t="b">
        <v>1</v>
      </c>
    </row>
    <row r="4579" spans="1:14" x14ac:dyDescent="0.3">
      <c r="A4579" t="s">
        <v>5625</v>
      </c>
      <c r="B4579" t="s">
        <v>552</v>
      </c>
      <c r="C4579" s="1">
        <v>45655</v>
      </c>
      <c r="E4579" t="s">
        <v>32</v>
      </c>
      <c r="F4579">
        <v>24</v>
      </c>
      <c r="G4579" s="12">
        <v>4776</v>
      </c>
      <c r="H4579" s="12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1050</v>
      </c>
      <c r="N4579" t="b">
        <v>0</v>
      </c>
    </row>
    <row r="4580" spans="1:14" x14ac:dyDescent="0.3">
      <c r="A4580" t="s">
        <v>5626</v>
      </c>
      <c r="B4580" t="s">
        <v>420</v>
      </c>
      <c r="C4580" s="1">
        <v>45502</v>
      </c>
      <c r="E4580" t="s">
        <v>32</v>
      </c>
      <c r="F4580">
        <v>7</v>
      </c>
      <c r="G4580" s="12">
        <v>1393</v>
      </c>
      <c r="H4580" s="12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1047</v>
      </c>
      <c r="N4580" t="b">
        <v>0</v>
      </c>
    </row>
    <row r="4581" spans="1:14" x14ac:dyDescent="0.3">
      <c r="A4581" t="s">
        <v>5627</v>
      </c>
      <c r="B4581" t="s">
        <v>430</v>
      </c>
      <c r="C4581" s="1">
        <v>45252</v>
      </c>
      <c r="D4581" s="1">
        <v>45345</v>
      </c>
      <c r="E4581" t="s">
        <v>32</v>
      </c>
      <c r="F4581">
        <v>3</v>
      </c>
      <c r="G4581" s="12">
        <v>0</v>
      </c>
      <c r="H4581" s="12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1050</v>
      </c>
      <c r="N4581" t="b">
        <v>0</v>
      </c>
    </row>
    <row r="4582" spans="1:14" x14ac:dyDescent="0.3">
      <c r="A4582" t="s">
        <v>5628</v>
      </c>
      <c r="B4582" t="s">
        <v>1012</v>
      </c>
      <c r="C4582" s="1">
        <v>45374</v>
      </c>
      <c r="E4582" t="s">
        <v>32</v>
      </c>
      <c r="F4582">
        <v>12</v>
      </c>
      <c r="G4582" s="12">
        <v>0</v>
      </c>
      <c r="H4582" s="1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1050</v>
      </c>
      <c r="N4582" t="b">
        <v>0</v>
      </c>
    </row>
    <row r="4583" spans="1:14" x14ac:dyDescent="0.3">
      <c r="A4583" t="s">
        <v>5629</v>
      </c>
      <c r="B4583" t="s">
        <v>208</v>
      </c>
      <c r="C4583" s="1">
        <v>45537</v>
      </c>
      <c r="D4583" s="1">
        <v>45624</v>
      </c>
      <c r="E4583" t="s">
        <v>39</v>
      </c>
      <c r="F4583">
        <v>123</v>
      </c>
      <c r="G4583" s="12">
        <v>6027</v>
      </c>
      <c r="H4583" s="12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1047</v>
      </c>
      <c r="N4583" t="b">
        <v>0</v>
      </c>
    </row>
    <row r="4584" spans="1:14" x14ac:dyDescent="0.3">
      <c r="A4584" t="s">
        <v>5630</v>
      </c>
      <c r="B4584" t="s">
        <v>232</v>
      </c>
      <c r="C4584" s="1">
        <v>45598</v>
      </c>
      <c r="E4584" t="s">
        <v>32</v>
      </c>
      <c r="F4584">
        <v>20</v>
      </c>
      <c r="G4584" s="12">
        <v>0</v>
      </c>
      <c r="H4584" s="12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1047</v>
      </c>
      <c r="N4584" t="b">
        <v>0</v>
      </c>
    </row>
    <row r="4585" spans="1:14" x14ac:dyDescent="0.3">
      <c r="A4585" t="s">
        <v>5631</v>
      </c>
      <c r="B4585" t="s">
        <v>978</v>
      </c>
      <c r="C4585" s="1">
        <v>45585</v>
      </c>
      <c r="E4585" t="s">
        <v>32</v>
      </c>
      <c r="F4585">
        <v>2</v>
      </c>
      <c r="G4585" s="12">
        <v>398</v>
      </c>
      <c r="H4585" s="12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1047</v>
      </c>
      <c r="N4585" t="b">
        <v>1</v>
      </c>
    </row>
    <row r="4586" spans="1:14" x14ac:dyDescent="0.3">
      <c r="A4586" t="s">
        <v>5632</v>
      </c>
      <c r="B4586" t="s">
        <v>1008</v>
      </c>
      <c r="C4586" s="1">
        <v>45624</v>
      </c>
      <c r="E4586" t="s">
        <v>15</v>
      </c>
      <c r="F4586">
        <v>14</v>
      </c>
      <c r="G4586" s="12">
        <v>266</v>
      </c>
      <c r="H4586" s="12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1050</v>
      </c>
      <c r="N4586" t="b">
        <v>1</v>
      </c>
    </row>
    <row r="4587" spans="1:14" x14ac:dyDescent="0.3">
      <c r="A4587" t="s">
        <v>5633</v>
      </c>
      <c r="B4587" t="s">
        <v>216</v>
      </c>
      <c r="C4587" s="1">
        <v>45624</v>
      </c>
      <c r="D4587" s="1">
        <v>45637</v>
      </c>
      <c r="E4587" t="s">
        <v>15</v>
      </c>
      <c r="F4587">
        <v>73</v>
      </c>
      <c r="G4587" s="12">
        <v>1387</v>
      </c>
      <c r="H4587" s="12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1050</v>
      </c>
      <c r="N4587" t="b">
        <v>1</v>
      </c>
    </row>
    <row r="4588" spans="1:14" x14ac:dyDescent="0.3">
      <c r="A4588" t="s">
        <v>5634</v>
      </c>
      <c r="B4588" t="s">
        <v>932</v>
      </c>
      <c r="C4588" s="1">
        <v>45460</v>
      </c>
      <c r="E4588" t="s">
        <v>15</v>
      </c>
      <c r="F4588">
        <v>25</v>
      </c>
      <c r="G4588" s="12">
        <v>475</v>
      </c>
      <c r="H4588" s="12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1050</v>
      </c>
      <c r="N4588" t="b">
        <v>1</v>
      </c>
    </row>
    <row r="4589" spans="1:14" x14ac:dyDescent="0.3">
      <c r="A4589" t="s">
        <v>5635</v>
      </c>
      <c r="B4589" t="s">
        <v>848</v>
      </c>
      <c r="C4589" s="1">
        <v>45344</v>
      </c>
      <c r="E4589" t="s">
        <v>32</v>
      </c>
      <c r="F4589">
        <v>6</v>
      </c>
      <c r="G4589" s="12">
        <v>1194</v>
      </c>
      <c r="H4589" s="12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1047</v>
      </c>
      <c r="N4589" t="b">
        <v>1</v>
      </c>
    </row>
    <row r="4590" spans="1:14" x14ac:dyDescent="0.3">
      <c r="A4590" t="s">
        <v>5636</v>
      </c>
      <c r="B4590" t="s">
        <v>684</v>
      </c>
      <c r="C4590" s="1">
        <v>45399</v>
      </c>
      <c r="E4590" t="s">
        <v>15</v>
      </c>
      <c r="F4590">
        <v>29</v>
      </c>
      <c r="G4590" s="12">
        <v>551</v>
      </c>
      <c r="H4590" s="12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1047</v>
      </c>
      <c r="N4590" t="b">
        <v>1</v>
      </c>
    </row>
    <row r="4591" spans="1:14" x14ac:dyDescent="0.3">
      <c r="A4591" t="s">
        <v>5637</v>
      </c>
      <c r="B4591" t="s">
        <v>272</v>
      </c>
      <c r="C4591" s="1">
        <v>45411</v>
      </c>
      <c r="E4591" t="s">
        <v>39</v>
      </c>
      <c r="F4591">
        <v>15</v>
      </c>
      <c r="G4591" s="12">
        <v>735</v>
      </c>
      <c r="H4591" s="12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1050</v>
      </c>
      <c r="N4591" t="b">
        <v>1</v>
      </c>
    </row>
    <row r="4592" spans="1:14" x14ac:dyDescent="0.3">
      <c r="A4592" t="s">
        <v>5638</v>
      </c>
      <c r="B4592" t="s">
        <v>748</v>
      </c>
      <c r="C4592" s="1">
        <v>45508</v>
      </c>
      <c r="E4592" t="s">
        <v>32</v>
      </c>
      <c r="F4592">
        <v>30</v>
      </c>
      <c r="G4592" s="12">
        <v>5970</v>
      </c>
      <c r="H4592" s="1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1047</v>
      </c>
      <c r="N4592" t="b">
        <v>1</v>
      </c>
    </row>
    <row r="4593" spans="1:14" x14ac:dyDescent="0.3">
      <c r="A4593" t="s">
        <v>5639</v>
      </c>
      <c r="B4593" t="s">
        <v>356</v>
      </c>
      <c r="C4593" s="1">
        <v>45635</v>
      </c>
      <c r="E4593" t="s">
        <v>39</v>
      </c>
      <c r="F4593">
        <v>44</v>
      </c>
      <c r="G4593" s="12">
        <v>2156</v>
      </c>
      <c r="H4593" s="12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1050</v>
      </c>
      <c r="N4593" t="b">
        <v>1</v>
      </c>
    </row>
    <row r="4594" spans="1:14" x14ac:dyDescent="0.3">
      <c r="A4594" t="s">
        <v>5640</v>
      </c>
      <c r="B4594" t="s">
        <v>456</v>
      </c>
      <c r="C4594" s="1">
        <v>45199</v>
      </c>
      <c r="E4594" t="s">
        <v>39</v>
      </c>
      <c r="F4594">
        <v>22</v>
      </c>
      <c r="G4594" s="12">
        <v>1078</v>
      </c>
      <c r="H4594" s="12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1050</v>
      </c>
      <c r="N4594" t="b">
        <v>1</v>
      </c>
    </row>
    <row r="4595" spans="1:14" x14ac:dyDescent="0.3">
      <c r="A4595" t="s">
        <v>5641</v>
      </c>
      <c r="B4595" t="s">
        <v>784</v>
      </c>
      <c r="C4595" s="1">
        <v>45644</v>
      </c>
      <c r="E4595" t="s">
        <v>15</v>
      </c>
      <c r="F4595">
        <v>13</v>
      </c>
      <c r="G4595" s="12">
        <v>247</v>
      </c>
      <c r="H4595" s="12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1047</v>
      </c>
      <c r="N4595" t="b">
        <v>1</v>
      </c>
    </row>
    <row r="4596" spans="1:14" x14ac:dyDescent="0.3">
      <c r="A4596" t="s">
        <v>5642</v>
      </c>
      <c r="B4596" t="s">
        <v>856</v>
      </c>
      <c r="C4596" s="1">
        <v>45554</v>
      </c>
      <c r="E4596" t="s">
        <v>39</v>
      </c>
      <c r="F4596">
        <v>9</v>
      </c>
      <c r="G4596" s="12">
        <v>441</v>
      </c>
      <c r="H4596" s="12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1047</v>
      </c>
      <c r="N4596" t="b">
        <v>0</v>
      </c>
    </row>
    <row r="4597" spans="1:14" x14ac:dyDescent="0.3">
      <c r="A4597" t="s">
        <v>5643</v>
      </c>
      <c r="B4597" t="s">
        <v>994</v>
      </c>
      <c r="C4597" s="1">
        <v>45464</v>
      </c>
      <c r="E4597" t="s">
        <v>32</v>
      </c>
      <c r="F4597">
        <v>28</v>
      </c>
      <c r="G4597" s="12">
        <v>5572</v>
      </c>
      <c r="H4597" s="12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1050</v>
      </c>
      <c r="N4597" t="b">
        <v>1</v>
      </c>
    </row>
    <row r="4598" spans="1:14" x14ac:dyDescent="0.3">
      <c r="A4598" t="s">
        <v>5644</v>
      </c>
      <c r="B4598" t="s">
        <v>296</v>
      </c>
      <c r="C4598" s="1">
        <v>45614</v>
      </c>
      <c r="E4598" t="s">
        <v>39</v>
      </c>
      <c r="F4598">
        <v>28</v>
      </c>
      <c r="G4598" s="12">
        <v>1372</v>
      </c>
      <c r="H4598" s="12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1050</v>
      </c>
      <c r="N4598" t="b">
        <v>1</v>
      </c>
    </row>
    <row r="4599" spans="1:14" x14ac:dyDescent="0.3">
      <c r="A4599" t="s">
        <v>5645</v>
      </c>
      <c r="B4599" t="s">
        <v>654</v>
      </c>
      <c r="C4599" s="1">
        <v>45583</v>
      </c>
      <c r="E4599" t="s">
        <v>15</v>
      </c>
      <c r="F4599">
        <v>38</v>
      </c>
      <c r="G4599" s="12">
        <v>722</v>
      </c>
      <c r="H4599" s="12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1050</v>
      </c>
      <c r="N4599" t="b">
        <v>1</v>
      </c>
    </row>
    <row r="4600" spans="1:14" x14ac:dyDescent="0.3">
      <c r="A4600" t="s">
        <v>5646</v>
      </c>
      <c r="B4600" t="s">
        <v>648</v>
      </c>
      <c r="C4600" s="1">
        <v>45578</v>
      </c>
      <c r="E4600" t="s">
        <v>15</v>
      </c>
      <c r="F4600">
        <v>15</v>
      </c>
      <c r="G4600" s="12">
        <v>285</v>
      </c>
      <c r="H4600" s="12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1047</v>
      </c>
      <c r="N4600" t="b">
        <v>0</v>
      </c>
    </row>
    <row r="4601" spans="1:14" x14ac:dyDescent="0.3">
      <c r="A4601" t="s">
        <v>5647</v>
      </c>
      <c r="B4601" t="s">
        <v>614</v>
      </c>
      <c r="C4601" s="1">
        <v>45615</v>
      </c>
      <c r="E4601" t="s">
        <v>39</v>
      </c>
      <c r="F4601">
        <v>25</v>
      </c>
      <c r="G4601" s="12">
        <v>1225</v>
      </c>
      <c r="H4601" s="12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1047</v>
      </c>
      <c r="N4601" t="b">
        <v>1</v>
      </c>
    </row>
    <row r="4602" spans="1:14" x14ac:dyDescent="0.3">
      <c r="A4602" t="s">
        <v>5648</v>
      </c>
      <c r="B4602" t="s">
        <v>194</v>
      </c>
      <c r="C4602" s="1">
        <v>45164</v>
      </c>
      <c r="E4602" t="s">
        <v>39</v>
      </c>
      <c r="F4602">
        <v>30</v>
      </c>
      <c r="G4602" s="12">
        <v>1470</v>
      </c>
      <c r="H4602" s="1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1047</v>
      </c>
      <c r="N4602" t="b">
        <v>1</v>
      </c>
    </row>
    <row r="4603" spans="1:14" x14ac:dyDescent="0.3">
      <c r="A4603" t="s">
        <v>5649</v>
      </c>
      <c r="B4603" t="s">
        <v>712</v>
      </c>
      <c r="C4603" s="1">
        <v>45622</v>
      </c>
      <c r="E4603" t="s">
        <v>39</v>
      </c>
      <c r="F4603">
        <v>70</v>
      </c>
      <c r="G4603" s="12">
        <v>3430</v>
      </c>
      <c r="H4603" s="12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1050</v>
      </c>
      <c r="N4603" t="b">
        <v>1</v>
      </c>
    </row>
    <row r="4604" spans="1:14" x14ac:dyDescent="0.3">
      <c r="A4604" t="s">
        <v>5650</v>
      </c>
      <c r="B4604" t="s">
        <v>766</v>
      </c>
      <c r="C4604" s="1">
        <v>45349</v>
      </c>
      <c r="E4604" t="s">
        <v>15</v>
      </c>
      <c r="F4604">
        <v>105</v>
      </c>
      <c r="G4604" s="12">
        <v>0</v>
      </c>
      <c r="H4604" s="12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1050</v>
      </c>
      <c r="N4604" t="b">
        <v>1</v>
      </c>
    </row>
    <row r="4605" spans="1:14" x14ac:dyDescent="0.3">
      <c r="A4605" t="s">
        <v>5651</v>
      </c>
      <c r="B4605" t="s">
        <v>754</v>
      </c>
      <c r="C4605" s="1">
        <v>45656</v>
      </c>
      <c r="E4605" t="s">
        <v>39</v>
      </c>
      <c r="F4605">
        <v>19</v>
      </c>
      <c r="G4605" s="12">
        <v>931</v>
      </c>
      <c r="H4605" s="12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1047</v>
      </c>
      <c r="N4605" t="b">
        <v>0</v>
      </c>
    </row>
    <row r="4606" spans="1:14" x14ac:dyDescent="0.3">
      <c r="A4606" t="s">
        <v>5652</v>
      </c>
      <c r="B4606" t="s">
        <v>622</v>
      </c>
      <c r="C4606" s="1">
        <v>45554</v>
      </c>
      <c r="E4606" t="s">
        <v>32</v>
      </c>
      <c r="F4606">
        <v>9</v>
      </c>
      <c r="G4606" s="12">
        <v>1791</v>
      </c>
      <c r="H4606" s="12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1047</v>
      </c>
      <c r="N4606" t="b">
        <v>1</v>
      </c>
    </row>
    <row r="4607" spans="1:14" x14ac:dyDescent="0.3">
      <c r="A4607" t="s">
        <v>5653</v>
      </c>
      <c r="B4607" t="s">
        <v>162</v>
      </c>
      <c r="C4607" s="1">
        <v>45472</v>
      </c>
      <c r="E4607" t="s">
        <v>15</v>
      </c>
      <c r="F4607">
        <v>45</v>
      </c>
      <c r="G4607" s="12">
        <v>855</v>
      </c>
      <c r="H4607" s="12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1047</v>
      </c>
      <c r="N4607" t="b">
        <v>1</v>
      </c>
    </row>
    <row r="4608" spans="1:14" x14ac:dyDescent="0.3">
      <c r="A4608" t="s">
        <v>5654</v>
      </c>
      <c r="B4608" t="s">
        <v>166</v>
      </c>
      <c r="C4608" s="1">
        <v>45370</v>
      </c>
      <c r="E4608" t="s">
        <v>39</v>
      </c>
      <c r="F4608">
        <v>34</v>
      </c>
      <c r="G4608" s="12">
        <v>1666</v>
      </c>
      <c r="H4608" s="12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1047</v>
      </c>
      <c r="N4608" t="b">
        <v>1</v>
      </c>
    </row>
    <row r="4609" spans="1:14" x14ac:dyDescent="0.3">
      <c r="A4609" t="s">
        <v>5655</v>
      </c>
      <c r="B4609" t="s">
        <v>590</v>
      </c>
      <c r="C4609" s="1">
        <v>45565</v>
      </c>
      <c r="E4609" t="s">
        <v>15</v>
      </c>
      <c r="F4609">
        <v>36</v>
      </c>
      <c r="G4609" s="12">
        <v>684</v>
      </c>
      <c r="H4609" s="12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1047</v>
      </c>
      <c r="N4609" t="b">
        <v>0</v>
      </c>
    </row>
    <row r="4610" spans="1:14" x14ac:dyDescent="0.3">
      <c r="A4610" t="s">
        <v>5656</v>
      </c>
      <c r="B4610" t="s">
        <v>934</v>
      </c>
      <c r="C4610" s="1">
        <v>45513</v>
      </c>
      <c r="E4610" t="s">
        <v>39</v>
      </c>
      <c r="F4610">
        <v>46</v>
      </c>
      <c r="G4610" s="12">
        <v>2254</v>
      </c>
      <c r="H4610" s="12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1050</v>
      </c>
      <c r="N4610" t="b">
        <v>1</v>
      </c>
    </row>
    <row r="4611" spans="1:14" x14ac:dyDescent="0.3">
      <c r="A4611" t="s">
        <v>5657</v>
      </c>
      <c r="B4611" t="s">
        <v>650</v>
      </c>
      <c r="C4611" s="1">
        <v>45657</v>
      </c>
      <c r="E4611" t="s">
        <v>39</v>
      </c>
      <c r="F4611">
        <v>3</v>
      </c>
      <c r="G4611" s="12">
        <v>147</v>
      </c>
      <c r="H4611" s="12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1050</v>
      </c>
      <c r="N4611" t="b">
        <v>1</v>
      </c>
    </row>
    <row r="4612" spans="1:14" x14ac:dyDescent="0.3">
      <c r="A4612" t="s">
        <v>5658</v>
      </c>
      <c r="B4612" t="s">
        <v>386</v>
      </c>
      <c r="C4612" s="1">
        <v>45583</v>
      </c>
      <c r="E4612" t="s">
        <v>32</v>
      </c>
      <c r="F4612">
        <v>58</v>
      </c>
      <c r="G4612" s="12">
        <v>11542</v>
      </c>
      <c r="H4612" s="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1050</v>
      </c>
      <c r="N4612" t="b">
        <v>1</v>
      </c>
    </row>
    <row r="4613" spans="1:14" x14ac:dyDescent="0.3">
      <c r="A4613" t="s">
        <v>5659</v>
      </c>
      <c r="B4613" t="s">
        <v>712</v>
      </c>
      <c r="C4613" s="1">
        <v>45611</v>
      </c>
      <c r="E4613" t="s">
        <v>39</v>
      </c>
      <c r="F4613">
        <v>70</v>
      </c>
      <c r="G4613" s="12">
        <v>3430</v>
      </c>
      <c r="H4613" s="12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1047</v>
      </c>
      <c r="N4613" t="b">
        <v>1</v>
      </c>
    </row>
    <row r="4614" spans="1:14" x14ac:dyDescent="0.3">
      <c r="A4614" t="s">
        <v>5660</v>
      </c>
      <c r="B4614" t="s">
        <v>272</v>
      </c>
      <c r="C4614" s="1">
        <v>45652</v>
      </c>
      <c r="E4614" t="s">
        <v>32</v>
      </c>
      <c r="F4614">
        <v>16</v>
      </c>
      <c r="G4614" s="12">
        <v>3184</v>
      </c>
      <c r="H4614" s="12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1050</v>
      </c>
      <c r="N4614" t="b">
        <v>1</v>
      </c>
    </row>
    <row r="4615" spans="1:14" x14ac:dyDescent="0.3">
      <c r="A4615" t="s">
        <v>5661</v>
      </c>
      <c r="B4615" t="s">
        <v>976</v>
      </c>
      <c r="C4615" s="1">
        <v>45110</v>
      </c>
      <c r="D4615" s="1">
        <v>45316</v>
      </c>
      <c r="E4615" t="s">
        <v>15</v>
      </c>
      <c r="F4615">
        <v>54</v>
      </c>
      <c r="G4615" s="12">
        <v>1026</v>
      </c>
      <c r="H4615" s="12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1047</v>
      </c>
      <c r="N4615" t="b">
        <v>1</v>
      </c>
    </row>
    <row r="4616" spans="1:14" x14ac:dyDescent="0.3">
      <c r="A4616" t="s">
        <v>5662</v>
      </c>
      <c r="B4616" t="s">
        <v>314</v>
      </c>
      <c r="C4616" s="1">
        <v>45344</v>
      </c>
      <c r="E4616" t="s">
        <v>15</v>
      </c>
      <c r="F4616">
        <v>11</v>
      </c>
      <c r="G4616" s="12">
        <v>0</v>
      </c>
      <c r="H4616" s="12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1050</v>
      </c>
      <c r="N4616" t="b">
        <v>1</v>
      </c>
    </row>
    <row r="4617" spans="1:14" x14ac:dyDescent="0.3">
      <c r="A4617" t="s">
        <v>5663</v>
      </c>
      <c r="B4617" t="s">
        <v>690</v>
      </c>
      <c r="C4617" s="1">
        <v>45338</v>
      </c>
      <c r="E4617" t="s">
        <v>32</v>
      </c>
      <c r="F4617">
        <v>32</v>
      </c>
      <c r="G4617" s="12">
        <v>6368</v>
      </c>
      <c r="H4617" s="12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1050</v>
      </c>
      <c r="N4617" t="b">
        <v>1</v>
      </c>
    </row>
    <row r="4618" spans="1:14" x14ac:dyDescent="0.3">
      <c r="A4618" t="s">
        <v>5664</v>
      </c>
      <c r="B4618" t="s">
        <v>142</v>
      </c>
      <c r="C4618" s="1">
        <v>45592</v>
      </c>
      <c r="E4618" t="s">
        <v>15</v>
      </c>
      <c r="F4618">
        <v>41</v>
      </c>
      <c r="G4618" s="12">
        <v>779</v>
      </c>
      <c r="H4618" s="12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1050</v>
      </c>
      <c r="N4618" t="b">
        <v>0</v>
      </c>
    </row>
    <row r="4619" spans="1:14" x14ac:dyDescent="0.3">
      <c r="A4619" t="s">
        <v>5665</v>
      </c>
      <c r="B4619" t="s">
        <v>884</v>
      </c>
      <c r="C4619" s="1">
        <v>45392</v>
      </c>
      <c r="E4619" t="s">
        <v>15</v>
      </c>
      <c r="F4619">
        <v>24</v>
      </c>
      <c r="G4619" s="12">
        <v>456</v>
      </c>
      <c r="H4619" s="12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1047</v>
      </c>
      <c r="N4619" t="b">
        <v>1</v>
      </c>
    </row>
    <row r="4620" spans="1:14" x14ac:dyDescent="0.3">
      <c r="A4620" t="s">
        <v>5666</v>
      </c>
      <c r="B4620" t="s">
        <v>49</v>
      </c>
      <c r="C4620" s="1">
        <v>45653</v>
      </c>
      <c r="E4620" t="s">
        <v>15</v>
      </c>
      <c r="F4620">
        <v>59</v>
      </c>
      <c r="G4620" s="12">
        <v>0</v>
      </c>
      <c r="H4620" s="12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1047</v>
      </c>
      <c r="N4620" t="b">
        <v>0</v>
      </c>
    </row>
    <row r="4621" spans="1:14" x14ac:dyDescent="0.3">
      <c r="A4621" t="s">
        <v>5667</v>
      </c>
      <c r="B4621" t="s">
        <v>826</v>
      </c>
      <c r="C4621" s="1">
        <v>45548</v>
      </c>
      <c r="E4621" t="s">
        <v>32</v>
      </c>
      <c r="F4621">
        <v>10</v>
      </c>
      <c r="G4621" s="12">
        <v>0</v>
      </c>
      <c r="H4621" s="12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1047</v>
      </c>
      <c r="N4621" t="b">
        <v>1</v>
      </c>
    </row>
    <row r="4622" spans="1:14" x14ac:dyDescent="0.3">
      <c r="A4622" t="s">
        <v>5668</v>
      </c>
      <c r="B4622" t="s">
        <v>124</v>
      </c>
      <c r="C4622" s="1">
        <v>45502</v>
      </c>
      <c r="E4622" t="s">
        <v>15</v>
      </c>
      <c r="F4622">
        <v>5</v>
      </c>
      <c r="G4622" s="12">
        <v>95</v>
      </c>
      <c r="H4622" s="1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1050</v>
      </c>
      <c r="N4622" t="b">
        <v>1</v>
      </c>
    </row>
    <row r="4623" spans="1:14" x14ac:dyDescent="0.3">
      <c r="A4623" t="s">
        <v>5669</v>
      </c>
      <c r="B4623" t="s">
        <v>312</v>
      </c>
      <c r="C4623" s="1">
        <v>45612</v>
      </c>
      <c r="E4623" t="s">
        <v>32</v>
      </c>
      <c r="F4623">
        <v>15</v>
      </c>
      <c r="G4623" s="12">
        <v>2985</v>
      </c>
      <c r="H4623" s="12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1047</v>
      </c>
      <c r="N4623" t="b">
        <v>1</v>
      </c>
    </row>
    <row r="4624" spans="1:14" x14ac:dyDescent="0.3">
      <c r="A4624" t="s">
        <v>5670</v>
      </c>
      <c r="B4624" t="s">
        <v>87</v>
      </c>
      <c r="C4624" s="1">
        <v>45509</v>
      </c>
      <c r="E4624" t="s">
        <v>15</v>
      </c>
      <c r="F4624">
        <v>20</v>
      </c>
      <c r="G4624" s="12">
        <v>380</v>
      </c>
      <c r="H4624" s="12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1047</v>
      </c>
      <c r="N4624" t="b">
        <v>1</v>
      </c>
    </row>
    <row r="4625" spans="1:14" x14ac:dyDescent="0.3">
      <c r="A4625" t="s">
        <v>5671</v>
      </c>
      <c r="B4625" t="s">
        <v>620</v>
      </c>
      <c r="C4625" s="1">
        <v>45572</v>
      </c>
      <c r="E4625" t="s">
        <v>39</v>
      </c>
      <c r="F4625">
        <v>13</v>
      </c>
      <c r="G4625" s="12">
        <v>637</v>
      </c>
      <c r="H4625" s="12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1047</v>
      </c>
      <c r="N4625" t="b">
        <v>1</v>
      </c>
    </row>
    <row r="4626" spans="1:14" x14ac:dyDescent="0.3">
      <c r="A4626" t="s">
        <v>5672</v>
      </c>
      <c r="B4626" t="s">
        <v>244</v>
      </c>
      <c r="C4626" s="1">
        <v>45641</v>
      </c>
      <c r="E4626" t="s">
        <v>32</v>
      </c>
      <c r="F4626">
        <v>25</v>
      </c>
      <c r="G4626" s="12">
        <v>4975</v>
      </c>
      <c r="H4626" s="12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1050</v>
      </c>
      <c r="N4626" t="b">
        <v>1</v>
      </c>
    </row>
    <row r="4627" spans="1:14" x14ac:dyDescent="0.3">
      <c r="A4627" t="s">
        <v>5673</v>
      </c>
      <c r="B4627" t="s">
        <v>124</v>
      </c>
      <c r="C4627" s="1">
        <v>45405</v>
      </c>
      <c r="D4627" s="1">
        <v>45506</v>
      </c>
      <c r="E4627" t="s">
        <v>15</v>
      </c>
      <c r="F4627">
        <v>9</v>
      </c>
      <c r="G4627" s="12">
        <v>171</v>
      </c>
      <c r="H4627" s="12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1047</v>
      </c>
      <c r="N4627" t="b">
        <v>0</v>
      </c>
    </row>
    <row r="4628" spans="1:14" x14ac:dyDescent="0.3">
      <c r="A4628" t="s">
        <v>5674</v>
      </c>
      <c r="B4628" t="s">
        <v>678</v>
      </c>
      <c r="C4628" s="1">
        <v>45608</v>
      </c>
      <c r="E4628" t="s">
        <v>32</v>
      </c>
      <c r="F4628">
        <v>26</v>
      </c>
      <c r="G4628" s="12">
        <v>5174</v>
      </c>
      <c r="H4628" s="12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1047</v>
      </c>
      <c r="N4628" t="b">
        <v>1</v>
      </c>
    </row>
    <row r="4629" spans="1:14" x14ac:dyDescent="0.3">
      <c r="A4629" t="s">
        <v>5675</v>
      </c>
      <c r="B4629" t="s">
        <v>148</v>
      </c>
      <c r="C4629" s="1">
        <v>45197</v>
      </c>
      <c r="D4629" s="1">
        <v>45257</v>
      </c>
      <c r="E4629" t="s">
        <v>15</v>
      </c>
      <c r="F4629">
        <v>9</v>
      </c>
      <c r="G4629" s="12">
        <v>0</v>
      </c>
      <c r="H4629" s="12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1050</v>
      </c>
      <c r="N4629" t="b">
        <v>1</v>
      </c>
    </row>
    <row r="4630" spans="1:14" x14ac:dyDescent="0.3">
      <c r="A4630" t="s">
        <v>5676</v>
      </c>
      <c r="B4630" t="s">
        <v>448</v>
      </c>
      <c r="C4630" s="1">
        <v>45490</v>
      </c>
      <c r="E4630" t="s">
        <v>32</v>
      </c>
      <c r="F4630">
        <v>27</v>
      </c>
      <c r="G4630" s="12">
        <v>5373</v>
      </c>
      <c r="H4630" s="12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1047</v>
      </c>
      <c r="N4630" t="b">
        <v>1</v>
      </c>
    </row>
    <row r="4631" spans="1:14" x14ac:dyDescent="0.3">
      <c r="A4631" t="s">
        <v>5677</v>
      </c>
      <c r="B4631" t="s">
        <v>83</v>
      </c>
      <c r="C4631" s="1">
        <v>45161</v>
      </c>
      <c r="E4631" t="s">
        <v>32</v>
      </c>
      <c r="F4631">
        <v>19</v>
      </c>
      <c r="G4631" s="12">
        <v>3781</v>
      </c>
      <c r="H4631" s="12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1047</v>
      </c>
      <c r="N4631" t="b">
        <v>1</v>
      </c>
    </row>
    <row r="4632" spans="1:14" x14ac:dyDescent="0.3">
      <c r="A4632" t="s">
        <v>5678</v>
      </c>
      <c r="B4632" t="s">
        <v>148</v>
      </c>
      <c r="C4632" s="1">
        <v>45100</v>
      </c>
      <c r="E4632" t="s">
        <v>39</v>
      </c>
      <c r="F4632">
        <v>9</v>
      </c>
      <c r="G4632" s="12">
        <v>441</v>
      </c>
      <c r="H4632" s="1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1050</v>
      </c>
      <c r="N4632" t="b">
        <v>1</v>
      </c>
    </row>
    <row r="4633" spans="1:14" x14ac:dyDescent="0.3">
      <c r="A4633" t="s">
        <v>5679</v>
      </c>
      <c r="B4633" t="s">
        <v>136</v>
      </c>
      <c r="C4633" s="1">
        <v>45277</v>
      </c>
      <c r="E4633" t="s">
        <v>15</v>
      </c>
      <c r="F4633">
        <v>33</v>
      </c>
      <c r="G4633" s="12">
        <v>627</v>
      </c>
      <c r="H4633" s="12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1047</v>
      </c>
      <c r="N4633" t="b">
        <v>1</v>
      </c>
    </row>
    <row r="4634" spans="1:14" x14ac:dyDescent="0.3">
      <c r="A4634" t="s">
        <v>5680</v>
      </c>
      <c r="B4634" t="s">
        <v>152</v>
      </c>
      <c r="C4634" s="1">
        <v>45081</v>
      </c>
      <c r="D4634" s="1">
        <v>45220</v>
      </c>
      <c r="E4634" t="s">
        <v>39</v>
      </c>
      <c r="F4634">
        <v>41</v>
      </c>
      <c r="G4634" s="12">
        <v>2009</v>
      </c>
      <c r="H4634" s="12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1050</v>
      </c>
      <c r="N4634" t="b">
        <v>1</v>
      </c>
    </row>
    <row r="4635" spans="1:14" x14ac:dyDescent="0.3">
      <c r="A4635" t="s">
        <v>5681</v>
      </c>
      <c r="B4635" t="s">
        <v>706</v>
      </c>
      <c r="C4635" s="1">
        <v>45608</v>
      </c>
      <c r="E4635" t="s">
        <v>39</v>
      </c>
      <c r="F4635">
        <v>24</v>
      </c>
      <c r="G4635" s="12">
        <v>0</v>
      </c>
      <c r="H4635" s="12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1047</v>
      </c>
      <c r="N4635" t="b">
        <v>1</v>
      </c>
    </row>
    <row r="4636" spans="1:14" x14ac:dyDescent="0.3">
      <c r="A4636" t="s">
        <v>5682</v>
      </c>
      <c r="B4636" t="s">
        <v>232</v>
      </c>
      <c r="C4636" s="1">
        <v>45364</v>
      </c>
      <c r="E4636" t="s">
        <v>15</v>
      </c>
      <c r="F4636">
        <v>20</v>
      </c>
      <c r="G4636" s="12">
        <v>380</v>
      </c>
      <c r="H4636" s="12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1050</v>
      </c>
      <c r="N4636" t="b">
        <v>1</v>
      </c>
    </row>
    <row r="4637" spans="1:14" x14ac:dyDescent="0.3">
      <c r="A4637" t="s">
        <v>5683</v>
      </c>
      <c r="B4637" t="s">
        <v>614</v>
      </c>
      <c r="C4637" s="1">
        <v>45616</v>
      </c>
      <c r="E4637" t="s">
        <v>39</v>
      </c>
      <c r="F4637">
        <v>25</v>
      </c>
      <c r="G4637" s="12">
        <v>1225</v>
      </c>
      <c r="H4637" s="12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1050</v>
      </c>
      <c r="N4637" t="b">
        <v>1</v>
      </c>
    </row>
    <row r="4638" spans="1:14" x14ac:dyDescent="0.3">
      <c r="A4638" t="s">
        <v>5684</v>
      </c>
      <c r="B4638" t="s">
        <v>374</v>
      </c>
      <c r="C4638" s="1">
        <v>45562</v>
      </c>
      <c r="D4638" s="1">
        <v>45563</v>
      </c>
      <c r="E4638" t="s">
        <v>32</v>
      </c>
      <c r="F4638">
        <v>9</v>
      </c>
      <c r="G4638" s="12">
        <v>1791</v>
      </c>
      <c r="H4638" s="12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1047</v>
      </c>
      <c r="N4638" t="b">
        <v>1</v>
      </c>
    </row>
    <row r="4639" spans="1:14" x14ac:dyDescent="0.3">
      <c r="A4639" t="s">
        <v>5685</v>
      </c>
      <c r="B4639" t="s">
        <v>496</v>
      </c>
      <c r="C4639" s="1">
        <v>45631</v>
      </c>
      <c r="E4639" t="s">
        <v>32</v>
      </c>
      <c r="F4639">
        <v>13</v>
      </c>
      <c r="G4639" s="12">
        <v>2587</v>
      </c>
      <c r="H4639" s="12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1050</v>
      </c>
      <c r="N4639" t="b">
        <v>1</v>
      </c>
    </row>
    <row r="4640" spans="1:14" x14ac:dyDescent="0.3">
      <c r="A4640" t="s">
        <v>5686</v>
      </c>
      <c r="B4640" t="s">
        <v>824</v>
      </c>
      <c r="C4640" s="1">
        <v>45591</v>
      </c>
      <c r="E4640" t="s">
        <v>15</v>
      </c>
      <c r="F4640">
        <v>42</v>
      </c>
      <c r="G4640" s="12">
        <v>798</v>
      </c>
      <c r="H4640" s="12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1047</v>
      </c>
      <c r="N4640" t="b">
        <v>1</v>
      </c>
    </row>
    <row r="4641" spans="1:14" x14ac:dyDescent="0.3">
      <c r="A4641" t="s">
        <v>5687</v>
      </c>
      <c r="B4641" t="s">
        <v>812</v>
      </c>
      <c r="C4641" s="1">
        <v>45339</v>
      </c>
      <c r="E4641" t="s">
        <v>15</v>
      </c>
      <c r="F4641">
        <v>24</v>
      </c>
      <c r="G4641" s="12">
        <v>456</v>
      </c>
      <c r="H4641" s="12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1047</v>
      </c>
      <c r="N4641" t="b">
        <v>1</v>
      </c>
    </row>
    <row r="4642" spans="1:14" x14ac:dyDescent="0.3">
      <c r="A4642" t="s">
        <v>5688</v>
      </c>
      <c r="B4642" t="s">
        <v>122</v>
      </c>
      <c r="C4642" s="1">
        <v>45314</v>
      </c>
      <c r="D4642" s="1">
        <v>45599</v>
      </c>
      <c r="E4642" t="s">
        <v>15</v>
      </c>
      <c r="F4642">
        <v>9</v>
      </c>
      <c r="G4642" s="12">
        <v>171</v>
      </c>
      <c r="H4642" s="1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1050</v>
      </c>
      <c r="N4642" t="b">
        <v>1</v>
      </c>
    </row>
    <row r="4643" spans="1:14" x14ac:dyDescent="0.3">
      <c r="A4643" t="s">
        <v>5689</v>
      </c>
      <c r="B4643" t="s">
        <v>670</v>
      </c>
      <c r="C4643" s="1">
        <v>45550</v>
      </c>
      <c r="E4643" t="s">
        <v>15</v>
      </c>
      <c r="F4643">
        <v>1</v>
      </c>
      <c r="G4643" s="12">
        <v>19</v>
      </c>
      <c r="H4643" s="12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1050</v>
      </c>
      <c r="N4643" t="b">
        <v>1</v>
      </c>
    </row>
    <row r="4644" spans="1:14" x14ac:dyDescent="0.3">
      <c r="A4644" t="s">
        <v>5690</v>
      </c>
      <c r="B4644" t="s">
        <v>910</v>
      </c>
      <c r="C4644" s="1">
        <v>45634</v>
      </c>
      <c r="E4644" t="s">
        <v>32</v>
      </c>
      <c r="F4644">
        <v>5</v>
      </c>
      <c r="G4644" s="12">
        <v>995</v>
      </c>
      <c r="H4644" s="12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1050</v>
      </c>
      <c r="N4644" t="b">
        <v>1</v>
      </c>
    </row>
    <row r="4645" spans="1:14" x14ac:dyDescent="0.3">
      <c r="A4645" t="s">
        <v>5691</v>
      </c>
      <c r="B4645" t="s">
        <v>166</v>
      </c>
      <c r="C4645" s="1">
        <v>45150</v>
      </c>
      <c r="E4645" t="s">
        <v>32</v>
      </c>
      <c r="F4645">
        <v>21</v>
      </c>
      <c r="G4645" s="12">
        <v>4179</v>
      </c>
      <c r="H4645" s="12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1050</v>
      </c>
      <c r="N4645" t="b">
        <v>0</v>
      </c>
    </row>
    <row r="4646" spans="1:14" x14ac:dyDescent="0.3">
      <c r="A4646" t="s">
        <v>5692</v>
      </c>
      <c r="B4646" t="s">
        <v>414</v>
      </c>
      <c r="C4646" s="1">
        <v>45250</v>
      </c>
      <c r="D4646" s="1">
        <v>45552</v>
      </c>
      <c r="E4646" t="s">
        <v>15</v>
      </c>
      <c r="F4646">
        <v>3</v>
      </c>
      <c r="G4646" s="12">
        <v>0</v>
      </c>
      <c r="H4646" s="12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1047</v>
      </c>
      <c r="N4646" t="b">
        <v>1</v>
      </c>
    </row>
    <row r="4647" spans="1:14" x14ac:dyDescent="0.3">
      <c r="A4647" t="s">
        <v>5693</v>
      </c>
      <c r="B4647" t="s">
        <v>746</v>
      </c>
      <c r="C4647" s="1">
        <v>45483</v>
      </c>
      <c r="E4647" t="s">
        <v>39</v>
      </c>
      <c r="F4647">
        <v>87</v>
      </c>
      <c r="G4647" s="12">
        <v>4263</v>
      </c>
      <c r="H4647" s="12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1050</v>
      </c>
      <c r="N4647" t="b">
        <v>1</v>
      </c>
    </row>
    <row r="4648" spans="1:14" x14ac:dyDescent="0.3">
      <c r="A4648" t="s">
        <v>5694</v>
      </c>
      <c r="B4648" t="s">
        <v>888</v>
      </c>
      <c r="C4648" s="1">
        <v>45040</v>
      </c>
      <c r="E4648" t="s">
        <v>32</v>
      </c>
      <c r="F4648">
        <v>8</v>
      </c>
      <c r="G4648" s="12">
        <v>1592</v>
      </c>
      <c r="H4648" s="12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1047</v>
      </c>
      <c r="N4648" t="b">
        <v>1</v>
      </c>
    </row>
    <row r="4649" spans="1:14" x14ac:dyDescent="0.3">
      <c r="A4649" t="s">
        <v>5695</v>
      </c>
      <c r="B4649" t="s">
        <v>854</v>
      </c>
      <c r="C4649" s="1">
        <v>45362</v>
      </c>
      <c r="E4649" t="s">
        <v>32</v>
      </c>
      <c r="F4649">
        <v>54</v>
      </c>
      <c r="G4649" s="12">
        <v>10746</v>
      </c>
      <c r="H4649" s="12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1050</v>
      </c>
      <c r="N4649" t="b">
        <v>1</v>
      </c>
    </row>
    <row r="4650" spans="1:14" x14ac:dyDescent="0.3">
      <c r="A4650" t="s">
        <v>5696</v>
      </c>
      <c r="B4650" t="s">
        <v>160</v>
      </c>
      <c r="C4650" s="1">
        <v>45650</v>
      </c>
      <c r="E4650" t="s">
        <v>15</v>
      </c>
      <c r="F4650">
        <v>15</v>
      </c>
      <c r="G4650" s="12">
        <v>285</v>
      </c>
      <c r="H4650" s="12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1047</v>
      </c>
      <c r="N4650" t="b">
        <v>0</v>
      </c>
    </row>
    <row r="4651" spans="1:14" x14ac:dyDescent="0.3">
      <c r="A4651" t="s">
        <v>5697</v>
      </c>
      <c r="B4651" t="s">
        <v>264</v>
      </c>
      <c r="C4651" s="1">
        <v>45547</v>
      </c>
      <c r="E4651" t="s">
        <v>15</v>
      </c>
      <c r="F4651">
        <v>38</v>
      </c>
      <c r="G4651" s="12">
        <v>722</v>
      </c>
      <c r="H4651" s="12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1047</v>
      </c>
      <c r="N4651" t="b">
        <v>1</v>
      </c>
    </row>
    <row r="4652" spans="1:14" x14ac:dyDescent="0.3">
      <c r="A4652" t="s">
        <v>5698</v>
      </c>
      <c r="B4652" t="s">
        <v>312</v>
      </c>
      <c r="C4652" s="1">
        <v>45493</v>
      </c>
      <c r="E4652" t="s">
        <v>39</v>
      </c>
      <c r="F4652">
        <v>13</v>
      </c>
      <c r="G4652" s="12">
        <v>637</v>
      </c>
      <c r="H4652" s="1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1050</v>
      </c>
      <c r="N4652" t="b">
        <v>1</v>
      </c>
    </row>
    <row r="4653" spans="1:14" x14ac:dyDescent="0.3">
      <c r="A4653" t="s">
        <v>5699</v>
      </c>
      <c r="B4653" t="s">
        <v>592</v>
      </c>
      <c r="C4653" s="1">
        <v>45478</v>
      </c>
      <c r="E4653" t="s">
        <v>32</v>
      </c>
      <c r="F4653">
        <v>64</v>
      </c>
      <c r="G4653" s="12">
        <v>12736</v>
      </c>
      <c r="H4653" s="12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1050</v>
      </c>
      <c r="N4653" t="b">
        <v>1</v>
      </c>
    </row>
    <row r="4654" spans="1:14" x14ac:dyDescent="0.3">
      <c r="A4654" t="s">
        <v>5700</v>
      </c>
      <c r="B4654" t="s">
        <v>426</v>
      </c>
      <c r="C4654" s="1">
        <v>45569</v>
      </c>
      <c r="E4654" t="s">
        <v>15</v>
      </c>
      <c r="F4654">
        <v>45</v>
      </c>
      <c r="G4654" s="12">
        <v>855</v>
      </c>
      <c r="H4654" s="12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1047</v>
      </c>
      <c r="N4654" t="b">
        <v>0</v>
      </c>
    </row>
    <row r="4655" spans="1:14" x14ac:dyDescent="0.3">
      <c r="A4655" t="s">
        <v>5701</v>
      </c>
      <c r="B4655" t="s">
        <v>896</v>
      </c>
      <c r="C4655" s="1">
        <v>45434</v>
      </c>
      <c r="E4655" t="s">
        <v>39</v>
      </c>
      <c r="F4655">
        <v>24</v>
      </c>
      <c r="G4655" s="12">
        <v>1176</v>
      </c>
      <c r="H4655" s="12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1047</v>
      </c>
      <c r="N4655" t="b">
        <v>1</v>
      </c>
    </row>
    <row r="4656" spans="1:14" x14ac:dyDescent="0.3">
      <c r="A4656" t="s">
        <v>5702</v>
      </c>
      <c r="B4656" t="s">
        <v>938</v>
      </c>
      <c r="C4656" s="1">
        <v>45599</v>
      </c>
      <c r="D4656" s="1">
        <v>45608</v>
      </c>
      <c r="E4656" t="s">
        <v>15</v>
      </c>
      <c r="F4656">
        <v>19</v>
      </c>
      <c r="G4656" s="12">
        <v>361</v>
      </c>
      <c r="H4656" s="12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1050</v>
      </c>
      <c r="N4656" t="b">
        <v>1</v>
      </c>
    </row>
    <row r="4657" spans="1:14" x14ac:dyDescent="0.3">
      <c r="A4657" t="s">
        <v>5703</v>
      </c>
      <c r="B4657" t="s">
        <v>982</v>
      </c>
      <c r="C4657" s="1">
        <v>45138</v>
      </c>
      <c r="E4657" t="s">
        <v>39</v>
      </c>
      <c r="F4657">
        <v>20</v>
      </c>
      <c r="G4657" s="12">
        <v>980</v>
      </c>
      <c r="H4657" s="12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1047</v>
      </c>
      <c r="N4657" t="b">
        <v>0</v>
      </c>
    </row>
    <row r="4658" spans="1:14" x14ac:dyDescent="0.3">
      <c r="A4658" t="s">
        <v>5704</v>
      </c>
      <c r="B4658" t="s">
        <v>400</v>
      </c>
      <c r="C4658" s="1">
        <v>45656</v>
      </c>
      <c r="E4658" t="s">
        <v>15</v>
      </c>
      <c r="F4658">
        <v>21</v>
      </c>
      <c r="G4658" s="12">
        <v>0</v>
      </c>
      <c r="H4658" s="12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1050</v>
      </c>
      <c r="N4658" t="b">
        <v>1</v>
      </c>
    </row>
    <row r="4659" spans="1:14" x14ac:dyDescent="0.3">
      <c r="A4659" t="s">
        <v>5705</v>
      </c>
      <c r="B4659" t="s">
        <v>266</v>
      </c>
      <c r="C4659" s="1">
        <v>45624</v>
      </c>
      <c r="E4659" t="s">
        <v>39</v>
      </c>
      <c r="F4659">
        <v>10</v>
      </c>
      <c r="G4659" s="12">
        <v>490</v>
      </c>
      <c r="H4659" s="12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1050</v>
      </c>
      <c r="N4659" t="b">
        <v>0</v>
      </c>
    </row>
    <row r="4660" spans="1:14" x14ac:dyDescent="0.3">
      <c r="A4660" t="s">
        <v>5706</v>
      </c>
      <c r="B4660" t="s">
        <v>89</v>
      </c>
      <c r="C4660" s="1">
        <v>45588</v>
      </c>
      <c r="E4660" t="s">
        <v>32</v>
      </c>
      <c r="F4660">
        <v>2</v>
      </c>
      <c r="G4660" s="12">
        <v>0</v>
      </c>
      <c r="H4660" s="12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1047</v>
      </c>
      <c r="N4660" t="b">
        <v>1</v>
      </c>
    </row>
    <row r="4661" spans="1:14" x14ac:dyDescent="0.3">
      <c r="A4661" t="s">
        <v>5707</v>
      </c>
      <c r="B4661" t="s">
        <v>482</v>
      </c>
      <c r="C4661" s="1">
        <v>45625</v>
      </c>
      <c r="E4661" t="s">
        <v>39</v>
      </c>
      <c r="F4661">
        <v>69</v>
      </c>
      <c r="G4661" s="12">
        <v>3381</v>
      </c>
      <c r="H4661" s="12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1050</v>
      </c>
      <c r="N4661" t="b">
        <v>1</v>
      </c>
    </row>
    <row r="4662" spans="1:14" x14ac:dyDescent="0.3">
      <c r="A4662" t="s">
        <v>5708</v>
      </c>
      <c r="B4662" t="s">
        <v>912</v>
      </c>
      <c r="C4662" s="1">
        <v>45594</v>
      </c>
      <c r="E4662" t="s">
        <v>15</v>
      </c>
      <c r="F4662">
        <v>23</v>
      </c>
      <c r="G4662" s="12">
        <v>0</v>
      </c>
      <c r="H4662" s="1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1050</v>
      </c>
      <c r="N4662" t="b">
        <v>1</v>
      </c>
    </row>
    <row r="4663" spans="1:14" x14ac:dyDescent="0.3">
      <c r="A4663" t="s">
        <v>5709</v>
      </c>
      <c r="B4663" t="s">
        <v>262</v>
      </c>
      <c r="C4663" s="1">
        <v>45142</v>
      </c>
      <c r="E4663" t="s">
        <v>15</v>
      </c>
      <c r="F4663">
        <v>9</v>
      </c>
      <c r="G4663" s="12">
        <v>171</v>
      </c>
      <c r="H4663" s="12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1050</v>
      </c>
      <c r="N4663" t="b">
        <v>1</v>
      </c>
    </row>
    <row r="4664" spans="1:14" x14ac:dyDescent="0.3">
      <c r="A4664" t="s">
        <v>5710</v>
      </c>
      <c r="B4664" t="s">
        <v>572</v>
      </c>
      <c r="C4664" s="1">
        <v>45421</v>
      </c>
      <c r="E4664" t="s">
        <v>39</v>
      </c>
      <c r="F4664">
        <v>50</v>
      </c>
      <c r="G4664" s="12">
        <v>2450</v>
      </c>
      <c r="H4664" s="12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1050</v>
      </c>
      <c r="N4664" t="b">
        <v>1</v>
      </c>
    </row>
    <row r="4665" spans="1:14" x14ac:dyDescent="0.3">
      <c r="A4665" t="s">
        <v>5711</v>
      </c>
      <c r="B4665" t="s">
        <v>296</v>
      </c>
      <c r="C4665" s="1">
        <v>45613</v>
      </c>
      <c r="E4665" t="s">
        <v>15</v>
      </c>
      <c r="F4665">
        <v>28</v>
      </c>
      <c r="G4665" s="12">
        <v>532</v>
      </c>
      <c r="H4665" s="12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1047</v>
      </c>
      <c r="N4665" t="b">
        <v>1</v>
      </c>
    </row>
    <row r="4666" spans="1:14" x14ac:dyDescent="0.3">
      <c r="A4666" t="s">
        <v>5712</v>
      </c>
      <c r="B4666" t="s">
        <v>256</v>
      </c>
      <c r="C4666" s="1">
        <v>45551</v>
      </c>
      <c r="E4666" t="s">
        <v>32</v>
      </c>
      <c r="F4666">
        <v>2</v>
      </c>
      <c r="G4666" s="12">
        <v>0</v>
      </c>
      <c r="H4666" s="12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1050</v>
      </c>
      <c r="N4666" t="b">
        <v>1</v>
      </c>
    </row>
    <row r="4667" spans="1:14" x14ac:dyDescent="0.3">
      <c r="A4667" t="s">
        <v>5713</v>
      </c>
      <c r="B4667" t="s">
        <v>59</v>
      </c>
      <c r="C4667" s="1">
        <v>45638</v>
      </c>
      <c r="E4667" t="s">
        <v>15</v>
      </c>
      <c r="F4667">
        <v>37</v>
      </c>
      <c r="G4667" s="12">
        <v>703</v>
      </c>
      <c r="H4667" s="12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1047</v>
      </c>
      <c r="N4667" t="b">
        <v>1</v>
      </c>
    </row>
    <row r="4668" spans="1:14" x14ac:dyDescent="0.3">
      <c r="A4668" t="s">
        <v>5714</v>
      </c>
      <c r="B4668" t="s">
        <v>42</v>
      </c>
      <c r="C4668" s="1">
        <v>45623</v>
      </c>
      <c r="E4668" t="s">
        <v>39</v>
      </c>
      <c r="F4668">
        <v>12</v>
      </c>
      <c r="G4668" s="12">
        <v>588</v>
      </c>
      <c r="H4668" s="12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1050</v>
      </c>
      <c r="N4668" t="b">
        <v>1</v>
      </c>
    </row>
    <row r="4669" spans="1:14" x14ac:dyDescent="0.3">
      <c r="A4669" t="s">
        <v>5715</v>
      </c>
      <c r="B4669" t="s">
        <v>1008</v>
      </c>
      <c r="C4669" s="1">
        <v>45537</v>
      </c>
      <c r="E4669" t="s">
        <v>32</v>
      </c>
      <c r="F4669">
        <v>13</v>
      </c>
      <c r="G4669" s="12">
        <v>2587</v>
      </c>
      <c r="H4669" s="12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1050</v>
      </c>
      <c r="N4669" t="b">
        <v>0</v>
      </c>
    </row>
    <row r="4670" spans="1:14" x14ac:dyDescent="0.3">
      <c r="A4670" t="s">
        <v>5716</v>
      </c>
      <c r="B4670" t="s">
        <v>406</v>
      </c>
      <c r="C4670" s="1">
        <v>45589</v>
      </c>
      <c r="E4670" t="s">
        <v>39</v>
      </c>
      <c r="F4670">
        <v>92</v>
      </c>
      <c r="G4670" s="12">
        <v>4508</v>
      </c>
      <c r="H4670" s="12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1047</v>
      </c>
      <c r="N4670" t="b">
        <v>0</v>
      </c>
    </row>
    <row r="4671" spans="1:14" x14ac:dyDescent="0.3">
      <c r="A4671" t="s">
        <v>5717</v>
      </c>
      <c r="B4671" t="s">
        <v>408</v>
      </c>
      <c r="C4671" s="1">
        <v>45571</v>
      </c>
      <c r="E4671" t="s">
        <v>32</v>
      </c>
      <c r="F4671">
        <v>17</v>
      </c>
      <c r="G4671" s="12">
        <v>3383</v>
      </c>
      <c r="H4671" s="12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1050</v>
      </c>
      <c r="N4671" t="b">
        <v>1</v>
      </c>
    </row>
    <row r="4672" spans="1:14" x14ac:dyDescent="0.3">
      <c r="A4672" t="s">
        <v>5718</v>
      </c>
      <c r="B4672" t="s">
        <v>410</v>
      </c>
      <c r="C4672" s="1">
        <v>45409</v>
      </c>
      <c r="E4672" t="s">
        <v>39</v>
      </c>
      <c r="F4672">
        <v>17</v>
      </c>
      <c r="G4672" s="12">
        <v>833</v>
      </c>
      <c r="H4672" s="1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1047</v>
      </c>
      <c r="N4672" t="b">
        <v>1</v>
      </c>
    </row>
    <row r="4673" spans="1:14" x14ac:dyDescent="0.3">
      <c r="A4673" t="s">
        <v>5719</v>
      </c>
      <c r="B4673" t="s">
        <v>998</v>
      </c>
      <c r="C4673" s="1">
        <v>45235</v>
      </c>
      <c r="E4673" t="s">
        <v>39</v>
      </c>
      <c r="F4673">
        <v>78</v>
      </c>
      <c r="G4673" s="12">
        <v>3822</v>
      </c>
      <c r="H4673" s="12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1050</v>
      </c>
      <c r="N4673" t="b">
        <v>1</v>
      </c>
    </row>
    <row r="4674" spans="1:14" x14ac:dyDescent="0.3">
      <c r="A4674" t="s">
        <v>5720</v>
      </c>
      <c r="B4674" t="s">
        <v>890</v>
      </c>
      <c r="C4674" s="1">
        <v>45485</v>
      </c>
      <c r="E4674" t="s">
        <v>15</v>
      </c>
      <c r="F4674">
        <v>10</v>
      </c>
      <c r="G4674" s="12">
        <v>190</v>
      </c>
      <c r="H4674" s="12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1050</v>
      </c>
      <c r="N4674" t="b">
        <v>1</v>
      </c>
    </row>
    <row r="4675" spans="1:14" x14ac:dyDescent="0.3">
      <c r="A4675" t="s">
        <v>5721</v>
      </c>
      <c r="B4675" t="s">
        <v>502</v>
      </c>
      <c r="C4675" s="1">
        <v>45451</v>
      </c>
      <c r="E4675" t="s">
        <v>15</v>
      </c>
      <c r="F4675">
        <v>24</v>
      </c>
      <c r="G4675" s="12">
        <v>456</v>
      </c>
      <c r="H4675" s="12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1047</v>
      </c>
      <c r="N4675" t="b">
        <v>1</v>
      </c>
    </row>
    <row r="4676" spans="1:14" x14ac:dyDescent="0.3">
      <c r="A4676" t="s">
        <v>5722</v>
      </c>
      <c r="B4676" t="s">
        <v>72</v>
      </c>
      <c r="C4676" s="1">
        <v>45539</v>
      </c>
      <c r="E4676" t="s">
        <v>15</v>
      </c>
      <c r="F4676">
        <v>6</v>
      </c>
      <c r="G4676" s="12">
        <v>114</v>
      </c>
      <c r="H4676" s="12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1047</v>
      </c>
      <c r="N4676" t="b">
        <v>0</v>
      </c>
    </row>
    <row r="4677" spans="1:14" x14ac:dyDescent="0.3">
      <c r="A4677" t="s">
        <v>5723</v>
      </c>
      <c r="B4677" t="s">
        <v>66</v>
      </c>
      <c r="C4677" s="1">
        <v>45355</v>
      </c>
      <c r="E4677" t="s">
        <v>15</v>
      </c>
      <c r="F4677">
        <v>5</v>
      </c>
      <c r="G4677" s="12">
        <v>95</v>
      </c>
      <c r="H4677" s="12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1050</v>
      </c>
      <c r="N4677" t="b">
        <v>0</v>
      </c>
    </row>
    <row r="4678" spans="1:14" x14ac:dyDescent="0.3">
      <c r="A4678" t="s">
        <v>5724</v>
      </c>
      <c r="B4678" t="s">
        <v>596</v>
      </c>
      <c r="C4678" s="1">
        <v>45275</v>
      </c>
      <c r="E4678" t="s">
        <v>15</v>
      </c>
      <c r="F4678">
        <v>29</v>
      </c>
      <c r="G4678" s="12">
        <v>551</v>
      </c>
      <c r="H4678" s="12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1050</v>
      </c>
      <c r="N4678" t="b">
        <v>1</v>
      </c>
    </row>
    <row r="4679" spans="1:14" x14ac:dyDescent="0.3">
      <c r="A4679" t="s">
        <v>5725</v>
      </c>
      <c r="B4679" t="s">
        <v>438</v>
      </c>
      <c r="C4679" s="1">
        <v>45211</v>
      </c>
      <c r="E4679" t="s">
        <v>15</v>
      </c>
      <c r="F4679">
        <v>30</v>
      </c>
      <c r="G4679" s="12">
        <v>570</v>
      </c>
      <c r="H4679" s="12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1050</v>
      </c>
      <c r="N4679" t="b">
        <v>1</v>
      </c>
    </row>
    <row r="4680" spans="1:14" x14ac:dyDescent="0.3">
      <c r="A4680" t="s">
        <v>5726</v>
      </c>
      <c r="B4680" t="s">
        <v>194</v>
      </c>
      <c r="C4680" s="1">
        <v>45541</v>
      </c>
      <c r="E4680" t="s">
        <v>32</v>
      </c>
      <c r="F4680">
        <v>11</v>
      </c>
      <c r="G4680" s="12">
        <v>0</v>
      </c>
      <c r="H4680" s="12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1047</v>
      </c>
      <c r="N4680" t="b">
        <v>1</v>
      </c>
    </row>
    <row r="4681" spans="1:14" x14ac:dyDescent="0.3">
      <c r="A4681" t="s">
        <v>5727</v>
      </c>
      <c r="B4681" t="s">
        <v>586</v>
      </c>
      <c r="C4681" s="1">
        <v>45505</v>
      </c>
      <c r="E4681" t="s">
        <v>32</v>
      </c>
      <c r="F4681">
        <v>13</v>
      </c>
      <c r="G4681" s="12">
        <v>2587</v>
      </c>
      <c r="H4681" s="12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1047</v>
      </c>
      <c r="N4681" t="b">
        <v>1</v>
      </c>
    </row>
    <row r="4682" spans="1:14" x14ac:dyDescent="0.3">
      <c r="A4682" t="s">
        <v>5728</v>
      </c>
      <c r="B4682" t="s">
        <v>860</v>
      </c>
      <c r="C4682" s="1">
        <v>45353</v>
      </c>
      <c r="E4682" t="s">
        <v>39</v>
      </c>
      <c r="F4682">
        <v>98</v>
      </c>
      <c r="G4682" s="12">
        <v>4802</v>
      </c>
      <c r="H4682" s="1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1047</v>
      </c>
      <c r="N4682" t="b">
        <v>0</v>
      </c>
    </row>
    <row r="4683" spans="1:14" x14ac:dyDescent="0.3">
      <c r="A4683" t="s">
        <v>5729</v>
      </c>
      <c r="B4683" t="s">
        <v>180</v>
      </c>
      <c r="C4683" s="1">
        <v>45571</v>
      </c>
      <c r="E4683" t="s">
        <v>15</v>
      </c>
      <c r="F4683">
        <v>7</v>
      </c>
      <c r="G4683" s="12">
        <v>133</v>
      </c>
      <c r="H4683" s="12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1047</v>
      </c>
      <c r="N4683" t="b">
        <v>0</v>
      </c>
    </row>
    <row r="4684" spans="1:14" x14ac:dyDescent="0.3">
      <c r="A4684" t="s">
        <v>5730</v>
      </c>
      <c r="B4684" t="s">
        <v>1026</v>
      </c>
      <c r="C4684" s="1">
        <v>45488</v>
      </c>
      <c r="E4684" t="s">
        <v>32</v>
      </c>
      <c r="F4684">
        <v>18</v>
      </c>
      <c r="G4684" s="12">
        <v>3582</v>
      </c>
      <c r="H4684" s="12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1047</v>
      </c>
      <c r="N4684" t="b">
        <v>1</v>
      </c>
    </row>
    <row r="4685" spans="1:14" x14ac:dyDescent="0.3">
      <c r="A4685" t="s">
        <v>5731</v>
      </c>
      <c r="B4685" t="s">
        <v>504</v>
      </c>
      <c r="C4685" s="1">
        <v>45148</v>
      </c>
      <c r="E4685" t="s">
        <v>15</v>
      </c>
      <c r="F4685">
        <v>28</v>
      </c>
      <c r="G4685" s="12">
        <v>0</v>
      </c>
      <c r="H4685" s="12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1047</v>
      </c>
      <c r="N4685" t="b">
        <v>1</v>
      </c>
    </row>
    <row r="4686" spans="1:14" x14ac:dyDescent="0.3">
      <c r="A4686" t="s">
        <v>5732</v>
      </c>
      <c r="B4686" t="s">
        <v>448</v>
      </c>
      <c r="C4686" s="1">
        <v>45483</v>
      </c>
      <c r="E4686" t="s">
        <v>15</v>
      </c>
      <c r="F4686">
        <v>38</v>
      </c>
      <c r="G4686" s="12">
        <v>722</v>
      </c>
      <c r="H4686" s="12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1047</v>
      </c>
      <c r="N4686" t="b">
        <v>1</v>
      </c>
    </row>
    <row r="4687" spans="1:14" x14ac:dyDescent="0.3">
      <c r="A4687" t="s">
        <v>5733</v>
      </c>
      <c r="B4687" t="s">
        <v>83</v>
      </c>
      <c r="C4687" s="1">
        <v>45517</v>
      </c>
      <c r="E4687" t="s">
        <v>32</v>
      </c>
      <c r="F4687">
        <v>19</v>
      </c>
      <c r="G4687" s="12">
        <v>3781</v>
      </c>
      <c r="H4687" s="12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1047</v>
      </c>
      <c r="N4687" t="b">
        <v>1</v>
      </c>
    </row>
    <row r="4688" spans="1:14" x14ac:dyDescent="0.3">
      <c r="A4688" t="s">
        <v>5734</v>
      </c>
      <c r="B4688" t="s">
        <v>370</v>
      </c>
      <c r="C4688" s="1">
        <v>45570</v>
      </c>
      <c r="E4688" t="s">
        <v>15</v>
      </c>
      <c r="F4688">
        <v>19</v>
      </c>
      <c r="G4688" s="12">
        <v>361</v>
      </c>
      <c r="H4688" s="12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1050</v>
      </c>
      <c r="N4688" t="b">
        <v>0</v>
      </c>
    </row>
    <row r="4689" spans="1:14" x14ac:dyDescent="0.3">
      <c r="A4689" t="s">
        <v>5735</v>
      </c>
      <c r="B4689" t="s">
        <v>398</v>
      </c>
      <c r="C4689" s="1">
        <v>45528</v>
      </c>
      <c r="E4689" t="s">
        <v>39</v>
      </c>
      <c r="F4689">
        <v>16</v>
      </c>
      <c r="G4689" s="12">
        <v>784</v>
      </c>
      <c r="H4689" s="12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1050</v>
      </c>
      <c r="N4689" t="b">
        <v>0</v>
      </c>
    </row>
    <row r="4690" spans="1:14" x14ac:dyDescent="0.3">
      <c r="A4690" t="s">
        <v>5736</v>
      </c>
      <c r="B4690" t="s">
        <v>336</v>
      </c>
      <c r="C4690" s="1">
        <v>45465</v>
      </c>
      <c r="E4690" t="s">
        <v>39</v>
      </c>
      <c r="F4690">
        <v>6</v>
      </c>
      <c r="G4690" s="12">
        <v>294</v>
      </c>
      <c r="H4690" s="12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1047</v>
      </c>
      <c r="N4690" t="b">
        <v>1</v>
      </c>
    </row>
    <row r="4691" spans="1:14" x14ac:dyDescent="0.3">
      <c r="A4691" t="s">
        <v>5737</v>
      </c>
      <c r="B4691" t="s">
        <v>146</v>
      </c>
      <c r="C4691" s="1">
        <v>45575</v>
      </c>
      <c r="E4691" t="s">
        <v>15</v>
      </c>
      <c r="F4691">
        <v>20</v>
      </c>
      <c r="G4691" s="12">
        <v>380</v>
      </c>
      <c r="H4691" s="12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1047</v>
      </c>
      <c r="N4691" t="b">
        <v>1</v>
      </c>
    </row>
    <row r="4692" spans="1:14" x14ac:dyDescent="0.3">
      <c r="A4692" t="s">
        <v>5738</v>
      </c>
      <c r="B4692" t="s">
        <v>608</v>
      </c>
      <c r="C4692" s="1">
        <v>45533</v>
      </c>
      <c r="E4692" t="s">
        <v>15</v>
      </c>
      <c r="F4692">
        <v>4</v>
      </c>
      <c r="G4692" s="12">
        <v>76</v>
      </c>
      <c r="H4692" s="1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1050</v>
      </c>
      <c r="N4692" t="b">
        <v>1</v>
      </c>
    </row>
    <row r="4693" spans="1:14" x14ac:dyDescent="0.3">
      <c r="A4693" t="s">
        <v>5739</v>
      </c>
      <c r="B4693" t="s">
        <v>574</v>
      </c>
      <c r="C4693" s="1">
        <v>45638</v>
      </c>
      <c r="E4693" t="s">
        <v>39</v>
      </c>
      <c r="F4693">
        <v>17</v>
      </c>
      <c r="G4693" s="12">
        <v>833</v>
      </c>
      <c r="H4693" s="12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1050</v>
      </c>
      <c r="N4693" t="b">
        <v>1</v>
      </c>
    </row>
    <row r="4694" spans="1:14" x14ac:dyDescent="0.3">
      <c r="A4694" t="s">
        <v>5740</v>
      </c>
      <c r="B4694" t="s">
        <v>750</v>
      </c>
      <c r="C4694" s="1">
        <v>45631</v>
      </c>
      <c r="E4694" t="s">
        <v>32</v>
      </c>
      <c r="F4694">
        <v>30</v>
      </c>
      <c r="G4694" s="12">
        <v>0</v>
      </c>
      <c r="H4694" s="12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1050</v>
      </c>
      <c r="N4694" t="b">
        <v>1</v>
      </c>
    </row>
    <row r="4695" spans="1:14" x14ac:dyDescent="0.3">
      <c r="A4695" t="s">
        <v>5741</v>
      </c>
      <c r="B4695" t="s">
        <v>538</v>
      </c>
      <c r="C4695" s="1">
        <v>45082</v>
      </c>
      <c r="E4695" t="s">
        <v>15</v>
      </c>
      <c r="F4695">
        <v>9</v>
      </c>
      <c r="G4695" s="12">
        <v>171</v>
      </c>
      <c r="H4695" s="12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1047</v>
      </c>
      <c r="N4695" t="b">
        <v>0</v>
      </c>
    </row>
    <row r="4696" spans="1:14" x14ac:dyDescent="0.3">
      <c r="A4696" t="s">
        <v>5742</v>
      </c>
      <c r="B4696" t="s">
        <v>604</v>
      </c>
      <c r="C4696" s="1">
        <v>45600</v>
      </c>
      <c r="E4696" t="s">
        <v>39</v>
      </c>
      <c r="F4696">
        <v>12</v>
      </c>
      <c r="G4696" s="12">
        <v>588</v>
      </c>
      <c r="H4696" s="12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1047</v>
      </c>
      <c r="N4696" t="b">
        <v>1</v>
      </c>
    </row>
    <row r="4697" spans="1:14" x14ac:dyDescent="0.3">
      <c r="A4697" t="s">
        <v>5743</v>
      </c>
      <c r="B4697" t="s">
        <v>716</v>
      </c>
      <c r="C4697" s="1">
        <v>45653</v>
      </c>
      <c r="E4697" t="s">
        <v>15</v>
      </c>
      <c r="F4697">
        <v>35</v>
      </c>
      <c r="G4697" s="12">
        <v>665</v>
      </c>
      <c r="H4697" s="12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1050</v>
      </c>
      <c r="N4697" t="b">
        <v>1</v>
      </c>
    </row>
    <row r="4698" spans="1:14" x14ac:dyDescent="0.3">
      <c r="A4698" t="s">
        <v>5744</v>
      </c>
      <c r="B4698" t="s">
        <v>190</v>
      </c>
      <c r="C4698" s="1">
        <v>45592</v>
      </c>
      <c r="E4698" t="s">
        <v>39</v>
      </c>
      <c r="F4698">
        <v>56</v>
      </c>
      <c r="G4698" s="12">
        <v>2744</v>
      </c>
      <c r="H4698" s="12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1050</v>
      </c>
      <c r="N4698" t="b">
        <v>1</v>
      </c>
    </row>
    <row r="4699" spans="1:14" x14ac:dyDescent="0.3">
      <c r="A4699" t="s">
        <v>5745</v>
      </c>
      <c r="B4699" t="s">
        <v>940</v>
      </c>
      <c r="C4699" s="1">
        <v>45510</v>
      </c>
      <c r="E4699" t="s">
        <v>39</v>
      </c>
      <c r="F4699">
        <v>16</v>
      </c>
      <c r="G4699" s="12">
        <v>784</v>
      </c>
      <c r="H4699" s="12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1047</v>
      </c>
      <c r="N4699" t="b">
        <v>0</v>
      </c>
    </row>
    <row r="4700" spans="1:14" x14ac:dyDescent="0.3">
      <c r="A4700" t="s">
        <v>5746</v>
      </c>
      <c r="B4700" t="s">
        <v>110</v>
      </c>
      <c r="C4700" s="1">
        <v>45411</v>
      </c>
      <c r="E4700" t="s">
        <v>32</v>
      </c>
      <c r="F4700">
        <v>32</v>
      </c>
      <c r="G4700" s="12">
        <v>6368</v>
      </c>
      <c r="H4700" s="12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1047</v>
      </c>
      <c r="N4700" t="b">
        <v>1</v>
      </c>
    </row>
    <row r="4701" spans="1:14" x14ac:dyDescent="0.3">
      <c r="A4701" t="s">
        <v>5747</v>
      </c>
      <c r="B4701" t="s">
        <v>566</v>
      </c>
      <c r="C4701" s="1">
        <v>45579</v>
      </c>
      <c r="E4701" t="s">
        <v>15</v>
      </c>
      <c r="F4701">
        <v>11</v>
      </c>
      <c r="G4701" s="12">
        <v>209</v>
      </c>
      <c r="H4701" s="12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1050</v>
      </c>
      <c r="N4701" t="b">
        <v>1</v>
      </c>
    </row>
    <row r="4702" spans="1:14" x14ac:dyDescent="0.3">
      <c r="A4702" t="s">
        <v>5748</v>
      </c>
      <c r="B4702" t="s">
        <v>45</v>
      </c>
      <c r="C4702" s="1">
        <v>45086</v>
      </c>
      <c r="E4702" t="s">
        <v>15</v>
      </c>
      <c r="F4702">
        <v>14</v>
      </c>
      <c r="G4702" s="12">
        <v>266</v>
      </c>
      <c r="H4702" s="1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1050</v>
      </c>
      <c r="N4702" t="b">
        <v>0</v>
      </c>
    </row>
    <row r="4703" spans="1:14" x14ac:dyDescent="0.3">
      <c r="A4703" t="s">
        <v>5749</v>
      </c>
      <c r="B4703" t="s">
        <v>442</v>
      </c>
      <c r="C4703" s="1">
        <v>45528</v>
      </c>
      <c r="E4703" t="s">
        <v>39</v>
      </c>
      <c r="F4703">
        <v>32</v>
      </c>
      <c r="G4703" s="12">
        <v>1568</v>
      </c>
      <c r="H4703" s="12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1047</v>
      </c>
      <c r="N4703" t="b">
        <v>1</v>
      </c>
    </row>
    <row r="4704" spans="1:14" x14ac:dyDescent="0.3">
      <c r="A4704" t="s">
        <v>5750</v>
      </c>
      <c r="B4704" t="s">
        <v>348</v>
      </c>
      <c r="C4704" s="1">
        <v>45454</v>
      </c>
      <c r="E4704" t="s">
        <v>32</v>
      </c>
      <c r="F4704">
        <v>36</v>
      </c>
      <c r="G4704" s="12">
        <v>7164</v>
      </c>
      <c r="H4704" s="12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1047</v>
      </c>
      <c r="N4704" t="b">
        <v>1</v>
      </c>
    </row>
    <row r="4705" spans="1:14" x14ac:dyDescent="0.3">
      <c r="A4705" t="s">
        <v>5751</v>
      </c>
      <c r="B4705" t="s">
        <v>802</v>
      </c>
      <c r="C4705" s="1">
        <v>45561</v>
      </c>
      <c r="E4705" t="s">
        <v>15</v>
      </c>
      <c r="F4705">
        <v>41</v>
      </c>
      <c r="G4705" s="12">
        <v>779</v>
      </c>
      <c r="H4705" s="12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1047</v>
      </c>
      <c r="N4705" t="b">
        <v>1</v>
      </c>
    </row>
    <row r="4706" spans="1:14" x14ac:dyDescent="0.3">
      <c r="A4706" t="s">
        <v>5752</v>
      </c>
      <c r="B4706" t="s">
        <v>486</v>
      </c>
      <c r="C4706" s="1">
        <v>45484</v>
      </c>
      <c r="E4706" t="s">
        <v>39</v>
      </c>
      <c r="F4706">
        <v>53</v>
      </c>
      <c r="G4706" s="12">
        <v>2597</v>
      </c>
      <c r="H4706" s="12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1050</v>
      </c>
      <c r="N4706" t="b">
        <v>1</v>
      </c>
    </row>
    <row r="4707" spans="1:14" x14ac:dyDescent="0.3">
      <c r="A4707" t="s">
        <v>5753</v>
      </c>
      <c r="B4707" t="s">
        <v>156</v>
      </c>
      <c r="C4707" s="1">
        <v>45526</v>
      </c>
      <c r="E4707" t="s">
        <v>15</v>
      </c>
      <c r="F4707">
        <v>103</v>
      </c>
      <c r="G4707" s="12">
        <v>1957</v>
      </c>
      <c r="H4707" s="12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1047</v>
      </c>
      <c r="N4707" t="b">
        <v>1</v>
      </c>
    </row>
    <row r="4708" spans="1:14" x14ac:dyDescent="0.3">
      <c r="A4708" t="s">
        <v>5754</v>
      </c>
      <c r="B4708" t="s">
        <v>796</v>
      </c>
      <c r="C4708" s="1">
        <v>45468</v>
      </c>
      <c r="E4708" t="s">
        <v>32</v>
      </c>
      <c r="F4708">
        <v>40</v>
      </c>
      <c r="G4708" s="12">
        <v>7960</v>
      </c>
      <c r="H4708" s="12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1047</v>
      </c>
      <c r="N4708" t="b">
        <v>0</v>
      </c>
    </row>
    <row r="4709" spans="1:14" x14ac:dyDescent="0.3">
      <c r="A4709" t="s">
        <v>5755</v>
      </c>
      <c r="B4709" t="s">
        <v>586</v>
      </c>
      <c r="C4709" s="1">
        <v>45643</v>
      </c>
      <c r="E4709" t="s">
        <v>15</v>
      </c>
      <c r="F4709">
        <v>23</v>
      </c>
      <c r="G4709" s="12">
        <v>437</v>
      </c>
      <c r="H4709" s="12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1050</v>
      </c>
      <c r="N4709" t="b">
        <v>1</v>
      </c>
    </row>
    <row r="4710" spans="1:14" x14ac:dyDescent="0.3">
      <c r="A4710" t="s">
        <v>5756</v>
      </c>
      <c r="B4710" t="s">
        <v>616</v>
      </c>
      <c r="C4710" s="1">
        <v>45207</v>
      </c>
      <c r="E4710" t="s">
        <v>39</v>
      </c>
      <c r="F4710">
        <v>34</v>
      </c>
      <c r="G4710" s="12">
        <v>1666</v>
      </c>
      <c r="H4710" s="12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1047</v>
      </c>
      <c r="N4710" t="b">
        <v>1</v>
      </c>
    </row>
    <row r="4711" spans="1:14" x14ac:dyDescent="0.3">
      <c r="A4711" t="s">
        <v>5757</v>
      </c>
      <c r="B4711" t="s">
        <v>712</v>
      </c>
      <c r="C4711" s="1">
        <v>45636</v>
      </c>
      <c r="E4711" t="s">
        <v>15</v>
      </c>
      <c r="F4711">
        <v>70</v>
      </c>
      <c r="G4711" s="12">
        <v>1330</v>
      </c>
      <c r="H4711" s="12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1050</v>
      </c>
      <c r="N4711" t="b">
        <v>1</v>
      </c>
    </row>
    <row r="4712" spans="1:14" x14ac:dyDescent="0.3">
      <c r="A4712" t="s">
        <v>5758</v>
      </c>
      <c r="B4712" t="s">
        <v>832</v>
      </c>
      <c r="C4712" s="1">
        <v>45183</v>
      </c>
      <c r="E4712" t="s">
        <v>15</v>
      </c>
      <c r="F4712">
        <v>56</v>
      </c>
      <c r="G4712" s="12">
        <v>1064</v>
      </c>
      <c r="H4712" s="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1050</v>
      </c>
      <c r="N4712" t="b">
        <v>1</v>
      </c>
    </row>
    <row r="4713" spans="1:14" x14ac:dyDescent="0.3">
      <c r="A4713" t="s">
        <v>5759</v>
      </c>
      <c r="B4713" t="s">
        <v>654</v>
      </c>
      <c r="C4713" s="1">
        <v>45646</v>
      </c>
      <c r="E4713" t="s">
        <v>32</v>
      </c>
      <c r="F4713">
        <v>16</v>
      </c>
      <c r="G4713" s="12">
        <v>3184</v>
      </c>
      <c r="H4713" s="12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1047</v>
      </c>
      <c r="N4713" t="b">
        <v>1</v>
      </c>
    </row>
    <row r="4714" spans="1:14" x14ac:dyDescent="0.3">
      <c r="A4714" t="s">
        <v>5760</v>
      </c>
      <c r="B4714" t="s">
        <v>856</v>
      </c>
      <c r="C4714" s="1">
        <v>45604</v>
      </c>
      <c r="E4714" t="s">
        <v>39</v>
      </c>
      <c r="F4714">
        <v>9</v>
      </c>
      <c r="G4714" s="12">
        <v>441</v>
      </c>
      <c r="H4714" s="12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1050</v>
      </c>
      <c r="N4714" t="b">
        <v>1</v>
      </c>
    </row>
    <row r="4715" spans="1:14" x14ac:dyDescent="0.3">
      <c r="A4715" t="s">
        <v>5761</v>
      </c>
      <c r="B4715" t="s">
        <v>980</v>
      </c>
      <c r="C4715" s="1">
        <v>45606</v>
      </c>
      <c r="E4715" t="s">
        <v>32</v>
      </c>
      <c r="F4715">
        <v>67</v>
      </c>
      <c r="G4715" s="12">
        <v>13333</v>
      </c>
      <c r="H4715" s="12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1050</v>
      </c>
      <c r="N4715" t="b">
        <v>1</v>
      </c>
    </row>
    <row r="4716" spans="1:14" x14ac:dyDescent="0.3">
      <c r="A4716" t="s">
        <v>5762</v>
      </c>
      <c r="B4716" t="s">
        <v>684</v>
      </c>
      <c r="C4716" s="1">
        <v>45358</v>
      </c>
      <c r="E4716" t="s">
        <v>32</v>
      </c>
      <c r="F4716">
        <v>29</v>
      </c>
      <c r="G4716" s="12">
        <v>5771</v>
      </c>
      <c r="H4716" s="12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1047</v>
      </c>
      <c r="N4716" t="b">
        <v>1</v>
      </c>
    </row>
    <row r="4717" spans="1:14" x14ac:dyDescent="0.3">
      <c r="A4717" t="s">
        <v>5763</v>
      </c>
      <c r="B4717" t="s">
        <v>232</v>
      </c>
      <c r="C4717" s="1">
        <v>45619</v>
      </c>
      <c r="E4717" t="s">
        <v>32</v>
      </c>
      <c r="F4717">
        <v>47</v>
      </c>
      <c r="G4717" s="12">
        <v>9353</v>
      </c>
      <c r="H4717" s="12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1050</v>
      </c>
      <c r="N4717" t="b">
        <v>1</v>
      </c>
    </row>
    <row r="4718" spans="1:14" x14ac:dyDescent="0.3">
      <c r="A4718" t="s">
        <v>5764</v>
      </c>
      <c r="B4718" t="s">
        <v>730</v>
      </c>
      <c r="C4718" s="1">
        <v>45437</v>
      </c>
      <c r="E4718" t="s">
        <v>39</v>
      </c>
      <c r="F4718">
        <v>46</v>
      </c>
      <c r="G4718" s="12">
        <v>2254</v>
      </c>
      <c r="H4718" s="12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1050</v>
      </c>
      <c r="N4718" t="b">
        <v>1</v>
      </c>
    </row>
    <row r="4719" spans="1:14" x14ac:dyDescent="0.3">
      <c r="A4719" t="s">
        <v>5765</v>
      </c>
      <c r="B4719" t="s">
        <v>646</v>
      </c>
      <c r="C4719" s="1">
        <v>45570</v>
      </c>
      <c r="E4719" t="s">
        <v>32</v>
      </c>
      <c r="F4719">
        <v>11</v>
      </c>
      <c r="G4719" s="12">
        <v>2189</v>
      </c>
      <c r="H4719" s="12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1050</v>
      </c>
      <c r="N4719" t="b">
        <v>1</v>
      </c>
    </row>
    <row r="4720" spans="1:14" x14ac:dyDescent="0.3">
      <c r="A4720" t="s">
        <v>5766</v>
      </c>
      <c r="B4720" t="s">
        <v>134</v>
      </c>
      <c r="C4720" s="1">
        <v>45442</v>
      </c>
      <c r="E4720" t="s">
        <v>39</v>
      </c>
      <c r="F4720">
        <v>59</v>
      </c>
      <c r="G4720" s="12">
        <v>2891</v>
      </c>
      <c r="H4720" s="12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1047</v>
      </c>
      <c r="N4720" t="b">
        <v>1</v>
      </c>
    </row>
    <row r="4721" spans="1:14" x14ac:dyDescent="0.3">
      <c r="A4721" t="s">
        <v>5767</v>
      </c>
      <c r="B4721" t="s">
        <v>182</v>
      </c>
      <c r="C4721" s="1">
        <v>45489</v>
      </c>
      <c r="E4721" t="s">
        <v>39</v>
      </c>
      <c r="F4721">
        <v>44</v>
      </c>
      <c r="G4721" s="12">
        <v>2156</v>
      </c>
      <c r="H4721" s="12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1050</v>
      </c>
      <c r="N4721" t="b">
        <v>1</v>
      </c>
    </row>
    <row r="4722" spans="1:14" x14ac:dyDescent="0.3">
      <c r="A4722" t="s">
        <v>5768</v>
      </c>
      <c r="B4722" t="s">
        <v>1004</v>
      </c>
      <c r="C4722" s="1">
        <v>45175</v>
      </c>
      <c r="E4722" t="s">
        <v>39</v>
      </c>
      <c r="F4722">
        <v>41</v>
      </c>
      <c r="G4722" s="12">
        <v>2009</v>
      </c>
      <c r="H4722" s="1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1050</v>
      </c>
      <c r="N4722" t="b">
        <v>1</v>
      </c>
    </row>
    <row r="4723" spans="1:14" x14ac:dyDescent="0.3">
      <c r="A4723" t="s">
        <v>5769</v>
      </c>
      <c r="B4723" t="s">
        <v>614</v>
      </c>
      <c r="C4723" s="1">
        <v>45621</v>
      </c>
      <c r="E4723" t="s">
        <v>15</v>
      </c>
      <c r="F4723">
        <v>25</v>
      </c>
      <c r="G4723" s="12">
        <v>475</v>
      </c>
      <c r="H4723" s="12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1047</v>
      </c>
      <c r="N4723" t="b">
        <v>0</v>
      </c>
    </row>
    <row r="4724" spans="1:14" x14ac:dyDescent="0.3">
      <c r="A4724" t="s">
        <v>5770</v>
      </c>
      <c r="B4724" t="s">
        <v>880</v>
      </c>
      <c r="C4724" s="1">
        <v>45487</v>
      </c>
      <c r="E4724" t="s">
        <v>39</v>
      </c>
      <c r="F4724">
        <v>6</v>
      </c>
      <c r="G4724" s="12">
        <v>294</v>
      </c>
      <c r="H4724" s="12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1050</v>
      </c>
      <c r="N4724" t="b">
        <v>1</v>
      </c>
    </row>
    <row r="4725" spans="1:14" x14ac:dyDescent="0.3">
      <c r="A4725" t="s">
        <v>5771</v>
      </c>
      <c r="B4725" t="s">
        <v>216</v>
      </c>
      <c r="C4725" s="1">
        <v>45626</v>
      </c>
      <c r="E4725" t="s">
        <v>32</v>
      </c>
      <c r="F4725">
        <v>39</v>
      </c>
      <c r="G4725" s="12">
        <v>7761</v>
      </c>
      <c r="H4725" s="12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1050</v>
      </c>
      <c r="N4725" t="b">
        <v>1</v>
      </c>
    </row>
    <row r="4726" spans="1:14" x14ac:dyDescent="0.3">
      <c r="A4726" t="s">
        <v>5772</v>
      </c>
      <c r="B4726" t="s">
        <v>626</v>
      </c>
      <c r="C4726" s="1">
        <v>45425</v>
      </c>
      <c r="E4726" t="s">
        <v>32</v>
      </c>
      <c r="F4726">
        <v>22</v>
      </c>
      <c r="G4726" s="12">
        <v>4378</v>
      </c>
      <c r="H4726" s="12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1050</v>
      </c>
      <c r="N4726" t="b">
        <v>1</v>
      </c>
    </row>
    <row r="4727" spans="1:14" x14ac:dyDescent="0.3">
      <c r="A4727" t="s">
        <v>5773</v>
      </c>
      <c r="B4727" t="s">
        <v>856</v>
      </c>
      <c r="C4727" s="1">
        <v>45457</v>
      </c>
      <c r="E4727" t="s">
        <v>15</v>
      </c>
      <c r="F4727">
        <v>9</v>
      </c>
      <c r="G4727" s="12">
        <v>171</v>
      </c>
      <c r="H4727" s="12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1050</v>
      </c>
      <c r="N4727" t="b">
        <v>1</v>
      </c>
    </row>
    <row r="4728" spans="1:14" x14ac:dyDescent="0.3">
      <c r="A4728" t="s">
        <v>5774</v>
      </c>
      <c r="B4728" t="s">
        <v>198</v>
      </c>
      <c r="C4728" s="1">
        <v>45407</v>
      </c>
      <c r="E4728" t="s">
        <v>32</v>
      </c>
      <c r="F4728">
        <v>38</v>
      </c>
      <c r="G4728" s="12">
        <v>0</v>
      </c>
      <c r="H4728" s="12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1047</v>
      </c>
      <c r="N4728" t="b">
        <v>1</v>
      </c>
    </row>
    <row r="4729" spans="1:14" x14ac:dyDescent="0.3">
      <c r="A4729" t="s">
        <v>5775</v>
      </c>
      <c r="B4729" t="s">
        <v>53</v>
      </c>
      <c r="C4729" s="1">
        <v>45415</v>
      </c>
      <c r="E4729" t="s">
        <v>39</v>
      </c>
      <c r="F4729">
        <v>11</v>
      </c>
      <c r="G4729" s="12">
        <v>539</v>
      </c>
      <c r="H4729" s="12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1047</v>
      </c>
      <c r="N4729" t="b">
        <v>1</v>
      </c>
    </row>
    <row r="4730" spans="1:14" x14ac:dyDescent="0.3">
      <c r="A4730" t="s">
        <v>5776</v>
      </c>
      <c r="B4730" t="s">
        <v>556</v>
      </c>
      <c r="C4730" s="1">
        <v>45621</v>
      </c>
      <c r="E4730" t="s">
        <v>32</v>
      </c>
      <c r="F4730">
        <v>58</v>
      </c>
      <c r="G4730" s="12">
        <v>0</v>
      </c>
      <c r="H4730" s="12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1047</v>
      </c>
      <c r="N4730" t="b">
        <v>1</v>
      </c>
    </row>
    <row r="4731" spans="1:14" x14ac:dyDescent="0.3">
      <c r="A4731" t="s">
        <v>5777</v>
      </c>
      <c r="B4731" t="s">
        <v>138</v>
      </c>
      <c r="C4731" s="1">
        <v>45020</v>
      </c>
      <c r="E4731" t="s">
        <v>39</v>
      </c>
      <c r="F4731">
        <v>20</v>
      </c>
      <c r="G4731" s="12">
        <v>980</v>
      </c>
      <c r="H4731" s="12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1047</v>
      </c>
      <c r="N4731" t="b">
        <v>1</v>
      </c>
    </row>
    <row r="4732" spans="1:14" x14ac:dyDescent="0.3">
      <c r="A4732" t="s">
        <v>5778</v>
      </c>
      <c r="B4732" t="s">
        <v>890</v>
      </c>
      <c r="C4732" s="1">
        <v>45498</v>
      </c>
      <c r="E4732" t="s">
        <v>32</v>
      </c>
      <c r="F4732">
        <v>26</v>
      </c>
      <c r="G4732" s="12">
        <v>5174</v>
      </c>
      <c r="H4732" s="1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1047</v>
      </c>
      <c r="N4732" t="b">
        <v>1</v>
      </c>
    </row>
    <row r="4733" spans="1:14" x14ac:dyDescent="0.3">
      <c r="A4733" t="s">
        <v>5779</v>
      </c>
      <c r="B4733" t="s">
        <v>674</v>
      </c>
      <c r="C4733" s="1">
        <v>45653</v>
      </c>
      <c r="E4733" t="s">
        <v>32</v>
      </c>
      <c r="F4733">
        <v>25</v>
      </c>
      <c r="G4733" s="12">
        <v>4975</v>
      </c>
      <c r="H4733" s="12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1050</v>
      </c>
      <c r="N4733" t="b">
        <v>1</v>
      </c>
    </row>
    <row r="4734" spans="1:14" x14ac:dyDescent="0.3">
      <c r="A4734" t="s">
        <v>5780</v>
      </c>
      <c r="B4734" t="s">
        <v>126</v>
      </c>
      <c r="C4734" s="1">
        <v>45650</v>
      </c>
      <c r="E4734" t="s">
        <v>32</v>
      </c>
      <c r="F4734">
        <v>12</v>
      </c>
      <c r="G4734" s="12">
        <v>2388</v>
      </c>
      <c r="H4734" s="12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1047</v>
      </c>
      <c r="N4734" t="b">
        <v>1</v>
      </c>
    </row>
    <row r="4735" spans="1:14" x14ac:dyDescent="0.3">
      <c r="A4735" t="s">
        <v>5781</v>
      </c>
      <c r="B4735" t="s">
        <v>270</v>
      </c>
      <c r="C4735" s="1">
        <v>45505</v>
      </c>
      <c r="E4735" t="s">
        <v>32</v>
      </c>
      <c r="F4735">
        <v>18</v>
      </c>
      <c r="G4735" s="12">
        <v>3582</v>
      </c>
      <c r="H4735" s="12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1050</v>
      </c>
      <c r="N4735" t="b">
        <v>1</v>
      </c>
    </row>
    <row r="4736" spans="1:14" x14ac:dyDescent="0.3">
      <c r="A4736" t="s">
        <v>5782</v>
      </c>
      <c r="B4736" t="s">
        <v>952</v>
      </c>
      <c r="C4736" s="1">
        <v>45471</v>
      </c>
      <c r="E4736" t="s">
        <v>15</v>
      </c>
      <c r="F4736">
        <v>35</v>
      </c>
      <c r="G4736" s="12">
        <v>665</v>
      </c>
      <c r="H4736" s="12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1047</v>
      </c>
      <c r="N4736" t="b">
        <v>1</v>
      </c>
    </row>
    <row r="4737" spans="1:14" x14ac:dyDescent="0.3">
      <c r="A4737" t="s">
        <v>5783</v>
      </c>
      <c r="B4737" t="s">
        <v>1028</v>
      </c>
      <c r="C4737" s="1">
        <v>45595</v>
      </c>
      <c r="E4737" t="s">
        <v>15</v>
      </c>
      <c r="F4737">
        <v>12</v>
      </c>
      <c r="G4737" s="12">
        <v>228</v>
      </c>
      <c r="H4737" s="12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1050</v>
      </c>
      <c r="N4737" t="b">
        <v>1</v>
      </c>
    </row>
    <row r="4738" spans="1:14" x14ac:dyDescent="0.3">
      <c r="A4738" t="s">
        <v>5784</v>
      </c>
      <c r="B4738" t="s">
        <v>980</v>
      </c>
      <c r="C4738" s="1">
        <v>45640</v>
      </c>
      <c r="E4738" t="s">
        <v>32</v>
      </c>
      <c r="F4738">
        <v>67</v>
      </c>
      <c r="G4738" s="12">
        <v>0</v>
      </c>
      <c r="H4738" s="12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1047</v>
      </c>
      <c r="N4738" t="b">
        <v>1</v>
      </c>
    </row>
    <row r="4739" spans="1:14" x14ac:dyDescent="0.3">
      <c r="A4739" t="s">
        <v>5785</v>
      </c>
      <c r="B4739" t="s">
        <v>864</v>
      </c>
      <c r="C4739" s="1">
        <v>45283</v>
      </c>
      <c r="E4739" t="s">
        <v>32</v>
      </c>
      <c r="F4739">
        <v>31</v>
      </c>
      <c r="G4739" s="12">
        <v>6169</v>
      </c>
      <c r="H4739" s="12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1050</v>
      </c>
      <c r="N4739" t="b">
        <v>0</v>
      </c>
    </row>
    <row r="4740" spans="1:14" x14ac:dyDescent="0.3">
      <c r="A4740" t="s">
        <v>5786</v>
      </c>
      <c r="B4740" t="s">
        <v>944</v>
      </c>
      <c r="C4740" s="1">
        <v>45626</v>
      </c>
      <c r="E4740" t="s">
        <v>39</v>
      </c>
      <c r="F4740">
        <v>11</v>
      </c>
      <c r="G4740" s="12">
        <v>539</v>
      </c>
      <c r="H4740" s="12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1047</v>
      </c>
      <c r="N4740" t="b">
        <v>1</v>
      </c>
    </row>
    <row r="4741" spans="1:14" x14ac:dyDescent="0.3">
      <c r="A4741" t="s">
        <v>5787</v>
      </c>
      <c r="B4741" t="s">
        <v>194</v>
      </c>
      <c r="C4741" s="1">
        <v>45231</v>
      </c>
      <c r="E4741" t="s">
        <v>39</v>
      </c>
      <c r="F4741">
        <v>11</v>
      </c>
      <c r="G4741" s="12">
        <v>539</v>
      </c>
      <c r="H4741" s="12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1050</v>
      </c>
      <c r="N4741" t="b">
        <v>1</v>
      </c>
    </row>
    <row r="4742" spans="1:14" x14ac:dyDescent="0.3">
      <c r="A4742" t="s">
        <v>5788</v>
      </c>
      <c r="B4742" t="s">
        <v>564</v>
      </c>
      <c r="C4742" s="1">
        <v>45656</v>
      </c>
      <c r="E4742" t="s">
        <v>32</v>
      </c>
      <c r="F4742">
        <v>36</v>
      </c>
      <c r="G4742" s="12">
        <v>7164</v>
      </c>
      <c r="H4742" s="1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1050</v>
      </c>
      <c r="N4742" t="b">
        <v>1</v>
      </c>
    </row>
    <row r="4743" spans="1:14" x14ac:dyDescent="0.3">
      <c r="A4743" t="s">
        <v>5789</v>
      </c>
      <c r="B4743" t="s">
        <v>1024</v>
      </c>
      <c r="C4743" s="1">
        <v>45635</v>
      </c>
      <c r="E4743" t="s">
        <v>39</v>
      </c>
      <c r="F4743">
        <v>9</v>
      </c>
      <c r="G4743" s="12">
        <v>0</v>
      </c>
      <c r="H4743" s="12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1050</v>
      </c>
      <c r="N4743" t="b">
        <v>1</v>
      </c>
    </row>
    <row r="4744" spans="1:14" x14ac:dyDescent="0.3">
      <c r="A4744" t="s">
        <v>5790</v>
      </c>
      <c r="B4744" t="s">
        <v>984</v>
      </c>
      <c r="C4744" s="1">
        <v>45357</v>
      </c>
      <c r="E4744" t="s">
        <v>32</v>
      </c>
      <c r="F4744">
        <v>14</v>
      </c>
      <c r="G4744" s="12">
        <v>2786</v>
      </c>
      <c r="H4744" s="12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1047</v>
      </c>
      <c r="N4744" t="b">
        <v>0</v>
      </c>
    </row>
    <row r="4745" spans="1:14" x14ac:dyDescent="0.3">
      <c r="A4745" t="s">
        <v>5791</v>
      </c>
      <c r="B4745" t="s">
        <v>91</v>
      </c>
      <c r="C4745" s="1">
        <v>45156</v>
      </c>
      <c r="D4745" s="1">
        <v>45432</v>
      </c>
      <c r="E4745" t="s">
        <v>39</v>
      </c>
      <c r="F4745">
        <v>16</v>
      </c>
      <c r="G4745" s="12">
        <v>784</v>
      </c>
      <c r="H4745" s="12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1047</v>
      </c>
      <c r="N4745" t="b">
        <v>1</v>
      </c>
    </row>
    <row r="4746" spans="1:14" x14ac:dyDescent="0.3">
      <c r="A4746" t="s">
        <v>5792</v>
      </c>
      <c r="B4746" t="s">
        <v>458</v>
      </c>
      <c r="C4746" s="1">
        <v>45528</v>
      </c>
      <c r="E4746" t="s">
        <v>39</v>
      </c>
      <c r="F4746">
        <v>19</v>
      </c>
      <c r="G4746" s="12">
        <v>0</v>
      </c>
      <c r="H4746" s="12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1050</v>
      </c>
      <c r="N4746" t="b">
        <v>1</v>
      </c>
    </row>
    <row r="4747" spans="1:14" x14ac:dyDescent="0.3">
      <c r="A4747" t="s">
        <v>5793</v>
      </c>
      <c r="B4747" t="s">
        <v>712</v>
      </c>
      <c r="C4747" s="1">
        <v>45557</v>
      </c>
      <c r="E4747" t="s">
        <v>15</v>
      </c>
      <c r="F4747">
        <v>70</v>
      </c>
      <c r="G4747" s="12">
        <v>1330</v>
      </c>
      <c r="H4747" s="12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1047</v>
      </c>
      <c r="N4747" t="b">
        <v>1</v>
      </c>
    </row>
    <row r="4748" spans="1:14" x14ac:dyDescent="0.3">
      <c r="A4748" t="s">
        <v>5794</v>
      </c>
      <c r="B4748" t="s">
        <v>418</v>
      </c>
      <c r="C4748" s="1">
        <v>45601</v>
      </c>
      <c r="E4748" t="s">
        <v>15</v>
      </c>
      <c r="F4748">
        <v>13</v>
      </c>
      <c r="G4748" s="12">
        <v>247</v>
      </c>
      <c r="H4748" s="12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1050</v>
      </c>
      <c r="N4748" t="b">
        <v>1</v>
      </c>
    </row>
    <row r="4749" spans="1:14" x14ac:dyDescent="0.3">
      <c r="A4749" t="s">
        <v>5795</v>
      </c>
      <c r="B4749" t="s">
        <v>638</v>
      </c>
      <c r="C4749" s="1">
        <v>45645</v>
      </c>
      <c r="E4749" t="s">
        <v>15</v>
      </c>
      <c r="F4749">
        <v>38</v>
      </c>
      <c r="G4749" s="12">
        <v>722</v>
      </c>
      <c r="H4749" s="12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1047</v>
      </c>
      <c r="N4749" t="b">
        <v>1</v>
      </c>
    </row>
    <row r="4750" spans="1:14" x14ac:dyDescent="0.3">
      <c r="A4750" t="s">
        <v>5796</v>
      </c>
      <c r="B4750" t="s">
        <v>986</v>
      </c>
      <c r="C4750" s="1">
        <v>45230</v>
      </c>
      <c r="E4750" t="s">
        <v>32</v>
      </c>
      <c r="F4750">
        <v>12</v>
      </c>
      <c r="G4750" s="12">
        <v>2388</v>
      </c>
      <c r="H4750" s="12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1050</v>
      </c>
      <c r="N4750" t="b">
        <v>1</v>
      </c>
    </row>
    <row r="4751" spans="1:14" x14ac:dyDescent="0.3">
      <c r="A4751" t="s">
        <v>5797</v>
      </c>
      <c r="B4751" t="s">
        <v>720</v>
      </c>
      <c r="C4751" s="1">
        <v>45572</v>
      </c>
      <c r="E4751" t="s">
        <v>32</v>
      </c>
      <c r="F4751">
        <v>23</v>
      </c>
      <c r="G4751" s="12">
        <v>4577</v>
      </c>
      <c r="H4751" s="12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1050</v>
      </c>
      <c r="N4751" t="b">
        <v>1</v>
      </c>
    </row>
    <row r="4752" spans="1:14" x14ac:dyDescent="0.3">
      <c r="A4752" t="s">
        <v>5798</v>
      </c>
      <c r="B4752" t="s">
        <v>840</v>
      </c>
      <c r="C4752" s="1">
        <v>45546</v>
      </c>
      <c r="E4752" t="s">
        <v>32</v>
      </c>
      <c r="F4752">
        <v>20</v>
      </c>
      <c r="G4752" s="12">
        <v>3980</v>
      </c>
      <c r="H4752" s="1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1050</v>
      </c>
      <c r="N4752" t="b">
        <v>1</v>
      </c>
    </row>
    <row r="4753" spans="1:14" x14ac:dyDescent="0.3">
      <c r="A4753" t="s">
        <v>5799</v>
      </c>
      <c r="B4753" t="s">
        <v>602</v>
      </c>
      <c r="C4753" s="1">
        <v>45544</v>
      </c>
      <c r="E4753" t="s">
        <v>15</v>
      </c>
      <c r="F4753">
        <v>34</v>
      </c>
      <c r="G4753" s="12">
        <v>646</v>
      </c>
      <c r="H4753" s="12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1050</v>
      </c>
      <c r="N4753" t="b">
        <v>0</v>
      </c>
    </row>
    <row r="4754" spans="1:14" x14ac:dyDescent="0.3">
      <c r="A4754" t="s">
        <v>5800</v>
      </c>
      <c r="B4754" t="s">
        <v>772</v>
      </c>
      <c r="C4754" s="1">
        <v>45647</v>
      </c>
      <c r="E4754" t="s">
        <v>32</v>
      </c>
      <c r="F4754">
        <v>59</v>
      </c>
      <c r="G4754" s="12">
        <v>11741</v>
      </c>
      <c r="H4754" s="12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1050</v>
      </c>
      <c r="N4754" t="b">
        <v>1</v>
      </c>
    </row>
    <row r="4755" spans="1:14" x14ac:dyDescent="0.3">
      <c r="A4755" t="s">
        <v>5801</v>
      </c>
      <c r="B4755" t="s">
        <v>710</v>
      </c>
      <c r="C4755" s="1">
        <v>45643</v>
      </c>
      <c r="E4755" t="s">
        <v>15</v>
      </c>
      <c r="F4755">
        <v>23</v>
      </c>
      <c r="G4755" s="12">
        <v>437</v>
      </c>
      <c r="H4755" s="12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1050</v>
      </c>
      <c r="N4755" t="b">
        <v>1</v>
      </c>
    </row>
    <row r="4756" spans="1:14" x14ac:dyDescent="0.3">
      <c r="A4756" t="s">
        <v>5802</v>
      </c>
      <c r="B4756" t="s">
        <v>72</v>
      </c>
      <c r="C4756" s="1">
        <v>45614</v>
      </c>
      <c r="E4756" t="s">
        <v>15</v>
      </c>
      <c r="F4756">
        <v>29</v>
      </c>
      <c r="G4756" s="12">
        <v>551</v>
      </c>
      <c r="H4756" s="12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1047</v>
      </c>
      <c r="N4756" t="b">
        <v>1</v>
      </c>
    </row>
    <row r="4757" spans="1:14" x14ac:dyDescent="0.3">
      <c r="A4757" t="s">
        <v>5803</v>
      </c>
      <c r="B4757" t="s">
        <v>294</v>
      </c>
      <c r="C4757" s="1">
        <v>45643</v>
      </c>
      <c r="E4757" t="s">
        <v>15</v>
      </c>
      <c r="F4757">
        <v>39</v>
      </c>
      <c r="G4757" s="12">
        <v>0</v>
      </c>
      <c r="H4757" s="12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1050</v>
      </c>
      <c r="N4757" t="b">
        <v>1</v>
      </c>
    </row>
    <row r="4758" spans="1:14" x14ac:dyDescent="0.3">
      <c r="A4758" t="s">
        <v>5804</v>
      </c>
      <c r="B4758" t="s">
        <v>144</v>
      </c>
      <c r="C4758" s="1">
        <v>45572</v>
      </c>
      <c r="D4758" s="1">
        <v>45577</v>
      </c>
      <c r="E4758" t="s">
        <v>39</v>
      </c>
      <c r="F4758">
        <v>70</v>
      </c>
      <c r="G4758" s="12">
        <v>0</v>
      </c>
      <c r="H4758" s="12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1050</v>
      </c>
      <c r="N4758" t="b">
        <v>1</v>
      </c>
    </row>
    <row r="4759" spans="1:14" x14ac:dyDescent="0.3">
      <c r="A4759" t="s">
        <v>5805</v>
      </c>
      <c r="B4759" t="s">
        <v>950</v>
      </c>
      <c r="C4759" s="1">
        <v>45636</v>
      </c>
      <c r="E4759" t="s">
        <v>32</v>
      </c>
      <c r="F4759">
        <v>14</v>
      </c>
      <c r="G4759" s="12">
        <v>2786</v>
      </c>
      <c r="H4759" s="12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1047</v>
      </c>
      <c r="N4759" t="b">
        <v>1</v>
      </c>
    </row>
    <row r="4760" spans="1:14" x14ac:dyDescent="0.3">
      <c r="A4760" t="s">
        <v>5806</v>
      </c>
      <c r="B4760" t="s">
        <v>210</v>
      </c>
      <c r="C4760" s="1">
        <v>45529</v>
      </c>
      <c r="E4760" t="s">
        <v>39</v>
      </c>
      <c r="F4760">
        <v>33</v>
      </c>
      <c r="G4760" s="12">
        <v>1617</v>
      </c>
      <c r="H4760" s="12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1047</v>
      </c>
      <c r="N4760" t="b">
        <v>0</v>
      </c>
    </row>
    <row r="4761" spans="1:14" x14ac:dyDescent="0.3">
      <c r="A4761" t="s">
        <v>5807</v>
      </c>
      <c r="B4761" t="s">
        <v>370</v>
      </c>
      <c r="C4761" s="1">
        <v>45652</v>
      </c>
      <c r="E4761" t="s">
        <v>39</v>
      </c>
      <c r="F4761">
        <v>19</v>
      </c>
      <c r="G4761" s="12">
        <v>931</v>
      </c>
      <c r="H4761" s="12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1050</v>
      </c>
      <c r="N4761" t="b">
        <v>0</v>
      </c>
    </row>
    <row r="4762" spans="1:14" x14ac:dyDescent="0.3">
      <c r="A4762" t="s">
        <v>5808</v>
      </c>
      <c r="B4762" t="s">
        <v>138</v>
      </c>
      <c r="C4762" s="1">
        <v>45400</v>
      </c>
      <c r="E4762" t="s">
        <v>32</v>
      </c>
      <c r="F4762">
        <v>20</v>
      </c>
      <c r="G4762" s="12">
        <v>0</v>
      </c>
      <c r="H4762" s="1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1050</v>
      </c>
      <c r="N4762" t="b">
        <v>1</v>
      </c>
    </row>
    <row r="4763" spans="1:14" x14ac:dyDescent="0.3">
      <c r="A4763" t="s">
        <v>5809</v>
      </c>
      <c r="B4763" t="s">
        <v>216</v>
      </c>
      <c r="C4763" s="1">
        <v>45631</v>
      </c>
      <c r="E4763" t="s">
        <v>32</v>
      </c>
      <c r="F4763">
        <v>31</v>
      </c>
      <c r="G4763" s="12">
        <v>6169</v>
      </c>
      <c r="H4763" s="12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1047</v>
      </c>
      <c r="N4763" t="b">
        <v>1</v>
      </c>
    </row>
    <row r="4764" spans="1:14" x14ac:dyDescent="0.3">
      <c r="A4764" t="s">
        <v>5810</v>
      </c>
      <c r="B4764" t="s">
        <v>936</v>
      </c>
      <c r="C4764" s="1">
        <v>45634</v>
      </c>
      <c r="E4764" t="s">
        <v>32</v>
      </c>
      <c r="F4764">
        <v>17</v>
      </c>
      <c r="G4764" s="12">
        <v>3383</v>
      </c>
      <c r="H4764" s="12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1050</v>
      </c>
      <c r="N4764" t="b">
        <v>1</v>
      </c>
    </row>
    <row r="4765" spans="1:14" x14ac:dyDescent="0.3">
      <c r="A4765" t="s">
        <v>5811</v>
      </c>
      <c r="B4765" t="s">
        <v>884</v>
      </c>
      <c r="C4765" s="1">
        <v>45621</v>
      </c>
      <c r="E4765" t="s">
        <v>39</v>
      </c>
      <c r="F4765">
        <v>24</v>
      </c>
      <c r="G4765" s="12">
        <v>1176</v>
      </c>
      <c r="H4765" s="12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1050</v>
      </c>
      <c r="N4765" t="b">
        <v>1</v>
      </c>
    </row>
    <row r="4766" spans="1:14" x14ac:dyDescent="0.3">
      <c r="A4766" t="s">
        <v>5812</v>
      </c>
      <c r="B4766" t="s">
        <v>588</v>
      </c>
      <c r="C4766" s="1">
        <v>45623</v>
      </c>
      <c r="E4766" t="s">
        <v>32</v>
      </c>
      <c r="F4766">
        <v>14</v>
      </c>
      <c r="G4766" s="12">
        <v>0</v>
      </c>
      <c r="H4766" s="12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1050</v>
      </c>
      <c r="N4766" t="b">
        <v>1</v>
      </c>
    </row>
    <row r="4767" spans="1:14" x14ac:dyDescent="0.3">
      <c r="A4767" t="s">
        <v>5813</v>
      </c>
      <c r="B4767" t="s">
        <v>988</v>
      </c>
      <c r="C4767" s="1">
        <v>45621</v>
      </c>
      <c r="E4767" t="s">
        <v>39</v>
      </c>
      <c r="F4767">
        <v>28</v>
      </c>
      <c r="G4767" s="12">
        <v>1372</v>
      </c>
      <c r="H4767" s="12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1047</v>
      </c>
      <c r="N4767" t="b">
        <v>0</v>
      </c>
    </row>
    <row r="4768" spans="1:14" x14ac:dyDescent="0.3">
      <c r="A4768" t="s">
        <v>5814</v>
      </c>
      <c r="B4768" t="s">
        <v>302</v>
      </c>
      <c r="C4768" s="1">
        <v>45476</v>
      </c>
      <c r="E4768" t="s">
        <v>32</v>
      </c>
      <c r="F4768">
        <v>47</v>
      </c>
      <c r="G4768" s="12">
        <v>0</v>
      </c>
      <c r="H4768" s="12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1050</v>
      </c>
      <c r="N4768" t="b">
        <v>1</v>
      </c>
    </row>
    <row r="4769" spans="1:14" x14ac:dyDescent="0.3">
      <c r="A4769" t="s">
        <v>5815</v>
      </c>
      <c r="B4769" t="s">
        <v>184</v>
      </c>
      <c r="C4769" s="1">
        <v>45107</v>
      </c>
      <c r="E4769" t="s">
        <v>39</v>
      </c>
      <c r="F4769">
        <v>13</v>
      </c>
      <c r="G4769" s="12">
        <v>0</v>
      </c>
      <c r="H4769" s="12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1047</v>
      </c>
      <c r="N4769" t="b">
        <v>1</v>
      </c>
    </row>
    <row r="4770" spans="1:14" x14ac:dyDescent="0.3">
      <c r="A4770" t="s">
        <v>5816</v>
      </c>
      <c r="B4770" t="s">
        <v>186</v>
      </c>
      <c r="C4770" s="1">
        <v>45537</v>
      </c>
      <c r="D4770" s="1">
        <v>45550</v>
      </c>
      <c r="E4770" t="s">
        <v>39</v>
      </c>
      <c r="F4770">
        <v>13</v>
      </c>
      <c r="G4770" s="12">
        <v>637</v>
      </c>
      <c r="H4770" s="12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1050</v>
      </c>
      <c r="N4770" t="b">
        <v>1</v>
      </c>
    </row>
    <row r="4771" spans="1:14" x14ac:dyDescent="0.3">
      <c r="A4771" t="s">
        <v>5817</v>
      </c>
      <c r="B4771" t="s">
        <v>174</v>
      </c>
      <c r="C4771" s="1">
        <v>45286</v>
      </c>
      <c r="E4771" t="s">
        <v>39</v>
      </c>
      <c r="F4771">
        <v>16</v>
      </c>
      <c r="G4771" s="12">
        <v>0</v>
      </c>
      <c r="H4771" s="12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1047</v>
      </c>
      <c r="N4771" t="b">
        <v>1</v>
      </c>
    </row>
    <row r="4772" spans="1:14" x14ac:dyDescent="0.3">
      <c r="A4772" t="s">
        <v>5818</v>
      </c>
      <c r="B4772" t="s">
        <v>874</v>
      </c>
      <c r="C4772" s="1">
        <v>45576</v>
      </c>
      <c r="E4772" t="s">
        <v>39</v>
      </c>
      <c r="F4772">
        <v>9</v>
      </c>
      <c r="G4772" s="12">
        <v>441</v>
      </c>
      <c r="H4772" s="1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1047</v>
      </c>
      <c r="N4772" t="b">
        <v>0</v>
      </c>
    </row>
    <row r="4773" spans="1:14" x14ac:dyDescent="0.3">
      <c r="A4773" t="s">
        <v>5819</v>
      </c>
      <c r="B4773" t="s">
        <v>10</v>
      </c>
      <c r="C4773" s="1">
        <v>45645</v>
      </c>
      <c r="E4773" t="s">
        <v>32</v>
      </c>
      <c r="F4773">
        <v>29</v>
      </c>
      <c r="G4773" s="12">
        <v>5771</v>
      </c>
      <c r="H4773" s="12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1047</v>
      </c>
      <c r="N4773" t="b">
        <v>1</v>
      </c>
    </row>
    <row r="4774" spans="1:14" x14ac:dyDescent="0.3">
      <c r="A4774" t="s">
        <v>5820</v>
      </c>
      <c r="B4774" t="s">
        <v>302</v>
      </c>
      <c r="C4774" s="1">
        <v>45518</v>
      </c>
      <c r="E4774" t="s">
        <v>39</v>
      </c>
      <c r="F4774">
        <v>56</v>
      </c>
      <c r="G4774" s="12">
        <v>2744</v>
      </c>
      <c r="H4774" s="12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1047</v>
      </c>
      <c r="N4774" t="b">
        <v>0</v>
      </c>
    </row>
    <row r="4775" spans="1:14" x14ac:dyDescent="0.3">
      <c r="A4775" t="s">
        <v>5821</v>
      </c>
      <c r="B4775" t="s">
        <v>658</v>
      </c>
      <c r="C4775" s="1">
        <v>45308</v>
      </c>
      <c r="E4775" t="s">
        <v>39</v>
      </c>
      <c r="F4775">
        <v>51</v>
      </c>
      <c r="G4775" s="12">
        <v>2499</v>
      </c>
      <c r="H4775" s="12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1047</v>
      </c>
      <c r="N4775" t="b">
        <v>1</v>
      </c>
    </row>
    <row r="4776" spans="1:14" x14ac:dyDescent="0.3">
      <c r="A4776" t="s">
        <v>5822</v>
      </c>
      <c r="B4776" t="s">
        <v>294</v>
      </c>
      <c r="C4776" s="1">
        <v>45382</v>
      </c>
      <c r="E4776" t="s">
        <v>39</v>
      </c>
      <c r="F4776">
        <v>39</v>
      </c>
      <c r="G4776" s="12">
        <v>1911</v>
      </c>
      <c r="H4776" s="12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1047</v>
      </c>
      <c r="N4776" t="b">
        <v>1</v>
      </c>
    </row>
    <row r="4777" spans="1:14" x14ac:dyDescent="0.3">
      <c r="A4777" t="s">
        <v>5823</v>
      </c>
      <c r="B4777" t="s">
        <v>800</v>
      </c>
      <c r="C4777" s="1">
        <v>45586</v>
      </c>
      <c r="E4777" t="s">
        <v>39</v>
      </c>
      <c r="F4777">
        <v>27</v>
      </c>
      <c r="G4777" s="12">
        <v>1323</v>
      </c>
      <c r="H4777" s="12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1047</v>
      </c>
      <c r="N4777" t="b">
        <v>1</v>
      </c>
    </row>
    <row r="4778" spans="1:14" x14ac:dyDescent="0.3">
      <c r="A4778" t="s">
        <v>5824</v>
      </c>
      <c r="B4778" t="s">
        <v>464</v>
      </c>
      <c r="C4778" s="1">
        <v>45019</v>
      </c>
      <c r="E4778" t="s">
        <v>32</v>
      </c>
      <c r="F4778">
        <v>15</v>
      </c>
      <c r="G4778" s="12">
        <v>2985</v>
      </c>
      <c r="H4778" s="12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1047</v>
      </c>
      <c r="N4778" t="b">
        <v>1</v>
      </c>
    </row>
    <row r="4779" spans="1:14" x14ac:dyDescent="0.3">
      <c r="A4779" t="s">
        <v>5825</v>
      </c>
      <c r="B4779" t="s">
        <v>120</v>
      </c>
      <c r="C4779" s="1">
        <v>45487</v>
      </c>
      <c r="E4779" t="s">
        <v>15</v>
      </c>
      <c r="F4779">
        <v>61</v>
      </c>
      <c r="G4779" s="12">
        <v>1159</v>
      </c>
      <c r="H4779" s="12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1047</v>
      </c>
      <c r="N4779" t="b">
        <v>0</v>
      </c>
    </row>
    <row r="4780" spans="1:14" x14ac:dyDescent="0.3">
      <c r="A4780" t="s">
        <v>5826</v>
      </c>
      <c r="B4780" t="s">
        <v>878</v>
      </c>
      <c r="C4780" s="1">
        <v>45241</v>
      </c>
      <c r="E4780" t="s">
        <v>32</v>
      </c>
      <c r="F4780">
        <v>34</v>
      </c>
      <c r="G4780" s="12">
        <v>6766</v>
      </c>
      <c r="H4780" s="12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1047</v>
      </c>
      <c r="N4780" t="b">
        <v>1</v>
      </c>
    </row>
    <row r="4781" spans="1:14" x14ac:dyDescent="0.3">
      <c r="A4781" t="s">
        <v>5827</v>
      </c>
      <c r="B4781" t="s">
        <v>396</v>
      </c>
      <c r="C4781" s="1">
        <v>45601</v>
      </c>
      <c r="E4781" t="s">
        <v>32</v>
      </c>
      <c r="F4781">
        <v>29</v>
      </c>
      <c r="G4781" s="12">
        <v>5771</v>
      </c>
      <c r="H4781" s="12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1047</v>
      </c>
      <c r="N4781" t="b">
        <v>1</v>
      </c>
    </row>
    <row r="4782" spans="1:14" x14ac:dyDescent="0.3">
      <c r="A4782" t="s">
        <v>5828</v>
      </c>
      <c r="B4782" t="s">
        <v>870</v>
      </c>
      <c r="C4782" s="1">
        <v>45576</v>
      </c>
      <c r="E4782" t="s">
        <v>32</v>
      </c>
      <c r="F4782">
        <v>6</v>
      </c>
      <c r="G4782" s="12">
        <v>1194</v>
      </c>
      <c r="H4782" s="1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1050</v>
      </c>
      <c r="N4782" t="b">
        <v>1</v>
      </c>
    </row>
    <row r="4783" spans="1:14" x14ac:dyDescent="0.3">
      <c r="A4783" t="s">
        <v>5829</v>
      </c>
      <c r="B4783" t="s">
        <v>140</v>
      </c>
      <c r="C4783" s="1">
        <v>45479</v>
      </c>
      <c r="E4783" t="s">
        <v>15</v>
      </c>
      <c r="F4783">
        <v>36</v>
      </c>
      <c r="G4783" s="12">
        <v>684</v>
      </c>
      <c r="H4783" s="12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1050</v>
      </c>
      <c r="N4783" t="b">
        <v>1</v>
      </c>
    </row>
    <row r="4784" spans="1:14" x14ac:dyDescent="0.3">
      <c r="A4784" t="s">
        <v>5830</v>
      </c>
      <c r="B4784" t="s">
        <v>766</v>
      </c>
      <c r="C4784" s="1">
        <v>45500</v>
      </c>
      <c r="E4784" t="s">
        <v>15</v>
      </c>
      <c r="F4784">
        <v>105</v>
      </c>
      <c r="G4784" s="12">
        <v>1995</v>
      </c>
      <c r="H4784" s="12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1050</v>
      </c>
      <c r="N4784" t="b">
        <v>1</v>
      </c>
    </row>
    <row r="4785" spans="1:14" x14ac:dyDescent="0.3">
      <c r="A4785" t="s">
        <v>5831</v>
      </c>
      <c r="B4785" t="s">
        <v>220</v>
      </c>
      <c r="C4785" s="1">
        <v>45361</v>
      </c>
      <c r="E4785" t="s">
        <v>15</v>
      </c>
      <c r="F4785">
        <v>45</v>
      </c>
      <c r="G4785" s="12">
        <v>855</v>
      </c>
      <c r="H4785" s="12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1050</v>
      </c>
      <c r="N4785" t="b">
        <v>1</v>
      </c>
    </row>
    <row r="4786" spans="1:14" x14ac:dyDescent="0.3">
      <c r="A4786" t="s">
        <v>5832</v>
      </c>
      <c r="B4786" t="s">
        <v>358</v>
      </c>
      <c r="C4786" s="1">
        <v>45571</v>
      </c>
      <c r="E4786" t="s">
        <v>32</v>
      </c>
      <c r="F4786">
        <v>40</v>
      </c>
      <c r="G4786" s="12">
        <v>0</v>
      </c>
      <c r="H4786" s="12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1047</v>
      </c>
      <c r="N4786" t="b">
        <v>1</v>
      </c>
    </row>
    <row r="4787" spans="1:14" x14ac:dyDescent="0.3">
      <c r="A4787" t="s">
        <v>5833</v>
      </c>
      <c r="B4787" t="s">
        <v>440</v>
      </c>
      <c r="C4787" s="1">
        <v>45623</v>
      </c>
      <c r="E4787" t="s">
        <v>32</v>
      </c>
      <c r="F4787">
        <v>50</v>
      </c>
      <c r="G4787" s="12">
        <v>9950</v>
      </c>
      <c r="H4787" s="12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1047</v>
      </c>
      <c r="N4787" t="b">
        <v>1</v>
      </c>
    </row>
    <row r="4788" spans="1:14" x14ac:dyDescent="0.3">
      <c r="A4788" t="s">
        <v>5834</v>
      </c>
      <c r="B4788" t="s">
        <v>960</v>
      </c>
      <c r="C4788" s="1">
        <v>45293</v>
      </c>
      <c r="E4788" t="s">
        <v>39</v>
      </c>
      <c r="F4788">
        <v>35</v>
      </c>
      <c r="G4788" s="12">
        <v>0</v>
      </c>
      <c r="H4788" s="12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1050</v>
      </c>
      <c r="N4788" t="b">
        <v>1</v>
      </c>
    </row>
    <row r="4789" spans="1:14" x14ac:dyDescent="0.3">
      <c r="A4789" t="s">
        <v>5835</v>
      </c>
      <c r="B4789" t="s">
        <v>798</v>
      </c>
      <c r="C4789" s="1">
        <v>45262</v>
      </c>
      <c r="E4789" t="s">
        <v>39</v>
      </c>
      <c r="F4789">
        <v>28</v>
      </c>
      <c r="G4789" s="12">
        <v>0</v>
      </c>
      <c r="H4789" s="12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1047</v>
      </c>
      <c r="N4789" t="b">
        <v>1</v>
      </c>
    </row>
    <row r="4790" spans="1:14" x14ac:dyDescent="0.3">
      <c r="A4790" t="s">
        <v>5836</v>
      </c>
      <c r="B4790" t="s">
        <v>298</v>
      </c>
      <c r="C4790" s="1">
        <v>45213</v>
      </c>
      <c r="E4790" t="s">
        <v>32</v>
      </c>
      <c r="F4790">
        <v>40</v>
      </c>
      <c r="G4790" s="12">
        <v>0</v>
      </c>
      <c r="H4790" s="12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1047</v>
      </c>
      <c r="N4790" t="b">
        <v>1</v>
      </c>
    </row>
    <row r="4791" spans="1:14" x14ac:dyDescent="0.3">
      <c r="A4791" t="s">
        <v>5837</v>
      </c>
      <c r="B4791" t="s">
        <v>468</v>
      </c>
      <c r="C4791" s="1">
        <v>45422</v>
      </c>
      <c r="E4791" t="s">
        <v>32</v>
      </c>
      <c r="F4791">
        <v>15</v>
      </c>
      <c r="G4791" s="12">
        <v>0</v>
      </c>
      <c r="H4791" s="12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1047</v>
      </c>
      <c r="N4791" t="b">
        <v>1</v>
      </c>
    </row>
    <row r="4792" spans="1:14" x14ac:dyDescent="0.3">
      <c r="A4792" t="s">
        <v>5838</v>
      </c>
      <c r="B4792" t="s">
        <v>922</v>
      </c>
      <c r="C4792" s="1">
        <v>45651</v>
      </c>
      <c r="E4792" t="s">
        <v>32</v>
      </c>
      <c r="F4792">
        <v>63</v>
      </c>
      <c r="G4792" s="12">
        <v>12537</v>
      </c>
      <c r="H4792" s="1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1050</v>
      </c>
      <c r="N4792" t="b">
        <v>0</v>
      </c>
    </row>
    <row r="4793" spans="1:14" x14ac:dyDescent="0.3">
      <c r="A4793" t="s">
        <v>5839</v>
      </c>
      <c r="B4793" t="s">
        <v>310</v>
      </c>
      <c r="C4793" s="1">
        <v>45296</v>
      </c>
      <c r="E4793" t="s">
        <v>32</v>
      </c>
      <c r="F4793">
        <v>45</v>
      </c>
      <c r="G4793" s="12">
        <v>8955</v>
      </c>
      <c r="H4793" s="12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1050</v>
      </c>
      <c r="N4793" t="b">
        <v>1</v>
      </c>
    </row>
    <row r="4794" spans="1:14" x14ac:dyDescent="0.3">
      <c r="A4794" t="s">
        <v>5840</v>
      </c>
      <c r="B4794" t="s">
        <v>440</v>
      </c>
      <c r="C4794" s="1">
        <v>45656</v>
      </c>
      <c r="E4794" t="s">
        <v>15</v>
      </c>
      <c r="F4794">
        <v>50</v>
      </c>
      <c r="G4794" s="12">
        <v>950</v>
      </c>
      <c r="H4794" s="12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1050</v>
      </c>
      <c r="N4794" t="b">
        <v>1</v>
      </c>
    </row>
    <row r="4795" spans="1:14" x14ac:dyDescent="0.3">
      <c r="A4795" t="s">
        <v>5841</v>
      </c>
      <c r="B4795" t="s">
        <v>802</v>
      </c>
      <c r="C4795" s="1">
        <v>45647</v>
      </c>
      <c r="E4795" t="s">
        <v>39</v>
      </c>
      <c r="F4795">
        <v>41</v>
      </c>
      <c r="G4795" s="12">
        <v>2009</v>
      </c>
      <c r="H4795" s="12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1047</v>
      </c>
      <c r="N4795" t="b">
        <v>1</v>
      </c>
    </row>
    <row r="4796" spans="1:14" x14ac:dyDescent="0.3">
      <c r="A4796" t="s">
        <v>5842</v>
      </c>
      <c r="B4796" t="s">
        <v>820</v>
      </c>
      <c r="C4796" s="1">
        <v>45611</v>
      </c>
      <c r="E4796" t="s">
        <v>15</v>
      </c>
      <c r="F4796">
        <v>55</v>
      </c>
      <c r="G4796" s="12">
        <v>1045</v>
      </c>
      <c r="H4796" s="12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1050</v>
      </c>
      <c r="N4796" t="b">
        <v>1</v>
      </c>
    </row>
    <row r="4797" spans="1:14" x14ac:dyDescent="0.3">
      <c r="A4797" t="s">
        <v>5843</v>
      </c>
      <c r="B4797" t="s">
        <v>638</v>
      </c>
      <c r="C4797" s="1">
        <v>45650</v>
      </c>
      <c r="E4797" t="s">
        <v>32</v>
      </c>
      <c r="F4797">
        <v>19</v>
      </c>
      <c r="G4797" s="12">
        <v>3781</v>
      </c>
      <c r="H4797" s="12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1047</v>
      </c>
      <c r="N4797" t="b">
        <v>0</v>
      </c>
    </row>
    <row r="4798" spans="1:14" x14ac:dyDescent="0.3">
      <c r="A4798" t="s">
        <v>5844</v>
      </c>
      <c r="B4798" t="s">
        <v>588</v>
      </c>
      <c r="C4798" s="1">
        <v>45642</v>
      </c>
      <c r="E4798" t="s">
        <v>32</v>
      </c>
      <c r="F4798">
        <v>9</v>
      </c>
      <c r="G4798" s="12">
        <v>1791</v>
      </c>
      <c r="H4798" s="12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1047</v>
      </c>
      <c r="N4798" t="b">
        <v>1</v>
      </c>
    </row>
    <row r="4799" spans="1:14" x14ac:dyDescent="0.3">
      <c r="A4799" t="s">
        <v>5845</v>
      </c>
      <c r="B4799" t="s">
        <v>916</v>
      </c>
      <c r="C4799" s="1">
        <v>45602</v>
      </c>
      <c r="E4799" t="s">
        <v>39</v>
      </c>
      <c r="F4799">
        <v>13</v>
      </c>
      <c r="G4799" s="12">
        <v>637</v>
      </c>
      <c r="H4799" s="12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1047</v>
      </c>
      <c r="N4799" t="b">
        <v>0</v>
      </c>
    </row>
    <row r="4800" spans="1:14" x14ac:dyDescent="0.3">
      <c r="A4800" t="s">
        <v>5846</v>
      </c>
      <c r="B4800" t="s">
        <v>128</v>
      </c>
      <c r="C4800" s="1">
        <v>45320</v>
      </c>
      <c r="E4800" t="s">
        <v>15</v>
      </c>
      <c r="F4800">
        <v>13</v>
      </c>
      <c r="G4800" s="12">
        <v>247</v>
      </c>
      <c r="H4800" s="12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1050</v>
      </c>
      <c r="N4800" t="b">
        <v>0</v>
      </c>
    </row>
    <row r="4801" spans="1:14" x14ac:dyDescent="0.3">
      <c r="A4801" t="s">
        <v>5847</v>
      </c>
      <c r="B4801" t="s">
        <v>306</v>
      </c>
      <c r="C4801" s="1">
        <v>45585</v>
      </c>
      <c r="E4801" t="s">
        <v>32</v>
      </c>
      <c r="F4801">
        <v>45</v>
      </c>
      <c r="G4801" s="12">
        <v>8955</v>
      </c>
      <c r="H4801" s="12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1047</v>
      </c>
      <c r="N4801" t="b">
        <v>1</v>
      </c>
    </row>
    <row r="4802" spans="1:14" x14ac:dyDescent="0.3">
      <c r="A4802" t="s">
        <v>5848</v>
      </c>
      <c r="B4802" t="s">
        <v>836</v>
      </c>
      <c r="C4802" s="1">
        <v>45611</v>
      </c>
      <c r="E4802" t="s">
        <v>39</v>
      </c>
      <c r="F4802">
        <v>117</v>
      </c>
      <c r="G4802" s="12">
        <v>5733</v>
      </c>
      <c r="H4802" s="1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1047</v>
      </c>
      <c r="N4802" t="b">
        <v>1</v>
      </c>
    </row>
    <row r="4803" spans="1:14" x14ac:dyDescent="0.3">
      <c r="A4803" t="s">
        <v>5849</v>
      </c>
      <c r="B4803" t="s">
        <v>970</v>
      </c>
      <c r="C4803" s="1">
        <v>45395</v>
      </c>
      <c r="E4803" t="s">
        <v>32</v>
      </c>
      <c r="F4803">
        <v>8</v>
      </c>
      <c r="G4803" s="12">
        <v>1592</v>
      </c>
      <c r="H4803" s="12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1050</v>
      </c>
      <c r="N4803" t="b">
        <v>0</v>
      </c>
    </row>
    <row r="4804" spans="1:14" x14ac:dyDescent="0.3">
      <c r="A4804" t="s">
        <v>5850</v>
      </c>
      <c r="B4804" t="s">
        <v>998</v>
      </c>
      <c r="C4804" s="1">
        <v>45254</v>
      </c>
      <c r="D4804" s="1">
        <v>45470</v>
      </c>
      <c r="E4804" t="s">
        <v>32</v>
      </c>
      <c r="F4804">
        <v>40</v>
      </c>
      <c r="G4804" s="12">
        <v>7960</v>
      </c>
      <c r="H4804" s="12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1047</v>
      </c>
      <c r="N4804" t="b">
        <v>1</v>
      </c>
    </row>
    <row r="4805" spans="1:14" x14ac:dyDescent="0.3">
      <c r="A4805" t="s">
        <v>5851</v>
      </c>
      <c r="B4805" t="s">
        <v>744</v>
      </c>
      <c r="C4805" s="1">
        <v>45470</v>
      </c>
      <c r="E4805" t="s">
        <v>39</v>
      </c>
      <c r="F4805">
        <v>12</v>
      </c>
      <c r="G4805" s="12">
        <v>588</v>
      </c>
      <c r="H4805" s="12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1050</v>
      </c>
      <c r="N4805" t="b">
        <v>1</v>
      </c>
    </row>
    <row r="4806" spans="1:14" x14ac:dyDescent="0.3">
      <c r="A4806" t="s">
        <v>5852</v>
      </c>
      <c r="B4806" t="s">
        <v>348</v>
      </c>
      <c r="C4806" s="1">
        <v>45634</v>
      </c>
      <c r="E4806" t="s">
        <v>39</v>
      </c>
      <c r="F4806">
        <v>16</v>
      </c>
      <c r="G4806" s="12">
        <v>784</v>
      </c>
      <c r="H4806" s="12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1050</v>
      </c>
      <c r="N4806" t="b">
        <v>1</v>
      </c>
    </row>
    <row r="4807" spans="1:14" x14ac:dyDescent="0.3">
      <c r="A4807" t="s">
        <v>5853</v>
      </c>
      <c r="B4807" t="s">
        <v>734</v>
      </c>
      <c r="C4807" s="1">
        <v>45561</v>
      </c>
      <c r="E4807" t="s">
        <v>39</v>
      </c>
      <c r="F4807">
        <v>29</v>
      </c>
      <c r="G4807" s="12">
        <v>1421</v>
      </c>
      <c r="H4807" s="12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1050</v>
      </c>
      <c r="N4807" t="b">
        <v>1</v>
      </c>
    </row>
    <row r="4808" spans="1:14" x14ac:dyDescent="0.3">
      <c r="A4808" t="s">
        <v>5854</v>
      </c>
      <c r="B4808" t="s">
        <v>632</v>
      </c>
      <c r="C4808" s="1">
        <v>45380</v>
      </c>
      <c r="E4808" t="s">
        <v>39</v>
      </c>
      <c r="F4808">
        <v>17</v>
      </c>
      <c r="G4808" s="12">
        <v>833</v>
      </c>
      <c r="H4808" s="12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1047</v>
      </c>
      <c r="N4808" t="b">
        <v>0</v>
      </c>
    </row>
    <row r="4809" spans="1:14" x14ac:dyDescent="0.3">
      <c r="A4809" t="s">
        <v>5855</v>
      </c>
      <c r="B4809" t="s">
        <v>142</v>
      </c>
      <c r="C4809" s="1">
        <v>45248</v>
      </c>
      <c r="E4809" t="s">
        <v>32</v>
      </c>
      <c r="F4809">
        <v>16</v>
      </c>
      <c r="G4809" s="12">
        <v>3184</v>
      </c>
      <c r="H4809" s="12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1047</v>
      </c>
      <c r="N4809" t="b">
        <v>1</v>
      </c>
    </row>
    <row r="4810" spans="1:14" x14ac:dyDescent="0.3">
      <c r="A4810" t="s">
        <v>5856</v>
      </c>
      <c r="B4810" t="s">
        <v>768</v>
      </c>
      <c r="C4810" s="1">
        <v>45238</v>
      </c>
      <c r="E4810" t="s">
        <v>15</v>
      </c>
      <c r="F4810">
        <v>28</v>
      </c>
      <c r="G4810" s="12">
        <v>532</v>
      </c>
      <c r="H4810" s="12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1050</v>
      </c>
      <c r="N4810" t="b">
        <v>1</v>
      </c>
    </row>
    <row r="4811" spans="1:14" x14ac:dyDescent="0.3">
      <c r="A4811" t="s">
        <v>5857</v>
      </c>
      <c r="B4811" t="s">
        <v>398</v>
      </c>
      <c r="C4811" s="1">
        <v>45383</v>
      </c>
      <c r="E4811" t="s">
        <v>32</v>
      </c>
      <c r="F4811">
        <v>16</v>
      </c>
      <c r="G4811" s="12">
        <v>3184</v>
      </c>
      <c r="H4811" s="12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1050</v>
      </c>
      <c r="N4811" t="b">
        <v>1</v>
      </c>
    </row>
    <row r="4812" spans="1:14" x14ac:dyDescent="0.3">
      <c r="A4812" t="s">
        <v>5858</v>
      </c>
      <c r="B4812" t="s">
        <v>940</v>
      </c>
      <c r="C4812" s="1">
        <v>45587</v>
      </c>
      <c r="D4812" s="1">
        <v>45631</v>
      </c>
      <c r="E4812" t="s">
        <v>15</v>
      </c>
      <c r="F4812">
        <v>24</v>
      </c>
      <c r="G4812" s="12">
        <v>456</v>
      </c>
      <c r="H4812" s="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1047</v>
      </c>
      <c r="N4812" t="b">
        <v>1</v>
      </c>
    </row>
    <row r="4813" spans="1:14" x14ac:dyDescent="0.3">
      <c r="A4813" t="s">
        <v>5859</v>
      </c>
      <c r="B4813" t="s">
        <v>102</v>
      </c>
      <c r="C4813" s="1">
        <v>45543</v>
      </c>
      <c r="E4813" t="s">
        <v>15</v>
      </c>
      <c r="F4813">
        <v>5</v>
      </c>
      <c r="G4813" s="12">
        <v>95</v>
      </c>
      <c r="H4813" s="12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1050</v>
      </c>
      <c r="N4813" t="b">
        <v>1</v>
      </c>
    </row>
    <row r="4814" spans="1:14" x14ac:dyDescent="0.3">
      <c r="A4814" t="s">
        <v>5860</v>
      </c>
      <c r="B4814" t="s">
        <v>728</v>
      </c>
      <c r="C4814" s="1">
        <v>45592</v>
      </c>
      <c r="E4814" t="s">
        <v>15</v>
      </c>
      <c r="F4814">
        <v>40</v>
      </c>
      <c r="G4814" s="12">
        <v>760</v>
      </c>
      <c r="H4814" s="12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1047</v>
      </c>
      <c r="N4814" t="b">
        <v>1</v>
      </c>
    </row>
    <row r="4815" spans="1:14" x14ac:dyDescent="0.3">
      <c r="A4815" t="s">
        <v>5861</v>
      </c>
      <c r="B4815" t="s">
        <v>882</v>
      </c>
      <c r="C4815" s="1">
        <v>45657</v>
      </c>
      <c r="E4815" t="s">
        <v>32</v>
      </c>
      <c r="F4815">
        <v>11</v>
      </c>
      <c r="G4815" s="12">
        <v>0</v>
      </c>
      <c r="H4815" s="12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1050</v>
      </c>
      <c r="N4815" t="b">
        <v>0</v>
      </c>
    </row>
    <row r="4816" spans="1:14" x14ac:dyDescent="0.3">
      <c r="A4816" t="s">
        <v>5862</v>
      </c>
      <c r="B4816" t="s">
        <v>242</v>
      </c>
      <c r="C4816" s="1">
        <v>45653</v>
      </c>
      <c r="E4816" t="s">
        <v>39</v>
      </c>
      <c r="F4816">
        <v>8</v>
      </c>
      <c r="G4816" s="12">
        <v>392</v>
      </c>
      <c r="H4816" s="12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1047</v>
      </c>
      <c r="N4816" t="b">
        <v>0</v>
      </c>
    </row>
    <row r="4817" spans="1:14" x14ac:dyDescent="0.3">
      <c r="A4817" t="s">
        <v>5863</v>
      </c>
      <c r="B4817" t="s">
        <v>450</v>
      </c>
      <c r="C4817" s="1">
        <v>45651</v>
      </c>
      <c r="E4817" t="s">
        <v>32</v>
      </c>
      <c r="F4817">
        <v>24</v>
      </c>
      <c r="G4817" s="12">
        <v>4776</v>
      </c>
      <c r="H4817" s="12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1047</v>
      </c>
      <c r="N4817" t="b">
        <v>0</v>
      </c>
    </row>
    <row r="4818" spans="1:14" x14ac:dyDescent="0.3">
      <c r="A4818" t="s">
        <v>5864</v>
      </c>
      <c r="B4818" t="s">
        <v>132</v>
      </c>
      <c r="C4818" s="1">
        <v>45643</v>
      </c>
      <c r="E4818" t="s">
        <v>32</v>
      </c>
      <c r="F4818">
        <v>36</v>
      </c>
      <c r="G4818" s="12">
        <v>7164</v>
      </c>
      <c r="H4818" s="12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1050</v>
      </c>
      <c r="N4818" t="b">
        <v>1</v>
      </c>
    </row>
    <row r="4819" spans="1:14" x14ac:dyDescent="0.3">
      <c r="A4819" t="s">
        <v>5865</v>
      </c>
      <c r="B4819" t="s">
        <v>364</v>
      </c>
      <c r="C4819" s="1">
        <v>45525</v>
      </c>
      <c r="E4819" t="s">
        <v>32</v>
      </c>
      <c r="F4819">
        <v>15</v>
      </c>
      <c r="G4819" s="12">
        <v>0</v>
      </c>
      <c r="H4819" s="12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1047</v>
      </c>
      <c r="N4819" t="b">
        <v>1</v>
      </c>
    </row>
    <row r="4820" spans="1:14" x14ac:dyDescent="0.3">
      <c r="A4820" t="s">
        <v>5866</v>
      </c>
      <c r="B4820" t="s">
        <v>418</v>
      </c>
      <c r="C4820" s="1">
        <v>45581</v>
      </c>
      <c r="E4820" t="s">
        <v>15</v>
      </c>
      <c r="F4820">
        <v>18</v>
      </c>
      <c r="G4820" s="12">
        <v>342</v>
      </c>
      <c r="H4820" s="12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1047</v>
      </c>
      <c r="N4820" t="b">
        <v>0</v>
      </c>
    </row>
    <row r="4821" spans="1:14" x14ac:dyDescent="0.3">
      <c r="A4821" t="s">
        <v>5867</v>
      </c>
      <c r="B4821" t="s">
        <v>51</v>
      </c>
      <c r="C4821" s="1">
        <v>45638</v>
      </c>
      <c r="E4821" t="s">
        <v>32</v>
      </c>
      <c r="F4821">
        <v>7</v>
      </c>
      <c r="G4821" s="12">
        <v>0</v>
      </c>
      <c r="H4821" s="12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1050</v>
      </c>
      <c r="N4821" t="b">
        <v>1</v>
      </c>
    </row>
    <row r="4822" spans="1:14" x14ac:dyDescent="0.3">
      <c r="A4822" t="s">
        <v>5868</v>
      </c>
      <c r="B4822" t="s">
        <v>856</v>
      </c>
      <c r="C4822" s="1">
        <v>45488</v>
      </c>
      <c r="E4822" t="s">
        <v>39</v>
      </c>
      <c r="F4822">
        <v>43</v>
      </c>
      <c r="G4822" s="12">
        <v>2107</v>
      </c>
      <c r="H4822" s="1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1050</v>
      </c>
      <c r="N4822" t="b">
        <v>1</v>
      </c>
    </row>
    <row r="4823" spans="1:14" x14ac:dyDescent="0.3">
      <c r="A4823" t="s">
        <v>5869</v>
      </c>
      <c r="B4823" t="s">
        <v>212</v>
      </c>
      <c r="C4823" s="1">
        <v>45345</v>
      </c>
      <c r="E4823" t="s">
        <v>39</v>
      </c>
      <c r="F4823">
        <v>65</v>
      </c>
      <c r="G4823" s="12">
        <v>3185</v>
      </c>
      <c r="H4823" s="12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1050</v>
      </c>
      <c r="N4823" t="b">
        <v>1</v>
      </c>
    </row>
    <row r="4824" spans="1:14" x14ac:dyDescent="0.3">
      <c r="A4824" t="s">
        <v>5870</v>
      </c>
      <c r="B4824" t="s">
        <v>414</v>
      </c>
      <c r="C4824" s="1">
        <v>45534</v>
      </c>
      <c r="E4824" t="s">
        <v>39</v>
      </c>
      <c r="F4824">
        <v>4</v>
      </c>
      <c r="G4824" s="12">
        <v>0</v>
      </c>
      <c r="H4824" s="12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1050</v>
      </c>
      <c r="N4824" t="b">
        <v>1</v>
      </c>
    </row>
    <row r="4825" spans="1:14" x14ac:dyDescent="0.3">
      <c r="A4825" t="s">
        <v>5871</v>
      </c>
      <c r="B4825" t="s">
        <v>470</v>
      </c>
      <c r="C4825" s="1">
        <v>45493</v>
      </c>
      <c r="E4825" t="s">
        <v>39</v>
      </c>
      <c r="F4825">
        <v>8</v>
      </c>
      <c r="G4825" s="12">
        <v>392</v>
      </c>
      <c r="H4825" s="12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1047</v>
      </c>
      <c r="N4825" t="b">
        <v>1</v>
      </c>
    </row>
    <row r="4826" spans="1:14" x14ac:dyDescent="0.3">
      <c r="A4826" t="s">
        <v>5872</v>
      </c>
      <c r="B4826" t="s">
        <v>364</v>
      </c>
      <c r="C4826" s="1">
        <v>45632</v>
      </c>
      <c r="E4826" t="s">
        <v>39</v>
      </c>
      <c r="F4826">
        <v>15</v>
      </c>
      <c r="G4826" s="12">
        <v>735</v>
      </c>
      <c r="H4826" s="12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1050</v>
      </c>
      <c r="N4826" t="b">
        <v>1</v>
      </c>
    </row>
    <row r="4827" spans="1:14" x14ac:dyDescent="0.3">
      <c r="A4827" t="s">
        <v>5873</v>
      </c>
      <c r="B4827" t="s">
        <v>194</v>
      </c>
      <c r="C4827" s="1">
        <v>45122</v>
      </c>
      <c r="E4827" t="s">
        <v>39</v>
      </c>
      <c r="F4827">
        <v>20</v>
      </c>
      <c r="G4827" s="12">
        <v>980</v>
      </c>
      <c r="H4827" s="12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1050</v>
      </c>
      <c r="N4827" t="b">
        <v>1</v>
      </c>
    </row>
    <row r="4828" spans="1:14" x14ac:dyDescent="0.3">
      <c r="A4828" t="s">
        <v>5874</v>
      </c>
      <c r="B4828" t="s">
        <v>462</v>
      </c>
      <c r="C4828" s="1">
        <v>45437</v>
      </c>
      <c r="E4828" t="s">
        <v>39</v>
      </c>
      <c r="F4828">
        <v>31</v>
      </c>
      <c r="G4828" s="12">
        <v>1519</v>
      </c>
      <c r="H4828" s="12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1050</v>
      </c>
      <c r="N4828" t="b">
        <v>1</v>
      </c>
    </row>
    <row r="4829" spans="1:14" x14ac:dyDescent="0.3">
      <c r="A4829" t="s">
        <v>5875</v>
      </c>
      <c r="B4829" t="s">
        <v>378</v>
      </c>
      <c r="C4829" s="1">
        <v>45447</v>
      </c>
      <c r="E4829" t="s">
        <v>15</v>
      </c>
      <c r="F4829">
        <v>70</v>
      </c>
      <c r="G4829" s="12">
        <v>1330</v>
      </c>
      <c r="H4829" s="12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1050</v>
      </c>
      <c r="N4829" t="b">
        <v>1</v>
      </c>
    </row>
    <row r="4830" spans="1:14" x14ac:dyDescent="0.3">
      <c r="A4830" t="s">
        <v>5876</v>
      </c>
      <c r="B4830" t="s">
        <v>830</v>
      </c>
      <c r="C4830" s="1">
        <v>45655</v>
      </c>
      <c r="E4830" t="s">
        <v>39</v>
      </c>
      <c r="F4830">
        <v>28</v>
      </c>
      <c r="G4830" s="12">
        <v>1372</v>
      </c>
      <c r="H4830" s="12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1047</v>
      </c>
      <c r="N4830" t="b">
        <v>1</v>
      </c>
    </row>
    <row r="4831" spans="1:14" x14ac:dyDescent="0.3">
      <c r="A4831" t="s">
        <v>5877</v>
      </c>
      <c r="B4831" t="s">
        <v>226</v>
      </c>
      <c r="C4831" s="1">
        <v>45638</v>
      </c>
      <c r="E4831" t="s">
        <v>32</v>
      </c>
      <c r="F4831">
        <v>12</v>
      </c>
      <c r="G4831" s="12">
        <v>2388</v>
      </c>
      <c r="H4831" s="12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1047</v>
      </c>
      <c r="N4831" t="b">
        <v>1</v>
      </c>
    </row>
    <row r="4832" spans="1:14" x14ac:dyDescent="0.3">
      <c r="A4832" t="s">
        <v>5878</v>
      </c>
      <c r="B4832" t="s">
        <v>464</v>
      </c>
      <c r="C4832" s="1">
        <v>45130</v>
      </c>
      <c r="E4832" t="s">
        <v>15</v>
      </c>
      <c r="F4832">
        <v>28</v>
      </c>
      <c r="G4832" s="12">
        <v>0</v>
      </c>
      <c r="H4832" s="1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1050</v>
      </c>
      <c r="N4832" t="b">
        <v>1</v>
      </c>
    </row>
    <row r="4833" spans="1:14" x14ac:dyDescent="0.3">
      <c r="A4833" t="s">
        <v>5879</v>
      </c>
      <c r="B4833" t="s">
        <v>294</v>
      </c>
      <c r="C4833" s="1">
        <v>45589</v>
      </c>
      <c r="D4833" s="1">
        <v>45637</v>
      </c>
      <c r="E4833" t="s">
        <v>39</v>
      </c>
      <c r="F4833">
        <v>39</v>
      </c>
      <c r="G4833" s="12">
        <v>1911</v>
      </c>
      <c r="H4833" s="12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1047</v>
      </c>
      <c r="N4833" t="b">
        <v>1</v>
      </c>
    </row>
    <row r="4834" spans="1:14" x14ac:dyDescent="0.3">
      <c r="A4834" t="s">
        <v>5880</v>
      </c>
      <c r="B4834" t="s">
        <v>904</v>
      </c>
      <c r="C4834" s="1">
        <v>45580</v>
      </c>
      <c r="E4834" t="s">
        <v>15</v>
      </c>
      <c r="F4834">
        <v>45</v>
      </c>
      <c r="G4834" s="12">
        <v>855</v>
      </c>
      <c r="H4834" s="12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1050</v>
      </c>
      <c r="N4834" t="b">
        <v>1</v>
      </c>
    </row>
    <row r="4835" spans="1:14" x14ac:dyDescent="0.3">
      <c r="A4835" t="s">
        <v>5881</v>
      </c>
      <c r="B4835" t="s">
        <v>374</v>
      </c>
      <c r="C4835" s="1">
        <v>45583</v>
      </c>
      <c r="E4835" t="s">
        <v>15</v>
      </c>
      <c r="F4835">
        <v>9</v>
      </c>
      <c r="G4835" s="12">
        <v>171</v>
      </c>
      <c r="H4835" s="12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1047</v>
      </c>
      <c r="N4835" t="b">
        <v>0</v>
      </c>
    </row>
    <row r="4836" spans="1:14" x14ac:dyDescent="0.3">
      <c r="A4836" t="s">
        <v>5882</v>
      </c>
      <c r="B4836" t="s">
        <v>436</v>
      </c>
      <c r="C4836" s="1">
        <v>45532</v>
      </c>
      <c r="D4836" s="1">
        <v>45609</v>
      </c>
      <c r="E4836" t="s">
        <v>39</v>
      </c>
      <c r="F4836">
        <v>29</v>
      </c>
      <c r="G4836" s="12">
        <v>0</v>
      </c>
      <c r="H4836" s="12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1050</v>
      </c>
      <c r="N4836" t="b">
        <v>1</v>
      </c>
    </row>
    <row r="4837" spans="1:14" x14ac:dyDescent="0.3">
      <c r="A4837" t="s">
        <v>5883</v>
      </c>
      <c r="B4837" t="s">
        <v>264</v>
      </c>
      <c r="C4837" s="1">
        <v>45137</v>
      </c>
      <c r="E4837" t="s">
        <v>15</v>
      </c>
      <c r="F4837">
        <v>38</v>
      </c>
      <c r="G4837" s="12">
        <v>722</v>
      </c>
      <c r="H4837" s="12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1050</v>
      </c>
      <c r="N4837" t="b">
        <v>1</v>
      </c>
    </row>
    <row r="4838" spans="1:14" x14ac:dyDescent="0.3">
      <c r="A4838" t="s">
        <v>5884</v>
      </c>
      <c r="B4838" t="s">
        <v>194</v>
      </c>
      <c r="C4838" s="1">
        <v>45299</v>
      </c>
      <c r="E4838" t="s">
        <v>15</v>
      </c>
      <c r="F4838">
        <v>15</v>
      </c>
      <c r="G4838" s="12">
        <v>285</v>
      </c>
      <c r="H4838" s="12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1047</v>
      </c>
      <c r="N4838" t="b">
        <v>1</v>
      </c>
    </row>
    <row r="4839" spans="1:14" x14ac:dyDescent="0.3">
      <c r="A4839" t="s">
        <v>5885</v>
      </c>
      <c r="B4839" t="s">
        <v>184</v>
      </c>
      <c r="C4839" s="1">
        <v>45342</v>
      </c>
      <c r="E4839" t="s">
        <v>15</v>
      </c>
      <c r="F4839">
        <v>24</v>
      </c>
      <c r="G4839" s="12">
        <v>456</v>
      </c>
      <c r="H4839" s="12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1050</v>
      </c>
      <c r="N4839" t="b">
        <v>1</v>
      </c>
    </row>
    <row r="4840" spans="1:14" x14ac:dyDescent="0.3">
      <c r="A4840" t="s">
        <v>5886</v>
      </c>
      <c r="B4840" t="s">
        <v>468</v>
      </c>
      <c r="C4840" s="1">
        <v>45586</v>
      </c>
      <c r="E4840" t="s">
        <v>32</v>
      </c>
      <c r="F4840">
        <v>18</v>
      </c>
      <c r="G4840" s="12">
        <v>3582</v>
      </c>
      <c r="H4840" s="12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1050</v>
      </c>
      <c r="N4840" t="b">
        <v>1</v>
      </c>
    </row>
    <row r="4841" spans="1:14" x14ac:dyDescent="0.3">
      <c r="A4841" t="s">
        <v>5887</v>
      </c>
      <c r="B4841" t="s">
        <v>348</v>
      </c>
      <c r="C4841" s="1">
        <v>45526</v>
      </c>
      <c r="E4841" t="s">
        <v>15</v>
      </c>
      <c r="F4841">
        <v>65</v>
      </c>
      <c r="G4841" s="12">
        <v>0</v>
      </c>
      <c r="H4841" s="12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1050</v>
      </c>
      <c r="N4841" t="b">
        <v>1</v>
      </c>
    </row>
    <row r="4842" spans="1:14" x14ac:dyDescent="0.3">
      <c r="A4842" t="s">
        <v>5888</v>
      </c>
      <c r="B4842" t="s">
        <v>656</v>
      </c>
      <c r="C4842" s="1">
        <v>45413</v>
      </c>
      <c r="E4842" t="s">
        <v>39</v>
      </c>
      <c r="F4842">
        <v>53</v>
      </c>
      <c r="G4842" s="12">
        <v>2597</v>
      </c>
      <c r="H4842" s="1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1047</v>
      </c>
      <c r="N4842" t="b">
        <v>1</v>
      </c>
    </row>
    <row r="4843" spans="1:14" x14ac:dyDescent="0.3">
      <c r="A4843" t="s">
        <v>5889</v>
      </c>
      <c r="B4843" t="s">
        <v>136</v>
      </c>
      <c r="C4843" s="1">
        <v>45225</v>
      </c>
      <c r="D4843" s="1">
        <v>45368</v>
      </c>
      <c r="E4843" t="s">
        <v>15</v>
      </c>
      <c r="F4843">
        <v>26</v>
      </c>
      <c r="G4843" s="12">
        <v>494</v>
      </c>
      <c r="H4843" s="12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1047</v>
      </c>
      <c r="N4843" t="b">
        <v>0</v>
      </c>
    </row>
    <row r="4844" spans="1:14" x14ac:dyDescent="0.3">
      <c r="A4844" t="s">
        <v>5890</v>
      </c>
      <c r="B4844" t="s">
        <v>124</v>
      </c>
      <c r="C4844" s="1">
        <v>45537</v>
      </c>
      <c r="D4844" s="1">
        <v>45641</v>
      </c>
      <c r="E4844" t="s">
        <v>32</v>
      </c>
      <c r="F4844">
        <v>15</v>
      </c>
      <c r="G4844" s="12">
        <v>2985</v>
      </c>
      <c r="H4844" s="12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1050</v>
      </c>
      <c r="N4844" t="b">
        <v>1</v>
      </c>
    </row>
    <row r="4845" spans="1:14" x14ac:dyDescent="0.3">
      <c r="A4845" t="s">
        <v>5891</v>
      </c>
      <c r="B4845" t="s">
        <v>576</v>
      </c>
      <c r="C4845" s="1">
        <v>45653</v>
      </c>
      <c r="E4845" t="s">
        <v>32</v>
      </c>
      <c r="F4845">
        <v>8</v>
      </c>
      <c r="G4845" s="12">
        <v>1592</v>
      </c>
      <c r="H4845" s="12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1050</v>
      </c>
      <c r="N4845" t="b">
        <v>0</v>
      </c>
    </row>
    <row r="4846" spans="1:14" x14ac:dyDescent="0.3">
      <c r="A4846" t="s">
        <v>5892</v>
      </c>
      <c r="B4846" t="s">
        <v>89</v>
      </c>
      <c r="C4846" s="1">
        <v>45567</v>
      </c>
      <c r="E4846" t="s">
        <v>32</v>
      </c>
      <c r="F4846">
        <v>7</v>
      </c>
      <c r="G4846" s="12">
        <v>1393</v>
      </c>
      <c r="H4846" s="12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1047</v>
      </c>
      <c r="N4846" t="b">
        <v>1</v>
      </c>
    </row>
    <row r="4847" spans="1:14" x14ac:dyDescent="0.3">
      <c r="A4847" t="s">
        <v>5893</v>
      </c>
      <c r="B4847" t="s">
        <v>140</v>
      </c>
      <c r="C4847" s="1">
        <v>45602</v>
      </c>
      <c r="E4847" t="s">
        <v>32</v>
      </c>
      <c r="F4847">
        <v>36</v>
      </c>
      <c r="G4847" s="12">
        <v>7164</v>
      </c>
      <c r="H4847" s="12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1050</v>
      </c>
      <c r="N4847" t="b">
        <v>1</v>
      </c>
    </row>
    <row r="4848" spans="1:14" x14ac:dyDescent="0.3">
      <c r="A4848" t="s">
        <v>5894</v>
      </c>
      <c r="B4848" t="s">
        <v>522</v>
      </c>
      <c r="C4848" s="1">
        <v>45600</v>
      </c>
      <c r="E4848" t="s">
        <v>39</v>
      </c>
      <c r="F4848">
        <v>11</v>
      </c>
      <c r="G4848" s="12">
        <v>0</v>
      </c>
      <c r="H4848" s="12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1047</v>
      </c>
      <c r="N4848" t="b">
        <v>0</v>
      </c>
    </row>
    <row r="4849" spans="1:14" x14ac:dyDescent="0.3">
      <c r="A4849" t="s">
        <v>5895</v>
      </c>
      <c r="B4849" t="s">
        <v>230</v>
      </c>
      <c r="C4849" s="1">
        <v>45652</v>
      </c>
      <c r="E4849" t="s">
        <v>15</v>
      </c>
      <c r="F4849">
        <v>29</v>
      </c>
      <c r="G4849" s="12">
        <v>551</v>
      </c>
      <c r="H4849" s="12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1047</v>
      </c>
      <c r="N4849" t="b">
        <v>1</v>
      </c>
    </row>
    <row r="4850" spans="1:14" x14ac:dyDescent="0.3">
      <c r="A4850" t="s">
        <v>5896</v>
      </c>
      <c r="B4850" t="s">
        <v>620</v>
      </c>
      <c r="C4850" s="1">
        <v>45618</v>
      </c>
      <c r="E4850" t="s">
        <v>39</v>
      </c>
      <c r="F4850">
        <v>33</v>
      </c>
      <c r="G4850" s="12">
        <v>1617</v>
      </c>
      <c r="H4850" s="12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1050</v>
      </c>
      <c r="N4850" t="b">
        <v>0</v>
      </c>
    </row>
    <row r="4851" spans="1:14" x14ac:dyDescent="0.3">
      <c r="A4851" t="s">
        <v>5897</v>
      </c>
      <c r="B4851" t="s">
        <v>982</v>
      </c>
      <c r="C4851" s="1">
        <v>45096</v>
      </c>
      <c r="E4851" t="s">
        <v>39</v>
      </c>
      <c r="F4851">
        <v>33</v>
      </c>
      <c r="G4851" s="12">
        <v>1617</v>
      </c>
      <c r="H4851" s="12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1050</v>
      </c>
      <c r="N4851" t="b">
        <v>1</v>
      </c>
    </row>
    <row r="4852" spans="1:14" x14ac:dyDescent="0.3">
      <c r="A4852" t="s">
        <v>5898</v>
      </c>
      <c r="B4852" t="s">
        <v>168</v>
      </c>
      <c r="C4852" s="1">
        <v>45587</v>
      </c>
      <c r="E4852" t="s">
        <v>39</v>
      </c>
      <c r="F4852">
        <v>21</v>
      </c>
      <c r="G4852" s="12">
        <v>1029</v>
      </c>
      <c r="H4852" s="1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1047</v>
      </c>
      <c r="N4852" t="b">
        <v>1</v>
      </c>
    </row>
    <row r="4853" spans="1:14" x14ac:dyDescent="0.3">
      <c r="A4853" t="s">
        <v>5899</v>
      </c>
      <c r="B4853" t="s">
        <v>682</v>
      </c>
      <c r="C4853" s="1">
        <v>45485</v>
      </c>
      <c r="E4853" t="s">
        <v>15</v>
      </c>
      <c r="F4853">
        <v>35</v>
      </c>
      <c r="G4853" s="12">
        <v>665</v>
      </c>
      <c r="H4853" s="12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1047</v>
      </c>
      <c r="N4853" t="b">
        <v>1</v>
      </c>
    </row>
    <row r="4854" spans="1:14" x14ac:dyDescent="0.3">
      <c r="A4854" t="s">
        <v>5900</v>
      </c>
      <c r="B4854" t="s">
        <v>776</v>
      </c>
      <c r="C4854" s="1">
        <v>45513</v>
      </c>
      <c r="E4854" t="s">
        <v>15</v>
      </c>
      <c r="F4854">
        <v>5</v>
      </c>
      <c r="G4854" s="12">
        <v>95</v>
      </c>
      <c r="H4854" s="12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1047</v>
      </c>
      <c r="N4854" t="b">
        <v>1</v>
      </c>
    </row>
    <row r="4855" spans="1:14" x14ac:dyDescent="0.3">
      <c r="A4855" t="s">
        <v>5901</v>
      </c>
      <c r="B4855" t="s">
        <v>238</v>
      </c>
      <c r="C4855" s="1">
        <v>45618</v>
      </c>
      <c r="E4855" t="s">
        <v>39</v>
      </c>
      <c r="F4855">
        <v>1</v>
      </c>
      <c r="G4855" s="12">
        <v>49</v>
      </c>
      <c r="H4855" s="12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1047</v>
      </c>
      <c r="N4855" t="b">
        <v>1</v>
      </c>
    </row>
    <row r="4856" spans="1:14" x14ac:dyDescent="0.3">
      <c r="A4856" t="s">
        <v>5902</v>
      </c>
      <c r="B4856" t="s">
        <v>782</v>
      </c>
      <c r="C4856" s="1">
        <v>45460</v>
      </c>
      <c r="E4856" t="s">
        <v>39</v>
      </c>
      <c r="F4856">
        <v>14</v>
      </c>
      <c r="G4856" s="12">
        <v>686</v>
      </c>
      <c r="H4856" s="12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1047</v>
      </c>
      <c r="N4856" t="b">
        <v>1</v>
      </c>
    </row>
    <row r="4857" spans="1:14" x14ac:dyDescent="0.3">
      <c r="A4857" t="s">
        <v>5903</v>
      </c>
      <c r="B4857" t="s">
        <v>470</v>
      </c>
      <c r="C4857" s="1">
        <v>45338</v>
      </c>
      <c r="E4857" t="s">
        <v>32</v>
      </c>
      <c r="F4857">
        <v>24</v>
      </c>
      <c r="G4857" s="12">
        <v>4776</v>
      </c>
      <c r="H4857" s="12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1050</v>
      </c>
      <c r="N4857" t="b">
        <v>0</v>
      </c>
    </row>
    <row r="4858" spans="1:14" x14ac:dyDescent="0.3">
      <c r="A4858" t="s">
        <v>5904</v>
      </c>
      <c r="B4858" t="s">
        <v>916</v>
      </c>
      <c r="C4858" s="1">
        <v>45421</v>
      </c>
      <c r="D4858" s="1">
        <v>45562</v>
      </c>
      <c r="E4858" t="s">
        <v>39</v>
      </c>
      <c r="F4858">
        <v>42</v>
      </c>
      <c r="G4858" s="12">
        <v>2058</v>
      </c>
      <c r="H4858" s="12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1050</v>
      </c>
      <c r="N4858" t="b">
        <v>1</v>
      </c>
    </row>
    <row r="4859" spans="1:14" x14ac:dyDescent="0.3">
      <c r="A4859" t="s">
        <v>5905</v>
      </c>
      <c r="B4859" t="s">
        <v>1026</v>
      </c>
      <c r="C4859" s="1">
        <v>45310</v>
      </c>
      <c r="E4859" t="s">
        <v>39</v>
      </c>
      <c r="F4859">
        <v>22</v>
      </c>
      <c r="G4859" s="12">
        <v>1078</v>
      </c>
      <c r="H4859" s="12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1050</v>
      </c>
      <c r="N4859" t="b">
        <v>1</v>
      </c>
    </row>
    <row r="4860" spans="1:14" x14ac:dyDescent="0.3">
      <c r="A4860" t="s">
        <v>5906</v>
      </c>
      <c r="B4860" t="s">
        <v>1000</v>
      </c>
      <c r="C4860" s="1">
        <v>45635</v>
      </c>
      <c r="D4860" s="1">
        <v>45644</v>
      </c>
      <c r="E4860" t="s">
        <v>15</v>
      </c>
      <c r="F4860">
        <v>53</v>
      </c>
      <c r="G4860" s="12">
        <v>0</v>
      </c>
      <c r="H4860" s="12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1047</v>
      </c>
      <c r="N4860" t="b">
        <v>1</v>
      </c>
    </row>
    <row r="4861" spans="1:14" x14ac:dyDescent="0.3">
      <c r="A4861" t="s">
        <v>5907</v>
      </c>
      <c r="B4861" t="s">
        <v>156</v>
      </c>
      <c r="C4861" s="1">
        <v>45633</v>
      </c>
      <c r="E4861" t="s">
        <v>32</v>
      </c>
      <c r="F4861">
        <v>7</v>
      </c>
      <c r="G4861" s="12">
        <v>1393</v>
      </c>
      <c r="H4861" s="12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1047</v>
      </c>
      <c r="N4861" t="b">
        <v>1</v>
      </c>
    </row>
    <row r="4862" spans="1:14" x14ac:dyDescent="0.3">
      <c r="A4862" t="s">
        <v>5908</v>
      </c>
      <c r="B4862" t="s">
        <v>544</v>
      </c>
      <c r="C4862" s="1">
        <v>45577</v>
      </c>
      <c r="E4862" t="s">
        <v>39</v>
      </c>
      <c r="F4862">
        <v>59</v>
      </c>
      <c r="G4862" s="12">
        <v>0</v>
      </c>
      <c r="H4862" s="1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1050</v>
      </c>
      <c r="N4862" t="b">
        <v>0</v>
      </c>
    </row>
    <row r="4863" spans="1:14" x14ac:dyDescent="0.3">
      <c r="A4863" t="s">
        <v>5909</v>
      </c>
      <c r="B4863" t="s">
        <v>846</v>
      </c>
      <c r="C4863" s="1">
        <v>45553</v>
      </c>
      <c r="E4863" t="s">
        <v>15</v>
      </c>
      <c r="F4863">
        <v>10</v>
      </c>
      <c r="G4863" s="12">
        <v>190</v>
      </c>
      <c r="H4863" s="12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1047</v>
      </c>
      <c r="N4863" t="b">
        <v>1</v>
      </c>
    </row>
    <row r="4864" spans="1:14" x14ac:dyDescent="0.3">
      <c r="A4864" t="s">
        <v>5910</v>
      </c>
      <c r="B4864" t="s">
        <v>722</v>
      </c>
      <c r="C4864" s="1">
        <v>45420</v>
      </c>
      <c r="E4864" t="s">
        <v>39</v>
      </c>
      <c r="F4864">
        <v>1</v>
      </c>
      <c r="G4864" s="12">
        <v>49</v>
      </c>
      <c r="H4864" s="12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1050</v>
      </c>
      <c r="N4864" t="b">
        <v>1</v>
      </c>
    </row>
    <row r="4865" spans="1:14" x14ac:dyDescent="0.3">
      <c r="A4865" t="s">
        <v>5911</v>
      </c>
      <c r="B4865" t="s">
        <v>698</v>
      </c>
      <c r="C4865" s="1">
        <v>45437</v>
      </c>
      <c r="E4865" t="s">
        <v>39</v>
      </c>
      <c r="F4865">
        <v>41</v>
      </c>
      <c r="G4865" s="12">
        <v>2009</v>
      </c>
      <c r="H4865" s="12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1050</v>
      </c>
      <c r="N4865" t="b">
        <v>1</v>
      </c>
    </row>
    <row r="4866" spans="1:14" x14ac:dyDescent="0.3">
      <c r="A4866" t="s">
        <v>5912</v>
      </c>
      <c r="B4866" t="s">
        <v>376</v>
      </c>
      <c r="C4866" s="1">
        <v>45585</v>
      </c>
      <c r="E4866" t="s">
        <v>15</v>
      </c>
      <c r="F4866">
        <v>7</v>
      </c>
      <c r="G4866" s="12">
        <v>133</v>
      </c>
      <c r="H4866" s="12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1047</v>
      </c>
      <c r="N4866" t="b">
        <v>1</v>
      </c>
    </row>
    <row r="4867" spans="1:14" x14ac:dyDescent="0.3">
      <c r="A4867" t="s">
        <v>5913</v>
      </c>
      <c r="B4867" t="s">
        <v>144</v>
      </c>
      <c r="C4867" s="1">
        <v>45517</v>
      </c>
      <c r="E4867" t="s">
        <v>15</v>
      </c>
      <c r="F4867">
        <v>8</v>
      </c>
      <c r="G4867" s="12">
        <v>152</v>
      </c>
      <c r="H4867" s="12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1047</v>
      </c>
      <c r="N4867" t="b">
        <v>1</v>
      </c>
    </row>
    <row r="4868" spans="1:14" x14ac:dyDescent="0.3">
      <c r="A4868" t="s">
        <v>5914</v>
      </c>
      <c r="B4868" t="s">
        <v>986</v>
      </c>
      <c r="C4868" s="1">
        <v>45515</v>
      </c>
      <c r="D4868" s="1">
        <v>45588</v>
      </c>
      <c r="E4868" t="s">
        <v>39</v>
      </c>
      <c r="F4868">
        <v>55</v>
      </c>
      <c r="G4868" s="12">
        <v>2695</v>
      </c>
      <c r="H4868" s="12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1050</v>
      </c>
      <c r="N4868" t="b">
        <v>0</v>
      </c>
    </row>
    <row r="4869" spans="1:14" x14ac:dyDescent="0.3">
      <c r="A4869" t="s">
        <v>5915</v>
      </c>
      <c r="B4869" t="s">
        <v>728</v>
      </c>
      <c r="C4869" s="1">
        <v>45537</v>
      </c>
      <c r="E4869" t="s">
        <v>32</v>
      </c>
      <c r="F4869">
        <v>29</v>
      </c>
      <c r="G4869" s="12">
        <v>5771</v>
      </c>
      <c r="H4869" s="12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1047</v>
      </c>
      <c r="N4869" t="b">
        <v>1</v>
      </c>
    </row>
    <row r="4870" spans="1:14" x14ac:dyDescent="0.3">
      <c r="A4870" t="s">
        <v>5916</v>
      </c>
      <c r="B4870" t="s">
        <v>490</v>
      </c>
      <c r="C4870" s="1">
        <v>45627</v>
      </c>
      <c r="E4870" t="s">
        <v>39</v>
      </c>
      <c r="F4870">
        <v>16</v>
      </c>
      <c r="G4870" s="12">
        <v>784</v>
      </c>
      <c r="H4870" s="12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1047</v>
      </c>
      <c r="N4870" t="b">
        <v>1</v>
      </c>
    </row>
    <row r="4871" spans="1:14" x14ac:dyDescent="0.3">
      <c r="A4871" t="s">
        <v>5917</v>
      </c>
      <c r="B4871" t="s">
        <v>278</v>
      </c>
      <c r="C4871" s="1">
        <v>45396</v>
      </c>
      <c r="E4871" t="s">
        <v>32</v>
      </c>
      <c r="F4871">
        <v>14</v>
      </c>
      <c r="G4871" s="12">
        <v>2786</v>
      </c>
      <c r="H4871" s="12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1047</v>
      </c>
      <c r="N4871" t="b">
        <v>1</v>
      </c>
    </row>
    <row r="4872" spans="1:14" x14ac:dyDescent="0.3">
      <c r="A4872" t="s">
        <v>5918</v>
      </c>
      <c r="B4872" t="s">
        <v>530</v>
      </c>
      <c r="C4872" s="1">
        <v>45578</v>
      </c>
      <c r="E4872" t="s">
        <v>15</v>
      </c>
      <c r="F4872">
        <v>17</v>
      </c>
      <c r="G4872" s="12">
        <v>323</v>
      </c>
      <c r="H4872" s="1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1047</v>
      </c>
      <c r="N4872" t="b">
        <v>1</v>
      </c>
    </row>
    <row r="4873" spans="1:14" x14ac:dyDescent="0.3">
      <c r="A4873" t="s">
        <v>5919</v>
      </c>
      <c r="B4873" t="s">
        <v>918</v>
      </c>
      <c r="C4873" s="1">
        <v>45648</v>
      </c>
      <c r="D4873" s="1">
        <v>45650</v>
      </c>
      <c r="E4873" t="s">
        <v>32</v>
      </c>
      <c r="F4873">
        <v>21</v>
      </c>
      <c r="G4873" s="12">
        <v>0</v>
      </c>
      <c r="H4873" s="12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1047</v>
      </c>
      <c r="N4873" t="b">
        <v>1</v>
      </c>
    </row>
    <row r="4874" spans="1:14" x14ac:dyDescent="0.3">
      <c r="A4874" t="s">
        <v>5920</v>
      </c>
      <c r="B4874" t="s">
        <v>948</v>
      </c>
      <c r="C4874" s="1">
        <v>45635</v>
      </c>
      <c r="E4874" t="s">
        <v>39</v>
      </c>
      <c r="F4874">
        <v>26</v>
      </c>
      <c r="G4874" s="12">
        <v>1274</v>
      </c>
      <c r="H4874" s="12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1047</v>
      </c>
      <c r="N4874" t="b">
        <v>1</v>
      </c>
    </row>
    <row r="4875" spans="1:14" x14ac:dyDescent="0.3">
      <c r="A4875" t="s">
        <v>5921</v>
      </c>
      <c r="B4875" t="s">
        <v>700</v>
      </c>
      <c r="C4875" s="1">
        <v>45653</v>
      </c>
      <c r="E4875" t="s">
        <v>15</v>
      </c>
      <c r="F4875">
        <v>21</v>
      </c>
      <c r="G4875" s="12">
        <v>399</v>
      </c>
      <c r="H4875" s="12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1047</v>
      </c>
      <c r="N4875" t="b">
        <v>1</v>
      </c>
    </row>
    <row r="4876" spans="1:14" x14ac:dyDescent="0.3">
      <c r="A4876" t="s">
        <v>5922</v>
      </c>
      <c r="B4876" t="s">
        <v>650</v>
      </c>
      <c r="C4876" s="1">
        <v>45619</v>
      </c>
      <c r="D4876" s="1">
        <v>45621</v>
      </c>
      <c r="E4876" t="s">
        <v>15</v>
      </c>
      <c r="F4876">
        <v>19</v>
      </c>
      <c r="G4876" s="12">
        <v>361</v>
      </c>
      <c r="H4876" s="12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1050</v>
      </c>
      <c r="N4876" t="b">
        <v>1</v>
      </c>
    </row>
    <row r="4877" spans="1:14" x14ac:dyDescent="0.3">
      <c r="A4877" t="s">
        <v>5923</v>
      </c>
      <c r="B4877" t="s">
        <v>366</v>
      </c>
      <c r="C4877" s="1">
        <v>45278</v>
      </c>
      <c r="E4877" t="s">
        <v>15</v>
      </c>
      <c r="F4877">
        <v>23</v>
      </c>
      <c r="G4877" s="12">
        <v>437</v>
      </c>
      <c r="H4877" s="12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1050</v>
      </c>
      <c r="N4877" t="b">
        <v>0</v>
      </c>
    </row>
    <row r="4878" spans="1:14" x14ac:dyDescent="0.3">
      <c r="A4878" t="s">
        <v>5924</v>
      </c>
      <c r="B4878" t="s">
        <v>652</v>
      </c>
      <c r="C4878" s="1">
        <v>45503</v>
      </c>
      <c r="E4878" t="s">
        <v>39</v>
      </c>
      <c r="F4878">
        <v>29</v>
      </c>
      <c r="G4878" s="12">
        <v>1421</v>
      </c>
      <c r="H4878" s="12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1047</v>
      </c>
      <c r="N4878" t="b">
        <v>1</v>
      </c>
    </row>
    <row r="4879" spans="1:14" x14ac:dyDescent="0.3">
      <c r="A4879" t="s">
        <v>5925</v>
      </c>
      <c r="B4879" t="s">
        <v>302</v>
      </c>
      <c r="C4879" s="1">
        <v>45564</v>
      </c>
      <c r="E4879" t="s">
        <v>15</v>
      </c>
      <c r="F4879">
        <v>47</v>
      </c>
      <c r="G4879" s="12">
        <v>0</v>
      </c>
      <c r="H4879" s="12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1050</v>
      </c>
      <c r="N4879" t="b">
        <v>1</v>
      </c>
    </row>
    <row r="4880" spans="1:14" x14ac:dyDescent="0.3">
      <c r="A4880" t="s">
        <v>5926</v>
      </c>
      <c r="B4880" t="s">
        <v>898</v>
      </c>
      <c r="C4880" s="1">
        <v>45383</v>
      </c>
      <c r="E4880" t="s">
        <v>39</v>
      </c>
      <c r="F4880">
        <v>5</v>
      </c>
      <c r="G4880" s="12">
        <v>245</v>
      </c>
      <c r="H4880" s="12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1047</v>
      </c>
      <c r="N4880" t="b">
        <v>1</v>
      </c>
    </row>
    <row r="4881" spans="1:14" x14ac:dyDescent="0.3">
      <c r="A4881" t="s">
        <v>5927</v>
      </c>
      <c r="B4881" t="s">
        <v>63</v>
      </c>
      <c r="C4881" s="1">
        <v>45643</v>
      </c>
      <c r="E4881" t="s">
        <v>32</v>
      </c>
      <c r="F4881">
        <v>18</v>
      </c>
      <c r="G4881" s="12">
        <v>3582</v>
      </c>
      <c r="H4881" s="12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1047</v>
      </c>
      <c r="N4881" t="b">
        <v>1</v>
      </c>
    </row>
    <row r="4882" spans="1:14" x14ac:dyDescent="0.3">
      <c r="A4882" t="s">
        <v>5928</v>
      </c>
      <c r="B4882" t="s">
        <v>556</v>
      </c>
      <c r="C4882" s="1">
        <v>45421</v>
      </c>
      <c r="E4882" t="s">
        <v>32</v>
      </c>
      <c r="F4882">
        <v>58</v>
      </c>
      <c r="G4882" s="12">
        <v>11542</v>
      </c>
      <c r="H4882" s="1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1050</v>
      </c>
      <c r="N4882" t="b">
        <v>1</v>
      </c>
    </row>
    <row r="4883" spans="1:14" x14ac:dyDescent="0.3">
      <c r="A4883" t="s">
        <v>5929</v>
      </c>
      <c r="B4883" t="s">
        <v>480</v>
      </c>
      <c r="C4883" s="1">
        <v>45639</v>
      </c>
      <c r="E4883" t="s">
        <v>32</v>
      </c>
      <c r="F4883">
        <v>80</v>
      </c>
      <c r="G4883" s="12">
        <v>15920</v>
      </c>
      <c r="H4883" s="12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1050</v>
      </c>
      <c r="N4883" t="b">
        <v>0</v>
      </c>
    </row>
    <row r="4884" spans="1:14" x14ac:dyDescent="0.3">
      <c r="A4884" t="s">
        <v>5930</v>
      </c>
      <c r="B4884" t="s">
        <v>556</v>
      </c>
      <c r="C4884" s="1">
        <v>45420</v>
      </c>
      <c r="E4884" t="s">
        <v>39</v>
      </c>
      <c r="F4884">
        <v>58</v>
      </c>
      <c r="G4884" s="12">
        <v>0</v>
      </c>
      <c r="H4884" s="12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1050</v>
      </c>
      <c r="N4884" t="b">
        <v>1</v>
      </c>
    </row>
    <row r="4885" spans="1:14" x14ac:dyDescent="0.3">
      <c r="A4885" t="s">
        <v>5931</v>
      </c>
      <c r="B4885" t="s">
        <v>206</v>
      </c>
      <c r="C4885" s="1">
        <v>45240</v>
      </c>
      <c r="E4885" t="s">
        <v>39</v>
      </c>
      <c r="F4885">
        <v>41</v>
      </c>
      <c r="G4885" s="12">
        <v>2009</v>
      </c>
      <c r="H4885" s="12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1050</v>
      </c>
      <c r="N4885" t="b">
        <v>1</v>
      </c>
    </row>
    <row r="4886" spans="1:14" x14ac:dyDescent="0.3">
      <c r="A4886" t="s">
        <v>5932</v>
      </c>
      <c r="B4886" t="s">
        <v>968</v>
      </c>
      <c r="C4886" s="1">
        <v>45438</v>
      </c>
      <c r="E4886" t="s">
        <v>39</v>
      </c>
      <c r="F4886">
        <v>54</v>
      </c>
      <c r="G4886" s="12">
        <v>2646</v>
      </c>
      <c r="H4886" s="12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1050</v>
      </c>
      <c r="N4886" t="b">
        <v>1</v>
      </c>
    </row>
    <row r="4887" spans="1:14" x14ac:dyDescent="0.3">
      <c r="A4887" t="s">
        <v>5933</v>
      </c>
      <c r="B4887" t="s">
        <v>466</v>
      </c>
      <c r="C4887" s="1">
        <v>45073</v>
      </c>
      <c r="E4887" t="s">
        <v>32</v>
      </c>
      <c r="F4887">
        <v>25</v>
      </c>
      <c r="G4887" s="12">
        <v>4975</v>
      </c>
      <c r="H4887" s="12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1047</v>
      </c>
      <c r="N4887" t="b">
        <v>1</v>
      </c>
    </row>
    <row r="4888" spans="1:14" x14ac:dyDescent="0.3">
      <c r="A4888" t="s">
        <v>5934</v>
      </c>
      <c r="B4888" t="s">
        <v>868</v>
      </c>
      <c r="C4888" s="1">
        <v>45566</v>
      </c>
      <c r="E4888" t="s">
        <v>39</v>
      </c>
      <c r="F4888">
        <v>25</v>
      </c>
      <c r="G4888" s="12">
        <v>1225</v>
      </c>
      <c r="H4888" s="12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1047</v>
      </c>
      <c r="N4888" t="b">
        <v>1</v>
      </c>
    </row>
    <row r="4889" spans="1:14" x14ac:dyDescent="0.3">
      <c r="A4889" t="s">
        <v>5935</v>
      </c>
      <c r="B4889" t="s">
        <v>516</v>
      </c>
      <c r="C4889" s="1">
        <v>45625</v>
      </c>
      <c r="E4889" t="s">
        <v>32</v>
      </c>
      <c r="F4889">
        <v>4</v>
      </c>
      <c r="G4889" s="12">
        <v>796</v>
      </c>
      <c r="H4889" s="12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1047</v>
      </c>
      <c r="N4889" t="b">
        <v>0</v>
      </c>
    </row>
    <row r="4890" spans="1:14" x14ac:dyDescent="0.3">
      <c r="A4890" t="s">
        <v>5936</v>
      </c>
      <c r="B4890" t="s">
        <v>490</v>
      </c>
      <c r="C4890" s="1">
        <v>45656</v>
      </c>
      <c r="E4890" t="s">
        <v>15</v>
      </c>
      <c r="F4890">
        <v>14</v>
      </c>
      <c r="G4890" s="12">
        <v>266</v>
      </c>
      <c r="H4890" s="12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1047</v>
      </c>
      <c r="N4890" t="b">
        <v>1</v>
      </c>
    </row>
    <row r="4891" spans="1:14" x14ac:dyDescent="0.3">
      <c r="A4891" t="s">
        <v>5937</v>
      </c>
      <c r="B4891" t="s">
        <v>686</v>
      </c>
      <c r="C4891" s="1">
        <v>45581</v>
      </c>
      <c r="E4891" t="s">
        <v>15</v>
      </c>
      <c r="F4891">
        <v>37</v>
      </c>
      <c r="G4891" s="12">
        <v>703</v>
      </c>
      <c r="H4891" s="12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1047</v>
      </c>
      <c r="N4891" t="b">
        <v>1</v>
      </c>
    </row>
    <row r="4892" spans="1:14" x14ac:dyDescent="0.3">
      <c r="A4892" t="s">
        <v>5938</v>
      </c>
      <c r="B4892" t="s">
        <v>180</v>
      </c>
      <c r="C4892" s="1">
        <v>45542</v>
      </c>
      <c r="E4892" t="s">
        <v>39</v>
      </c>
      <c r="F4892">
        <v>25</v>
      </c>
      <c r="G4892" s="12">
        <v>0</v>
      </c>
      <c r="H4892" s="1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1050</v>
      </c>
      <c r="N4892" t="b">
        <v>1</v>
      </c>
    </row>
    <row r="4893" spans="1:14" x14ac:dyDescent="0.3">
      <c r="A4893" t="s">
        <v>5939</v>
      </c>
      <c r="B4893" t="s">
        <v>924</v>
      </c>
      <c r="C4893" s="1">
        <v>45555</v>
      </c>
      <c r="E4893" t="s">
        <v>32</v>
      </c>
      <c r="F4893">
        <v>17</v>
      </c>
      <c r="G4893" s="12">
        <v>0</v>
      </c>
      <c r="H4893" s="12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1050</v>
      </c>
      <c r="N4893" t="b">
        <v>1</v>
      </c>
    </row>
    <row r="4894" spans="1:14" x14ac:dyDescent="0.3">
      <c r="A4894" t="s">
        <v>5940</v>
      </c>
      <c r="B4894" t="s">
        <v>852</v>
      </c>
      <c r="C4894" s="1">
        <v>45570</v>
      </c>
      <c r="E4894" t="s">
        <v>32</v>
      </c>
      <c r="F4894">
        <v>43</v>
      </c>
      <c r="G4894" s="12">
        <v>0</v>
      </c>
      <c r="H4894" s="12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1047</v>
      </c>
      <c r="N4894" t="b">
        <v>1</v>
      </c>
    </row>
    <row r="4895" spans="1:14" x14ac:dyDescent="0.3">
      <c r="A4895" t="s">
        <v>5941</v>
      </c>
      <c r="B4895" t="s">
        <v>936</v>
      </c>
      <c r="C4895" s="1">
        <v>45542</v>
      </c>
      <c r="E4895" t="s">
        <v>39</v>
      </c>
      <c r="F4895">
        <v>18</v>
      </c>
      <c r="G4895" s="12">
        <v>882</v>
      </c>
      <c r="H4895" s="12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1050</v>
      </c>
      <c r="N4895" t="b">
        <v>1</v>
      </c>
    </row>
    <row r="4896" spans="1:14" x14ac:dyDescent="0.3">
      <c r="A4896" t="s">
        <v>5942</v>
      </c>
      <c r="B4896" t="s">
        <v>522</v>
      </c>
      <c r="C4896" s="1">
        <v>45532</v>
      </c>
      <c r="E4896" t="s">
        <v>32</v>
      </c>
      <c r="F4896">
        <v>11</v>
      </c>
      <c r="G4896" s="12">
        <v>2189</v>
      </c>
      <c r="H4896" s="12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1047</v>
      </c>
      <c r="N4896" t="b">
        <v>1</v>
      </c>
    </row>
    <row r="4897" spans="1:14" x14ac:dyDescent="0.3">
      <c r="A4897" t="s">
        <v>5943</v>
      </c>
      <c r="B4897" t="s">
        <v>886</v>
      </c>
      <c r="C4897" s="1">
        <v>45620</v>
      </c>
      <c r="E4897" t="s">
        <v>15</v>
      </c>
      <c r="F4897">
        <v>17</v>
      </c>
      <c r="G4897" s="12">
        <v>323</v>
      </c>
      <c r="H4897" s="12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1050</v>
      </c>
      <c r="N4897" t="b">
        <v>1</v>
      </c>
    </row>
    <row r="4898" spans="1:14" x14ac:dyDescent="0.3">
      <c r="A4898" t="s">
        <v>5944</v>
      </c>
      <c r="B4898" t="s">
        <v>888</v>
      </c>
      <c r="C4898" s="1">
        <v>45433</v>
      </c>
      <c r="E4898" t="s">
        <v>32</v>
      </c>
      <c r="F4898">
        <v>14</v>
      </c>
      <c r="G4898" s="12">
        <v>2786</v>
      </c>
      <c r="H4898" s="12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1047</v>
      </c>
      <c r="N4898" t="b">
        <v>0</v>
      </c>
    </row>
    <row r="4899" spans="1:14" x14ac:dyDescent="0.3">
      <c r="A4899" t="s">
        <v>5945</v>
      </c>
      <c r="B4899" t="s">
        <v>288</v>
      </c>
      <c r="C4899" s="1">
        <v>45550</v>
      </c>
      <c r="D4899" s="1">
        <v>45554</v>
      </c>
      <c r="E4899" t="s">
        <v>15</v>
      </c>
      <c r="F4899">
        <v>15</v>
      </c>
      <c r="G4899" s="12">
        <v>285</v>
      </c>
      <c r="H4899" s="12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1047</v>
      </c>
      <c r="N4899" t="b">
        <v>0</v>
      </c>
    </row>
    <row r="4900" spans="1:14" x14ac:dyDescent="0.3">
      <c r="A4900" t="s">
        <v>5946</v>
      </c>
      <c r="B4900" t="s">
        <v>912</v>
      </c>
      <c r="C4900" s="1">
        <v>45602</v>
      </c>
      <c r="E4900" t="s">
        <v>32</v>
      </c>
      <c r="F4900">
        <v>18</v>
      </c>
      <c r="G4900" s="12">
        <v>3582</v>
      </c>
      <c r="H4900" s="12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1050</v>
      </c>
      <c r="N4900" t="b">
        <v>1</v>
      </c>
    </row>
    <row r="4901" spans="1:14" x14ac:dyDescent="0.3">
      <c r="A4901" t="s">
        <v>5947</v>
      </c>
      <c r="B4901" t="s">
        <v>756</v>
      </c>
      <c r="C4901" s="1">
        <v>45230</v>
      </c>
      <c r="E4901" t="s">
        <v>15</v>
      </c>
      <c r="F4901">
        <v>22</v>
      </c>
      <c r="G4901" s="12">
        <v>418</v>
      </c>
      <c r="H4901" s="12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1050</v>
      </c>
      <c r="N4901" t="b">
        <v>0</v>
      </c>
    </row>
    <row r="4902" spans="1:14" x14ac:dyDescent="0.3">
      <c r="A4902" t="s">
        <v>5948</v>
      </c>
      <c r="B4902" t="s">
        <v>164</v>
      </c>
      <c r="C4902" s="1">
        <v>45529</v>
      </c>
      <c r="E4902" t="s">
        <v>32</v>
      </c>
      <c r="F4902">
        <v>35</v>
      </c>
      <c r="G4902" s="12">
        <v>6965</v>
      </c>
      <c r="H4902" s="1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1047</v>
      </c>
      <c r="N4902" t="b">
        <v>1</v>
      </c>
    </row>
    <row r="4903" spans="1:14" x14ac:dyDescent="0.3">
      <c r="A4903" t="s">
        <v>5949</v>
      </c>
      <c r="B4903" t="s">
        <v>636</v>
      </c>
      <c r="C4903" s="1">
        <v>45489</v>
      </c>
      <c r="E4903" t="s">
        <v>15</v>
      </c>
      <c r="F4903">
        <v>9</v>
      </c>
      <c r="G4903" s="12">
        <v>171</v>
      </c>
      <c r="H4903" s="12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1047</v>
      </c>
      <c r="N4903" t="b">
        <v>1</v>
      </c>
    </row>
    <row r="4904" spans="1:14" x14ac:dyDescent="0.3">
      <c r="A4904" t="s">
        <v>5950</v>
      </c>
      <c r="B4904" t="s">
        <v>272</v>
      </c>
      <c r="C4904" s="1">
        <v>45616</v>
      </c>
      <c r="E4904" t="s">
        <v>15</v>
      </c>
      <c r="F4904">
        <v>18</v>
      </c>
      <c r="G4904" s="12">
        <v>342</v>
      </c>
      <c r="H4904" s="12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1047</v>
      </c>
      <c r="N4904" t="b">
        <v>1</v>
      </c>
    </row>
    <row r="4905" spans="1:14" x14ac:dyDescent="0.3">
      <c r="A4905" t="s">
        <v>5951</v>
      </c>
      <c r="B4905" t="s">
        <v>1028</v>
      </c>
      <c r="C4905" s="1">
        <v>45553</v>
      </c>
      <c r="E4905" t="s">
        <v>32</v>
      </c>
      <c r="F4905">
        <v>12</v>
      </c>
      <c r="G4905" s="12">
        <v>2388</v>
      </c>
      <c r="H4905" s="12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1050</v>
      </c>
      <c r="N4905" t="b">
        <v>1</v>
      </c>
    </row>
    <row r="4906" spans="1:14" x14ac:dyDescent="0.3">
      <c r="A4906" t="s">
        <v>5952</v>
      </c>
      <c r="B4906" t="s">
        <v>57</v>
      </c>
      <c r="C4906" s="1">
        <v>45377</v>
      </c>
      <c r="E4906" t="s">
        <v>15</v>
      </c>
      <c r="F4906">
        <v>27</v>
      </c>
      <c r="G4906" s="12">
        <v>513</v>
      </c>
      <c r="H4906" s="12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1047</v>
      </c>
      <c r="N4906" t="b">
        <v>1</v>
      </c>
    </row>
    <row r="4907" spans="1:14" x14ac:dyDescent="0.3">
      <c r="A4907" t="s">
        <v>5953</v>
      </c>
      <c r="B4907" t="s">
        <v>206</v>
      </c>
      <c r="C4907" s="1">
        <v>45484</v>
      </c>
      <c r="E4907" t="s">
        <v>32</v>
      </c>
      <c r="F4907">
        <v>41</v>
      </c>
      <c r="G4907" s="12">
        <v>8159</v>
      </c>
      <c r="H4907" s="12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1047</v>
      </c>
      <c r="N4907" t="b">
        <v>1</v>
      </c>
    </row>
    <row r="4908" spans="1:14" x14ac:dyDescent="0.3">
      <c r="A4908" t="s">
        <v>5954</v>
      </c>
      <c r="B4908" t="s">
        <v>758</v>
      </c>
      <c r="C4908" s="1">
        <v>45510</v>
      </c>
      <c r="E4908" t="s">
        <v>15</v>
      </c>
      <c r="F4908">
        <v>18</v>
      </c>
      <c r="G4908" s="12">
        <v>342</v>
      </c>
      <c r="H4908" s="12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1047</v>
      </c>
      <c r="N4908" t="b">
        <v>1</v>
      </c>
    </row>
    <row r="4909" spans="1:14" x14ac:dyDescent="0.3">
      <c r="A4909" t="s">
        <v>5955</v>
      </c>
      <c r="B4909" t="s">
        <v>154</v>
      </c>
      <c r="C4909" s="1">
        <v>45566</v>
      </c>
      <c r="E4909" t="s">
        <v>15</v>
      </c>
      <c r="F4909">
        <v>33</v>
      </c>
      <c r="G4909" s="12">
        <v>627</v>
      </c>
      <c r="H4909" s="12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1047</v>
      </c>
      <c r="N4909" t="b">
        <v>1</v>
      </c>
    </row>
    <row r="4910" spans="1:14" x14ac:dyDescent="0.3">
      <c r="A4910" t="s">
        <v>5956</v>
      </c>
      <c r="B4910" t="s">
        <v>218</v>
      </c>
      <c r="C4910" s="1">
        <v>45382</v>
      </c>
      <c r="E4910" t="s">
        <v>15</v>
      </c>
      <c r="F4910">
        <v>9</v>
      </c>
      <c r="G4910" s="12">
        <v>0</v>
      </c>
      <c r="H4910" s="12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1047</v>
      </c>
      <c r="N4910" t="b">
        <v>1</v>
      </c>
    </row>
    <row r="4911" spans="1:14" x14ac:dyDescent="0.3">
      <c r="A4911" t="s">
        <v>5957</v>
      </c>
      <c r="B4911" t="s">
        <v>42</v>
      </c>
      <c r="C4911" s="1">
        <v>45553</v>
      </c>
      <c r="E4911" t="s">
        <v>32</v>
      </c>
      <c r="F4911">
        <v>13</v>
      </c>
      <c r="G4911" s="12">
        <v>2587</v>
      </c>
      <c r="H4911" s="12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1050</v>
      </c>
      <c r="N4911" t="b">
        <v>0</v>
      </c>
    </row>
    <row r="4912" spans="1:14" x14ac:dyDescent="0.3">
      <c r="A4912" t="s">
        <v>5958</v>
      </c>
      <c r="B4912" t="s">
        <v>502</v>
      </c>
      <c r="C4912" s="1">
        <v>45451</v>
      </c>
      <c r="E4912" t="s">
        <v>39</v>
      </c>
      <c r="F4912">
        <v>41</v>
      </c>
      <c r="G4912" s="12">
        <v>2009</v>
      </c>
      <c r="H4912" s="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1047</v>
      </c>
      <c r="N4912" t="b">
        <v>0</v>
      </c>
    </row>
    <row r="4913" spans="1:14" x14ac:dyDescent="0.3">
      <c r="A4913" t="s">
        <v>5959</v>
      </c>
      <c r="B4913" t="s">
        <v>74</v>
      </c>
      <c r="C4913" s="1">
        <v>45439</v>
      </c>
      <c r="E4913" t="s">
        <v>32</v>
      </c>
      <c r="F4913">
        <v>86</v>
      </c>
      <c r="G4913" s="12">
        <v>17114</v>
      </c>
      <c r="H4913" s="12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1050</v>
      </c>
      <c r="N4913" t="b">
        <v>1</v>
      </c>
    </row>
    <row r="4914" spans="1:14" x14ac:dyDescent="0.3">
      <c r="A4914" t="s">
        <v>5960</v>
      </c>
      <c r="B4914" t="s">
        <v>762</v>
      </c>
      <c r="C4914" s="1">
        <v>45364</v>
      </c>
      <c r="E4914" t="s">
        <v>15</v>
      </c>
      <c r="F4914">
        <v>30</v>
      </c>
      <c r="G4914" s="12">
        <v>570</v>
      </c>
      <c r="H4914" s="12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1047</v>
      </c>
      <c r="N4914" t="b">
        <v>1</v>
      </c>
    </row>
    <row r="4915" spans="1:14" x14ac:dyDescent="0.3">
      <c r="A4915" t="s">
        <v>5961</v>
      </c>
      <c r="B4915" t="s">
        <v>590</v>
      </c>
      <c r="C4915" s="1">
        <v>45551</v>
      </c>
      <c r="E4915" t="s">
        <v>39</v>
      </c>
      <c r="F4915">
        <v>5</v>
      </c>
      <c r="G4915" s="12">
        <v>245</v>
      </c>
      <c r="H4915" s="12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1047</v>
      </c>
      <c r="N4915" t="b">
        <v>1</v>
      </c>
    </row>
    <row r="4916" spans="1:14" x14ac:dyDescent="0.3">
      <c r="A4916" t="s">
        <v>5962</v>
      </c>
      <c r="B4916" t="s">
        <v>410</v>
      </c>
      <c r="C4916" s="1">
        <v>45460</v>
      </c>
      <c r="E4916" t="s">
        <v>15</v>
      </c>
      <c r="F4916">
        <v>14</v>
      </c>
      <c r="G4916" s="12">
        <v>0</v>
      </c>
      <c r="H4916" s="12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1050</v>
      </c>
      <c r="N4916" t="b">
        <v>0</v>
      </c>
    </row>
    <row r="4917" spans="1:14" x14ac:dyDescent="0.3">
      <c r="A4917" t="s">
        <v>5963</v>
      </c>
      <c r="B4917" t="s">
        <v>91</v>
      </c>
      <c r="C4917" s="1">
        <v>45370</v>
      </c>
      <c r="E4917" t="s">
        <v>32</v>
      </c>
      <c r="F4917">
        <v>16</v>
      </c>
      <c r="G4917" s="12">
        <v>3184</v>
      </c>
      <c r="H4917" s="12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1050</v>
      </c>
      <c r="N4917" t="b">
        <v>1</v>
      </c>
    </row>
    <row r="4918" spans="1:14" x14ac:dyDescent="0.3">
      <c r="A4918" t="s">
        <v>5964</v>
      </c>
      <c r="B4918" t="s">
        <v>980</v>
      </c>
      <c r="C4918" s="1">
        <v>45596</v>
      </c>
      <c r="E4918" t="s">
        <v>32</v>
      </c>
      <c r="F4918">
        <v>67</v>
      </c>
      <c r="G4918" s="12">
        <v>13333</v>
      </c>
      <c r="H4918" s="12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1047</v>
      </c>
      <c r="N4918" t="b">
        <v>1</v>
      </c>
    </row>
    <row r="4919" spans="1:14" x14ac:dyDescent="0.3">
      <c r="A4919" t="s">
        <v>5965</v>
      </c>
      <c r="B4919" t="s">
        <v>686</v>
      </c>
      <c r="C4919" s="1">
        <v>45520</v>
      </c>
      <c r="E4919" t="s">
        <v>32</v>
      </c>
      <c r="F4919">
        <v>28</v>
      </c>
      <c r="G4919" s="12">
        <v>5572</v>
      </c>
      <c r="H4919" s="12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1047</v>
      </c>
      <c r="N4919" t="b">
        <v>1</v>
      </c>
    </row>
    <row r="4920" spans="1:14" x14ac:dyDescent="0.3">
      <c r="A4920" t="s">
        <v>5966</v>
      </c>
      <c r="B4920" t="s">
        <v>834</v>
      </c>
      <c r="C4920" s="1">
        <v>45549</v>
      </c>
      <c r="E4920" t="s">
        <v>39</v>
      </c>
      <c r="F4920">
        <v>46</v>
      </c>
      <c r="G4920" s="12">
        <v>0</v>
      </c>
      <c r="H4920" s="12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1050</v>
      </c>
      <c r="N4920" t="b">
        <v>1</v>
      </c>
    </row>
    <row r="4921" spans="1:14" x14ac:dyDescent="0.3">
      <c r="A4921" t="s">
        <v>5967</v>
      </c>
      <c r="B4921" t="s">
        <v>830</v>
      </c>
      <c r="C4921" s="1">
        <v>45657</v>
      </c>
      <c r="E4921" t="s">
        <v>32</v>
      </c>
      <c r="F4921">
        <v>28</v>
      </c>
      <c r="G4921" s="12">
        <v>5572</v>
      </c>
      <c r="H4921" s="12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1047</v>
      </c>
      <c r="N4921" t="b">
        <v>0</v>
      </c>
    </row>
    <row r="4922" spans="1:14" x14ac:dyDescent="0.3">
      <c r="A4922" t="s">
        <v>5968</v>
      </c>
      <c r="B4922" t="s">
        <v>228</v>
      </c>
      <c r="C4922" s="1">
        <v>45381</v>
      </c>
      <c r="E4922" t="s">
        <v>39</v>
      </c>
      <c r="F4922">
        <v>4</v>
      </c>
      <c r="G4922" s="12">
        <v>196</v>
      </c>
      <c r="H4922" s="1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1050</v>
      </c>
      <c r="N4922" t="b">
        <v>0</v>
      </c>
    </row>
    <row r="4923" spans="1:14" x14ac:dyDescent="0.3">
      <c r="A4923" t="s">
        <v>5969</v>
      </c>
      <c r="B4923" t="s">
        <v>916</v>
      </c>
      <c r="C4923" s="1">
        <v>45558</v>
      </c>
      <c r="E4923" t="s">
        <v>32</v>
      </c>
      <c r="F4923">
        <v>13</v>
      </c>
      <c r="G4923" s="12">
        <v>2587</v>
      </c>
      <c r="H4923" s="12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1047</v>
      </c>
      <c r="N4923" t="b">
        <v>0</v>
      </c>
    </row>
    <row r="4924" spans="1:14" x14ac:dyDescent="0.3">
      <c r="A4924" t="s">
        <v>5970</v>
      </c>
      <c r="B4924" t="s">
        <v>61</v>
      </c>
      <c r="C4924" s="1">
        <v>45162</v>
      </c>
      <c r="E4924" t="s">
        <v>15</v>
      </c>
      <c r="F4924">
        <v>29</v>
      </c>
      <c r="G4924" s="12">
        <v>551</v>
      </c>
      <c r="H4924" s="12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1047</v>
      </c>
      <c r="N4924" t="b">
        <v>1</v>
      </c>
    </row>
    <row r="4925" spans="1:14" x14ac:dyDescent="0.3">
      <c r="A4925" t="s">
        <v>5971</v>
      </c>
      <c r="B4925" t="s">
        <v>498</v>
      </c>
      <c r="C4925" s="1">
        <v>45610</v>
      </c>
      <c r="E4925" t="s">
        <v>39</v>
      </c>
      <c r="F4925">
        <v>31</v>
      </c>
      <c r="G4925" s="12">
        <v>1519</v>
      </c>
      <c r="H4925" s="12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1047</v>
      </c>
      <c r="N4925" t="b">
        <v>1</v>
      </c>
    </row>
    <row r="4926" spans="1:14" x14ac:dyDescent="0.3">
      <c r="A4926" t="s">
        <v>5972</v>
      </c>
      <c r="B4926" t="s">
        <v>16</v>
      </c>
      <c r="C4926" s="1">
        <v>45344</v>
      </c>
      <c r="E4926" t="s">
        <v>39</v>
      </c>
      <c r="F4926">
        <v>18</v>
      </c>
      <c r="G4926" s="12">
        <v>882</v>
      </c>
      <c r="H4926" s="12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1050</v>
      </c>
      <c r="N4926" t="b">
        <v>1</v>
      </c>
    </row>
    <row r="4927" spans="1:14" x14ac:dyDescent="0.3">
      <c r="A4927" t="s">
        <v>5973</v>
      </c>
      <c r="B4927" t="s">
        <v>1004</v>
      </c>
      <c r="C4927" s="1">
        <v>45530</v>
      </c>
      <c r="E4927" t="s">
        <v>32</v>
      </c>
      <c r="F4927">
        <v>21</v>
      </c>
      <c r="G4927" s="12">
        <v>4179</v>
      </c>
      <c r="H4927" s="12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1050</v>
      </c>
      <c r="N4927" t="b">
        <v>0</v>
      </c>
    </row>
    <row r="4928" spans="1:14" x14ac:dyDescent="0.3">
      <c r="A4928" t="s">
        <v>5974</v>
      </c>
      <c r="B4928" t="s">
        <v>478</v>
      </c>
      <c r="C4928" s="1">
        <v>45591</v>
      </c>
      <c r="E4928" t="s">
        <v>15</v>
      </c>
      <c r="F4928">
        <v>7</v>
      </c>
      <c r="G4928" s="12">
        <v>133</v>
      </c>
      <c r="H4928" s="12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1050</v>
      </c>
      <c r="N4928" t="b">
        <v>0</v>
      </c>
    </row>
    <row r="4929" spans="1:14" x14ac:dyDescent="0.3">
      <c r="A4929" t="s">
        <v>5975</v>
      </c>
      <c r="B4929" t="s">
        <v>47</v>
      </c>
      <c r="C4929" s="1">
        <v>45648</v>
      </c>
      <c r="E4929" t="s">
        <v>15</v>
      </c>
      <c r="F4929">
        <v>18</v>
      </c>
      <c r="G4929" s="12">
        <v>342</v>
      </c>
      <c r="H4929" s="12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1050</v>
      </c>
      <c r="N4929" t="b">
        <v>0</v>
      </c>
    </row>
    <row r="4930" spans="1:14" x14ac:dyDescent="0.3">
      <c r="A4930" t="s">
        <v>5976</v>
      </c>
      <c r="B4930" t="s">
        <v>472</v>
      </c>
      <c r="C4930" s="1">
        <v>45636</v>
      </c>
      <c r="E4930" t="s">
        <v>32</v>
      </c>
      <c r="F4930">
        <v>9</v>
      </c>
      <c r="G4930" s="12">
        <v>1791</v>
      </c>
      <c r="H4930" s="12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1050</v>
      </c>
      <c r="N4930" t="b">
        <v>1</v>
      </c>
    </row>
    <row r="4931" spans="1:14" x14ac:dyDescent="0.3">
      <c r="A4931" t="s">
        <v>5977</v>
      </c>
      <c r="B4931" t="s">
        <v>462</v>
      </c>
      <c r="C4931" s="1">
        <v>45388</v>
      </c>
      <c r="E4931" t="s">
        <v>15</v>
      </c>
      <c r="F4931">
        <v>31</v>
      </c>
      <c r="G4931" s="12">
        <v>589</v>
      </c>
      <c r="H4931" s="12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1047</v>
      </c>
      <c r="N4931" t="b">
        <v>1</v>
      </c>
    </row>
    <row r="4932" spans="1:14" x14ac:dyDescent="0.3">
      <c r="A4932" t="s">
        <v>5978</v>
      </c>
      <c r="B4932" t="s">
        <v>36</v>
      </c>
      <c r="C4932" s="1">
        <v>45560</v>
      </c>
      <c r="E4932" t="s">
        <v>39</v>
      </c>
      <c r="F4932">
        <v>49</v>
      </c>
      <c r="G4932" s="12">
        <v>2401</v>
      </c>
      <c r="H4932" s="1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1050</v>
      </c>
      <c r="N4932" t="b">
        <v>1</v>
      </c>
    </row>
    <row r="4933" spans="1:14" x14ac:dyDescent="0.3">
      <c r="A4933" t="s">
        <v>5979</v>
      </c>
      <c r="B4933" t="s">
        <v>918</v>
      </c>
      <c r="C4933" s="1">
        <v>45629</v>
      </c>
      <c r="E4933" t="s">
        <v>32</v>
      </c>
      <c r="F4933">
        <v>68</v>
      </c>
      <c r="G4933" s="12">
        <v>13532</v>
      </c>
      <c r="H4933" s="12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1047</v>
      </c>
      <c r="N4933" t="b">
        <v>1</v>
      </c>
    </row>
    <row r="4934" spans="1:14" x14ac:dyDescent="0.3">
      <c r="A4934" t="s">
        <v>5980</v>
      </c>
      <c r="B4934" t="s">
        <v>750</v>
      </c>
      <c r="C4934" s="1">
        <v>45605</v>
      </c>
      <c r="E4934" t="s">
        <v>39</v>
      </c>
      <c r="F4934">
        <v>30</v>
      </c>
      <c r="G4934" s="12">
        <v>0</v>
      </c>
      <c r="H4934" s="12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1047</v>
      </c>
      <c r="N4934" t="b">
        <v>1</v>
      </c>
    </row>
    <row r="4935" spans="1:14" x14ac:dyDescent="0.3">
      <c r="A4935" t="s">
        <v>5981</v>
      </c>
      <c r="B4935" t="s">
        <v>856</v>
      </c>
      <c r="C4935" s="1">
        <v>45568</v>
      </c>
      <c r="E4935" t="s">
        <v>32</v>
      </c>
      <c r="F4935">
        <v>19</v>
      </c>
      <c r="G4935" s="12">
        <v>0</v>
      </c>
      <c r="H4935" s="12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1050</v>
      </c>
      <c r="N4935" t="b">
        <v>0</v>
      </c>
    </row>
    <row r="4936" spans="1:14" x14ac:dyDescent="0.3">
      <c r="A4936" t="s">
        <v>5982</v>
      </c>
      <c r="B4936" t="s">
        <v>132</v>
      </c>
      <c r="C4936" s="1">
        <v>45584</v>
      </c>
      <c r="E4936" t="s">
        <v>32</v>
      </c>
      <c r="F4936">
        <v>17</v>
      </c>
      <c r="G4936" s="12">
        <v>3383</v>
      </c>
      <c r="H4936" s="12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1050</v>
      </c>
      <c r="N4936" t="b">
        <v>0</v>
      </c>
    </row>
    <row r="4937" spans="1:14" x14ac:dyDescent="0.3">
      <c r="A4937" t="s">
        <v>5983</v>
      </c>
      <c r="B4937" t="s">
        <v>820</v>
      </c>
      <c r="C4937" s="1">
        <v>45587</v>
      </c>
      <c r="E4937" t="s">
        <v>15</v>
      </c>
      <c r="F4937">
        <v>55</v>
      </c>
      <c r="G4937" s="12">
        <v>1045</v>
      </c>
      <c r="H4937" s="12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1047</v>
      </c>
      <c r="N4937" t="b">
        <v>1</v>
      </c>
    </row>
    <row r="4938" spans="1:14" x14ac:dyDescent="0.3">
      <c r="A4938" t="s">
        <v>5984</v>
      </c>
      <c r="B4938" t="s">
        <v>406</v>
      </c>
      <c r="C4938" s="1">
        <v>45472</v>
      </c>
      <c r="E4938" t="s">
        <v>39</v>
      </c>
      <c r="F4938">
        <v>8</v>
      </c>
      <c r="G4938" s="12">
        <v>392</v>
      </c>
      <c r="H4938" s="12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1050</v>
      </c>
      <c r="N4938" t="b">
        <v>1</v>
      </c>
    </row>
    <row r="4939" spans="1:14" x14ac:dyDescent="0.3">
      <c r="A4939" t="s">
        <v>5985</v>
      </c>
      <c r="B4939" t="s">
        <v>590</v>
      </c>
      <c r="C4939" s="1">
        <v>45566</v>
      </c>
      <c r="E4939" t="s">
        <v>39</v>
      </c>
      <c r="F4939">
        <v>84</v>
      </c>
      <c r="G4939" s="12">
        <v>4116</v>
      </c>
      <c r="H4939" s="12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1047</v>
      </c>
      <c r="N4939" t="b">
        <v>1</v>
      </c>
    </row>
    <row r="4940" spans="1:14" x14ac:dyDescent="0.3">
      <c r="A4940" t="s">
        <v>5986</v>
      </c>
      <c r="B4940" t="s">
        <v>416</v>
      </c>
      <c r="C4940" s="1">
        <v>45475</v>
      </c>
      <c r="E4940" t="s">
        <v>32</v>
      </c>
      <c r="F4940">
        <v>6</v>
      </c>
      <c r="G4940" s="12">
        <v>1194</v>
      </c>
      <c r="H4940" s="12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1050</v>
      </c>
      <c r="N4940" t="b">
        <v>0</v>
      </c>
    </row>
    <row r="4941" spans="1:14" x14ac:dyDescent="0.3">
      <c r="A4941" t="s">
        <v>5987</v>
      </c>
      <c r="B4941" t="s">
        <v>192</v>
      </c>
      <c r="C4941" s="1">
        <v>45541</v>
      </c>
      <c r="E4941" t="s">
        <v>32</v>
      </c>
      <c r="F4941">
        <v>23</v>
      </c>
      <c r="G4941" s="12">
        <v>4577</v>
      </c>
      <c r="H4941" s="12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1050</v>
      </c>
      <c r="N4941" t="b">
        <v>1</v>
      </c>
    </row>
    <row r="4942" spans="1:14" x14ac:dyDescent="0.3">
      <c r="A4942" t="s">
        <v>5988</v>
      </c>
      <c r="B4942" t="s">
        <v>832</v>
      </c>
      <c r="C4942" s="1">
        <v>45022</v>
      </c>
      <c r="E4942" t="s">
        <v>32</v>
      </c>
      <c r="F4942">
        <v>7</v>
      </c>
      <c r="G4942" s="12">
        <v>1393</v>
      </c>
      <c r="H4942" s="1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1047</v>
      </c>
      <c r="N4942" t="b">
        <v>1</v>
      </c>
    </row>
    <row r="4943" spans="1:14" x14ac:dyDescent="0.3">
      <c r="A4943" t="s">
        <v>5989</v>
      </c>
      <c r="B4943" t="s">
        <v>582</v>
      </c>
      <c r="C4943" s="1">
        <v>45463</v>
      </c>
      <c r="E4943" t="s">
        <v>32</v>
      </c>
      <c r="F4943">
        <v>52</v>
      </c>
      <c r="G4943" s="12">
        <v>10348</v>
      </c>
      <c r="H4943" s="12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1047</v>
      </c>
      <c r="N4943" t="b">
        <v>1</v>
      </c>
    </row>
    <row r="4944" spans="1:14" x14ac:dyDescent="0.3">
      <c r="A4944" t="s">
        <v>5990</v>
      </c>
      <c r="B4944" t="s">
        <v>512</v>
      </c>
      <c r="C4944" s="1">
        <v>45571</v>
      </c>
      <c r="E4944" t="s">
        <v>32</v>
      </c>
      <c r="F4944">
        <v>27</v>
      </c>
      <c r="G4944" s="12">
        <v>5373</v>
      </c>
      <c r="H4944" s="12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1050</v>
      </c>
      <c r="N4944" t="b">
        <v>1</v>
      </c>
    </row>
    <row r="4945" spans="1:14" x14ac:dyDescent="0.3">
      <c r="A4945" t="s">
        <v>5991</v>
      </c>
      <c r="B4945" t="s">
        <v>830</v>
      </c>
      <c r="C4945" s="1">
        <v>45657</v>
      </c>
      <c r="E4945" t="s">
        <v>15</v>
      </c>
      <c r="F4945">
        <v>28</v>
      </c>
      <c r="G4945" s="12">
        <v>532</v>
      </c>
      <c r="H4945" s="12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1050</v>
      </c>
      <c r="N4945" t="b">
        <v>1</v>
      </c>
    </row>
    <row r="4946" spans="1:14" x14ac:dyDescent="0.3">
      <c r="A4946" t="s">
        <v>5992</v>
      </c>
      <c r="B4946" t="s">
        <v>57</v>
      </c>
      <c r="C4946" s="1">
        <v>45366</v>
      </c>
      <c r="D4946" s="1">
        <v>45585</v>
      </c>
      <c r="E4946" t="s">
        <v>32</v>
      </c>
      <c r="F4946">
        <v>35</v>
      </c>
      <c r="G4946" s="12">
        <v>6965</v>
      </c>
      <c r="H4946" s="12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1047</v>
      </c>
      <c r="N4946" t="b">
        <v>1</v>
      </c>
    </row>
    <row r="4947" spans="1:14" x14ac:dyDescent="0.3">
      <c r="A4947" t="s">
        <v>5993</v>
      </c>
      <c r="B4947" t="s">
        <v>400</v>
      </c>
      <c r="C4947" s="1">
        <v>45646</v>
      </c>
      <c r="E4947" t="s">
        <v>15</v>
      </c>
      <c r="F4947">
        <v>10</v>
      </c>
      <c r="G4947" s="12">
        <v>190</v>
      </c>
      <c r="H4947" s="12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1050</v>
      </c>
      <c r="N4947" t="b">
        <v>1</v>
      </c>
    </row>
    <row r="4948" spans="1:14" x14ac:dyDescent="0.3">
      <c r="A4948" t="s">
        <v>5994</v>
      </c>
      <c r="B4948" t="s">
        <v>948</v>
      </c>
      <c r="C4948" s="1">
        <v>45610</v>
      </c>
      <c r="E4948" t="s">
        <v>15</v>
      </c>
      <c r="F4948">
        <v>14</v>
      </c>
      <c r="G4948" s="12">
        <v>266</v>
      </c>
      <c r="H4948" s="12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1047</v>
      </c>
      <c r="N4948" t="b">
        <v>1</v>
      </c>
    </row>
    <row r="4949" spans="1:14" x14ac:dyDescent="0.3">
      <c r="A4949" t="s">
        <v>5995</v>
      </c>
      <c r="B4949" t="s">
        <v>158</v>
      </c>
      <c r="C4949" s="1">
        <v>45259</v>
      </c>
      <c r="E4949" t="s">
        <v>15</v>
      </c>
      <c r="F4949">
        <v>46</v>
      </c>
      <c r="G4949" s="12">
        <v>874</v>
      </c>
      <c r="H4949" s="12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1047</v>
      </c>
      <c r="N4949" t="b">
        <v>0</v>
      </c>
    </row>
    <row r="4950" spans="1:14" x14ac:dyDescent="0.3">
      <c r="A4950" t="s">
        <v>5996</v>
      </c>
      <c r="B4950" t="s">
        <v>470</v>
      </c>
      <c r="C4950" s="1">
        <v>45351</v>
      </c>
      <c r="E4950" t="s">
        <v>39</v>
      </c>
      <c r="F4950">
        <v>18</v>
      </c>
      <c r="G4950" s="12">
        <v>0</v>
      </c>
      <c r="H4950" s="12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1047</v>
      </c>
      <c r="N4950" t="b">
        <v>0</v>
      </c>
    </row>
    <row r="4951" spans="1:14" x14ac:dyDescent="0.3">
      <c r="A4951" t="s">
        <v>5997</v>
      </c>
      <c r="B4951" t="s">
        <v>418</v>
      </c>
      <c r="C4951" s="1">
        <v>45460</v>
      </c>
      <c r="E4951" t="s">
        <v>39</v>
      </c>
      <c r="F4951">
        <v>19</v>
      </c>
      <c r="G4951" s="12">
        <v>931</v>
      </c>
      <c r="H4951" s="12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1047</v>
      </c>
      <c r="N4951" t="b">
        <v>0</v>
      </c>
    </row>
    <row r="4952" spans="1:14" x14ac:dyDescent="0.3">
      <c r="A4952" t="s">
        <v>5998</v>
      </c>
      <c r="B4952" t="s">
        <v>596</v>
      </c>
      <c r="C4952" s="1">
        <v>45595</v>
      </c>
      <c r="E4952" t="s">
        <v>15</v>
      </c>
      <c r="F4952">
        <v>21</v>
      </c>
      <c r="G4952" s="12">
        <v>399</v>
      </c>
      <c r="H4952" s="1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1050</v>
      </c>
      <c r="N4952" t="b">
        <v>0</v>
      </c>
    </row>
    <row r="4953" spans="1:14" x14ac:dyDescent="0.3">
      <c r="A4953" t="s">
        <v>5999</v>
      </c>
      <c r="B4953" t="s">
        <v>986</v>
      </c>
      <c r="C4953" s="1">
        <v>45221</v>
      </c>
      <c r="E4953" t="s">
        <v>15</v>
      </c>
      <c r="F4953">
        <v>6</v>
      </c>
      <c r="G4953" s="12">
        <v>114</v>
      </c>
      <c r="H4953" s="12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1050</v>
      </c>
      <c r="N4953" t="b">
        <v>1</v>
      </c>
    </row>
    <row r="4954" spans="1:14" x14ac:dyDescent="0.3">
      <c r="A4954" t="s">
        <v>6000</v>
      </c>
      <c r="B4954" t="s">
        <v>398</v>
      </c>
      <c r="C4954" s="1">
        <v>45428</v>
      </c>
      <c r="D4954" s="1">
        <v>45508</v>
      </c>
      <c r="E4954" t="s">
        <v>32</v>
      </c>
      <c r="F4954">
        <v>22</v>
      </c>
      <c r="G4954" s="12">
        <v>0</v>
      </c>
      <c r="H4954" s="12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1047</v>
      </c>
      <c r="N4954" t="b">
        <v>1</v>
      </c>
    </row>
    <row r="4955" spans="1:14" x14ac:dyDescent="0.3">
      <c r="A4955" t="s">
        <v>6001</v>
      </c>
      <c r="B4955" t="s">
        <v>500</v>
      </c>
      <c r="C4955" s="1">
        <v>45627</v>
      </c>
      <c r="E4955" t="s">
        <v>39</v>
      </c>
      <c r="F4955">
        <v>92</v>
      </c>
      <c r="G4955" s="12">
        <v>4508</v>
      </c>
      <c r="H4955" s="12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1050</v>
      </c>
      <c r="N4955" t="b">
        <v>1</v>
      </c>
    </row>
    <row r="4956" spans="1:14" x14ac:dyDescent="0.3">
      <c r="A4956" t="s">
        <v>6002</v>
      </c>
      <c r="B4956" t="s">
        <v>752</v>
      </c>
      <c r="C4956" s="1">
        <v>45035</v>
      </c>
      <c r="E4956" t="s">
        <v>32</v>
      </c>
      <c r="F4956">
        <v>42</v>
      </c>
      <c r="G4956" s="12">
        <v>0</v>
      </c>
      <c r="H4956" s="12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1047</v>
      </c>
      <c r="N4956" t="b">
        <v>1</v>
      </c>
    </row>
    <row r="4957" spans="1:14" x14ac:dyDescent="0.3">
      <c r="A4957" t="s">
        <v>6003</v>
      </c>
      <c r="B4957" t="s">
        <v>528</v>
      </c>
      <c r="C4957" s="1">
        <v>45603</v>
      </c>
      <c r="E4957" t="s">
        <v>39</v>
      </c>
      <c r="F4957">
        <v>23</v>
      </c>
      <c r="G4957" s="12">
        <v>1127</v>
      </c>
      <c r="H4957" s="12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1047</v>
      </c>
      <c r="N4957" t="b">
        <v>1</v>
      </c>
    </row>
    <row r="4958" spans="1:14" x14ac:dyDescent="0.3">
      <c r="A4958" t="s">
        <v>6004</v>
      </c>
      <c r="B4958" t="s">
        <v>832</v>
      </c>
      <c r="C4958" s="1">
        <v>45083</v>
      </c>
      <c r="D4958" s="1">
        <v>45637</v>
      </c>
      <c r="E4958" t="s">
        <v>15</v>
      </c>
      <c r="F4958">
        <v>7</v>
      </c>
      <c r="G4958" s="12">
        <v>133</v>
      </c>
      <c r="H4958" s="12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1047</v>
      </c>
      <c r="N4958" t="b">
        <v>1</v>
      </c>
    </row>
    <row r="4959" spans="1:14" x14ac:dyDescent="0.3">
      <c r="A4959" t="s">
        <v>6005</v>
      </c>
      <c r="B4959" t="s">
        <v>316</v>
      </c>
      <c r="C4959" s="1">
        <v>45177</v>
      </c>
      <c r="E4959" t="s">
        <v>32</v>
      </c>
      <c r="F4959">
        <v>2</v>
      </c>
      <c r="G4959" s="12">
        <v>398</v>
      </c>
      <c r="H4959" s="12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1050</v>
      </c>
      <c r="N4959" t="b">
        <v>1</v>
      </c>
    </row>
    <row r="4960" spans="1:14" x14ac:dyDescent="0.3">
      <c r="A4960" t="s">
        <v>6006</v>
      </c>
      <c r="B4960" t="s">
        <v>992</v>
      </c>
      <c r="C4960" s="1">
        <v>45275</v>
      </c>
      <c r="E4960" t="s">
        <v>39</v>
      </c>
      <c r="F4960">
        <v>11</v>
      </c>
      <c r="G4960" s="12">
        <v>539</v>
      </c>
      <c r="H4960" s="12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1050</v>
      </c>
      <c r="N4960" t="b">
        <v>1</v>
      </c>
    </row>
    <row r="4961" spans="1:14" x14ac:dyDescent="0.3">
      <c r="A4961" t="s">
        <v>6007</v>
      </c>
      <c r="B4961" t="s">
        <v>210</v>
      </c>
      <c r="C4961" s="1">
        <v>45363</v>
      </c>
      <c r="E4961" t="s">
        <v>15</v>
      </c>
      <c r="F4961">
        <v>33</v>
      </c>
      <c r="G4961" s="12">
        <v>0</v>
      </c>
      <c r="H4961" s="12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1050</v>
      </c>
      <c r="N4961" t="b">
        <v>1</v>
      </c>
    </row>
    <row r="4962" spans="1:14" x14ac:dyDescent="0.3">
      <c r="A4962" t="s">
        <v>6008</v>
      </c>
      <c r="B4962" t="s">
        <v>372</v>
      </c>
      <c r="C4962" s="1">
        <v>45642</v>
      </c>
      <c r="E4962" t="s">
        <v>32</v>
      </c>
      <c r="F4962">
        <v>40</v>
      </c>
      <c r="G4962" s="12">
        <v>7960</v>
      </c>
      <c r="H4962" s="1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1047</v>
      </c>
      <c r="N4962" t="b">
        <v>0</v>
      </c>
    </row>
    <row r="4963" spans="1:14" x14ac:dyDescent="0.3">
      <c r="A4963" t="s">
        <v>6009</v>
      </c>
      <c r="B4963" t="s">
        <v>490</v>
      </c>
      <c r="C4963" s="1">
        <v>45528</v>
      </c>
      <c r="E4963" t="s">
        <v>32</v>
      </c>
      <c r="F4963">
        <v>14</v>
      </c>
      <c r="G4963" s="12">
        <v>2786</v>
      </c>
      <c r="H4963" s="12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1050</v>
      </c>
      <c r="N4963" t="b">
        <v>1</v>
      </c>
    </row>
    <row r="4964" spans="1:14" x14ac:dyDescent="0.3">
      <c r="A4964" t="s">
        <v>6010</v>
      </c>
      <c r="B4964" t="s">
        <v>768</v>
      </c>
      <c r="C4964" s="1">
        <v>45429</v>
      </c>
      <c r="E4964" t="s">
        <v>39</v>
      </c>
      <c r="F4964">
        <v>28</v>
      </c>
      <c r="G4964" s="12">
        <v>1372</v>
      </c>
      <c r="H4964" s="12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1047</v>
      </c>
      <c r="N4964" t="b">
        <v>0</v>
      </c>
    </row>
    <row r="4965" spans="1:14" x14ac:dyDescent="0.3">
      <c r="A4965" t="s">
        <v>6011</v>
      </c>
      <c r="B4965" t="s">
        <v>136</v>
      </c>
      <c r="C4965" s="1">
        <v>45499</v>
      </c>
      <c r="E4965" t="s">
        <v>32</v>
      </c>
      <c r="F4965">
        <v>41</v>
      </c>
      <c r="G4965" s="12">
        <v>8159</v>
      </c>
      <c r="H4965" s="12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1050</v>
      </c>
      <c r="N4965" t="b">
        <v>1</v>
      </c>
    </row>
    <row r="4966" spans="1:14" x14ac:dyDescent="0.3">
      <c r="A4966" t="s">
        <v>6012</v>
      </c>
      <c r="B4966" t="s">
        <v>410</v>
      </c>
      <c r="C4966" s="1">
        <v>45512</v>
      </c>
      <c r="E4966" t="s">
        <v>15</v>
      </c>
      <c r="F4966">
        <v>24</v>
      </c>
      <c r="G4966" s="12">
        <v>456</v>
      </c>
      <c r="H4966" s="12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1050</v>
      </c>
      <c r="N4966" t="b">
        <v>1</v>
      </c>
    </row>
    <row r="4967" spans="1:14" x14ac:dyDescent="0.3">
      <c r="A4967" t="s">
        <v>6013</v>
      </c>
      <c r="B4967" t="s">
        <v>474</v>
      </c>
      <c r="C4967" s="1">
        <v>45623</v>
      </c>
      <c r="E4967" t="s">
        <v>15</v>
      </c>
      <c r="F4967">
        <v>15</v>
      </c>
      <c r="G4967" s="12">
        <v>285</v>
      </c>
      <c r="H4967" s="12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1047</v>
      </c>
      <c r="N4967" t="b">
        <v>1</v>
      </c>
    </row>
    <row r="4968" spans="1:14" x14ac:dyDescent="0.3">
      <c r="A4968" t="s">
        <v>6014</v>
      </c>
      <c r="B4968" t="s">
        <v>894</v>
      </c>
      <c r="C4968" s="1">
        <v>45528</v>
      </c>
      <c r="E4968" t="s">
        <v>15</v>
      </c>
      <c r="F4968">
        <v>3</v>
      </c>
      <c r="G4968" s="12">
        <v>0</v>
      </c>
      <c r="H4968" s="12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1047</v>
      </c>
      <c r="N4968" t="b">
        <v>0</v>
      </c>
    </row>
    <row r="4969" spans="1:14" x14ac:dyDescent="0.3">
      <c r="A4969" t="s">
        <v>6015</v>
      </c>
      <c r="B4969" t="s">
        <v>894</v>
      </c>
      <c r="C4969" s="1">
        <v>45420</v>
      </c>
      <c r="E4969" t="s">
        <v>39</v>
      </c>
      <c r="F4969">
        <v>19</v>
      </c>
      <c r="G4969" s="12">
        <v>931</v>
      </c>
      <c r="H4969" s="12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1047</v>
      </c>
      <c r="N4969" t="b">
        <v>1</v>
      </c>
    </row>
    <row r="4970" spans="1:14" x14ac:dyDescent="0.3">
      <c r="A4970" t="s">
        <v>6016</v>
      </c>
      <c r="B4970" t="s">
        <v>756</v>
      </c>
      <c r="C4970" s="1">
        <v>45560</v>
      </c>
      <c r="E4970" t="s">
        <v>15</v>
      </c>
      <c r="F4970">
        <v>18</v>
      </c>
      <c r="G4970" s="12">
        <v>342</v>
      </c>
      <c r="H4970" s="12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1047</v>
      </c>
      <c r="N4970" t="b">
        <v>1</v>
      </c>
    </row>
    <row r="4971" spans="1:14" x14ac:dyDescent="0.3">
      <c r="A4971" t="s">
        <v>6017</v>
      </c>
      <c r="B4971" t="s">
        <v>93</v>
      </c>
      <c r="C4971" s="1">
        <v>45631</v>
      </c>
      <c r="E4971" t="s">
        <v>39</v>
      </c>
      <c r="F4971">
        <v>58</v>
      </c>
      <c r="G4971" s="12">
        <v>2842</v>
      </c>
      <c r="H4971" s="12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1047</v>
      </c>
      <c r="N4971" t="b">
        <v>1</v>
      </c>
    </row>
    <row r="4972" spans="1:14" x14ac:dyDescent="0.3">
      <c r="A4972" t="s">
        <v>6018</v>
      </c>
      <c r="B4972" t="s">
        <v>976</v>
      </c>
      <c r="C4972" s="1">
        <v>45398</v>
      </c>
      <c r="E4972" t="s">
        <v>39</v>
      </c>
      <c r="F4972">
        <v>54</v>
      </c>
      <c r="G4972" s="12">
        <v>0</v>
      </c>
      <c r="H4972" s="1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1050</v>
      </c>
      <c r="N4972" t="b">
        <v>1</v>
      </c>
    </row>
    <row r="4973" spans="1:14" x14ac:dyDescent="0.3">
      <c r="A4973" t="s">
        <v>6019</v>
      </c>
      <c r="B4973" t="s">
        <v>1002</v>
      </c>
      <c r="C4973" s="1">
        <v>45003</v>
      </c>
      <c r="E4973" t="s">
        <v>39</v>
      </c>
      <c r="F4973">
        <v>9</v>
      </c>
      <c r="G4973" s="12">
        <v>0</v>
      </c>
      <c r="H4973" s="12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1047</v>
      </c>
      <c r="N4973" t="b">
        <v>0</v>
      </c>
    </row>
    <row r="4974" spans="1:14" x14ac:dyDescent="0.3">
      <c r="A4974" t="s">
        <v>6020</v>
      </c>
      <c r="B4974" t="s">
        <v>246</v>
      </c>
      <c r="C4974" s="1">
        <v>45574</v>
      </c>
      <c r="E4974" t="s">
        <v>15</v>
      </c>
      <c r="F4974">
        <v>61</v>
      </c>
      <c r="G4974" s="12">
        <v>0</v>
      </c>
      <c r="H4974" s="12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1050</v>
      </c>
      <c r="N4974" t="b">
        <v>1</v>
      </c>
    </row>
    <row r="4975" spans="1:14" x14ac:dyDescent="0.3">
      <c r="A4975" t="s">
        <v>6021</v>
      </c>
      <c r="B4975" t="s">
        <v>896</v>
      </c>
      <c r="C4975" s="1">
        <v>45649</v>
      </c>
      <c r="E4975" t="s">
        <v>39</v>
      </c>
      <c r="F4975">
        <v>51</v>
      </c>
      <c r="G4975" s="12">
        <v>2499</v>
      </c>
      <c r="H4975" s="12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1047</v>
      </c>
      <c r="N4975" t="b">
        <v>1</v>
      </c>
    </row>
    <row r="4976" spans="1:14" x14ac:dyDescent="0.3">
      <c r="A4976" t="s">
        <v>6022</v>
      </c>
      <c r="B4976" t="s">
        <v>544</v>
      </c>
      <c r="C4976" s="1">
        <v>45535</v>
      </c>
      <c r="E4976" t="s">
        <v>32</v>
      </c>
      <c r="F4976">
        <v>37</v>
      </c>
      <c r="G4976" s="12">
        <v>7363</v>
      </c>
      <c r="H4976" s="12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1050</v>
      </c>
      <c r="N4976" t="b">
        <v>1</v>
      </c>
    </row>
    <row r="4977" spans="1:14" x14ac:dyDescent="0.3">
      <c r="A4977" t="s">
        <v>6023</v>
      </c>
      <c r="B4977" t="s">
        <v>938</v>
      </c>
      <c r="C4977" s="1">
        <v>45615</v>
      </c>
      <c r="E4977" t="s">
        <v>15</v>
      </c>
      <c r="F4977">
        <v>24</v>
      </c>
      <c r="G4977" s="12">
        <v>456</v>
      </c>
      <c r="H4977" s="12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1047</v>
      </c>
      <c r="N4977" t="b">
        <v>0</v>
      </c>
    </row>
    <row r="4978" spans="1:14" x14ac:dyDescent="0.3">
      <c r="A4978" t="s">
        <v>6024</v>
      </c>
      <c r="B4978" t="s">
        <v>120</v>
      </c>
      <c r="C4978" s="1">
        <v>45535</v>
      </c>
      <c r="E4978" t="s">
        <v>32</v>
      </c>
      <c r="F4978">
        <v>7</v>
      </c>
      <c r="G4978" s="12">
        <v>1393</v>
      </c>
      <c r="H4978" s="12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1047</v>
      </c>
      <c r="N4978" t="b">
        <v>1</v>
      </c>
    </row>
    <row r="4979" spans="1:14" x14ac:dyDescent="0.3">
      <c r="A4979" t="s">
        <v>6025</v>
      </c>
      <c r="B4979" t="s">
        <v>194</v>
      </c>
      <c r="C4979" s="1">
        <v>45376</v>
      </c>
      <c r="E4979" t="s">
        <v>32</v>
      </c>
      <c r="F4979">
        <v>11</v>
      </c>
      <c r="G4979" s="12">
        <v>2189</v>
      </c>
      <c r="H4979" s="12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1050</v>
      </c>
      <c r="N4979" t="b">
        <v>1</v>
      </c>
    </row>
    <row r="4980" spans="1:14" x14ac:dyDescent="0.3">
      <c r="A4980" t="s">
        <v>6026</v>
      </c>
      <c r="B4980" t="s">
        <v>276</v>
      </c>
      <c r="C4980" s="1">
        <v>45048</v>
      </c>
      <c r="E4980" t="s">
        <v>15</v>
      </c>
      <c r="F4980">
        <v>2</v>
      </c>
      <c r="G4980" s="12">
        <v>38</v>
      </c>
      <c r="H4980" s="12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1050</v>
      </c>
      <c r="N4980" t="b">
        <v>1</v>
      </c>
    </row>
    <row r="4981" spans="1:14" x14ac:dyDescent="0.3">
      <c r="A4981" t="s">
        <v>6027</v>
      </c>
      <c r="B4981" t="s">
        <v>104</v>
      </c>
      <c r="C4981" s="1">
        <v>45566</v>
      </c>
      <c r="E4981" t="s">
        <v>32</v>
      </c>
      <c r="F4981">
        <v>3</v>
      </c>
      <c r="G4981" s="12">
        <v>597</v>
      </c>
      <c r="H4981" s="12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1050</v>
      </c>
      <c r="N4981" t="b">
        <v>1</v>
      </c>
    </row>
    <row r="4982" spans="1:14" x14ac:dyDescent="0.3">
      <c r="A4982" t="s">
        <v>6028</v>
      </c>
      <c r="B4982" t="s">
        <v>25</v>
      </c>
      <c r="C4982" s="1">
        <v>45411</v>
      </c>
      <c r="E4982" t="s">
        <v>15</v>
      </c>
      <c r="F4982">
        <v>34</v>
      </c>
      <c r="G4982" s="12">
        <v>646</v>
      </c>
      <c r="H4982" s="1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1047</v>
      </c>
      <c r="N4982" t="b">
        <v>0</v>
      </c>
    </row>
    <row r="4983" spans="1:14" x14ac:dyDescent="0.3">
      <c r="A4983" t="s">
        <v>6029</v>
      </c>
      <c r="B4983" t="s">
        <v>834</v>
      </c>
      <c r="C4983" s="1">
        <v>45414</v>
      </c>
      <c r="E4983" t="s">
        <v>32</v>
      </c>
      <c r="F4983">
        <v>89</v>
      </c>
      <c r="G4983" s="12">
        <v>17711</v>
      </c>
      <c r="H4983" s="12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1047</v>
      </c>
      <c r="N4983" t="b">
        <v>1</v>
      </c>
    </row>
    <row r="4984" spans="1:14" x14ac:dyDescent="0.3">
      <c r="A4984" t="s">
        <v>6030</v>
      </c>
      <c r="B4984" t="s">
        <v>122</v>
      </c>
      <c r="C4984" s="1">
        <v>45141</v>
      </c>
      <c r="E4984" t="s">
        <v>32</v>
      </c>
      <c r="F4984">
        <v>22</v>
      </c>
      <c r="G4984" s="12">
        <v>4378</v>
      </c>
      <c r="H4984" s="12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1050</v>
      </c>
      <c r="N4984" t="b">
        <v>1</v>
      </c>
    </row>
    <row r="4985" spans="1:14" x14ac:dyDescent="0.3">
      <c r="A4985" t="s">
        <v>6031</v>
      </c>
      <c r="B4985" t="s">
        <v>1028</v>
      </c>
      <c r="C4985" s="1">
        <v>45539</v>
      </c>
      <c r="E4985" t="s">
        <v>32</v>
      </c>
      <c r="F4985">
        <v>12</v>
      </c>
      <c r="G4985" s="12">
        <v>2388</v>
      </c>
      <c r="H4985" s="12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1047</v>
      </c>
      <c r="N4985" t="b">
        <v>1</v>
      </c>
    </row>
    <row r="4986" spans="1:14" x14ac:dyDescent="0.3">
      <c r="A4986" t="s">
        <v>6032</v>
      </c>
      <c r="B4986" t="s">
        <v>894</v>
      </c>
      <c r="C4986" s="1">
        <v>45470</v>
      </c>
      <c r="E4986" t="s">
        <v>15</v>
      </c>
      <c r="F4986">
        <v>36</v>
      </c>
      <c r="G4986" s="12">
        <v>684</v>
      </c>
      <c r="H4986" s="12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1047</v>
      </c>
      <c r="N4986" t="b">
        <v>1</v>
      </c>
    </row>
    <row r="4987" spans="1:14" x14ac:dyDescent="0.3">
      <c r="A4987" t="s">
        <v>6033</v>
      </c>
      <c r="B4987" t="s">
        <v>352</v>
      </c>
      <c r="C4987" s="1">
        <v>45325</v>
      </c>
      <c r="E4987" t="s">
        <v>39</v>
      </c>
      <c r="F4987">
        <v>36</v>
      </c>
      <c r="G4987" s="12">
        <v>1764</v>
      </c>
      <c r="H4987" s="12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1047</v>
      </c>
      <c r="N4987" t="b">
        <v>1</v>
      </c>
    </row>
    <row r="4988" spans="1:14" x14ac:dyDescent="0.3">
      <c r="A4988" t="s">
        <v>6034</v>
      </c>
      <c r="B4988" t="s">
        <v>794</v>
      </c>
      <c r="C4988" s="1">
        <v>45403</v>
      </c>
      <c r="D4988" s="1">
        <v>45495</v>
      </c>
      <c r="E4988" t="s">
        <v>32</v>
      </c>
      <c r="F4988">
        <v>31</v>
      </c>
      <c r="G4988" s="12">
        <v>6169</v>
      </c>
      <c r="H4988" s="12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1047</v>
      </c>
      <c r="N4988" t="b">
        <v>1</v>
      </c>
    </row>
    <row r="4989" spans="1:14" x14ac:dyDescent="0.3">
      <c r="A4989" t="s">
        <v>6035</v>
      </c>
      <c r="B4989" t="s">
        <v>998</v>
      </c>
      <c r="C4989" s="1">
        <v>45434</v>
      </c>
      <c r="E4989" t="s">
        <v>15</v>
      </c>
      <c r="F4989">
        <v>40</v>
      </c>
      <c r="G4989" s="12">
        <v>760</v>
      </c>
      <c r="H4989" s="12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1047</v>
      </c>
      <c r="N4989" t="b">
        <v>1</v>
      </c>
    </row>
    <row r="4990" spans="1:14" x14ac:dyDescent="0.3">
      <c r="A4990" t="s">
        <v>6036</v>
      </c>
      <c r="B4990" t="s">
        <v>234</v>
      </c>
      <c r="C4990" s="1">
        <v>45057</v>
      </c>
      <c r="E4990" t="s">
        <v>15</v>
      </c>
      <c r="F4990">
        <v>54</v>
      </c>
      <c r="G4990" s="12">
        <v>1026</v>
      </c>
      <c r="H4990" s="12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1050</v>
      </c>
      <c r="N4990" t="b">
        <v>1</v>
      </c>
    </row>
    <row r="4991" spans="1:14" x14ac:dyDescent="0.3">
      <c r="A4991" t="s">
        <v>6037</v>
      </c>
      <c r="B4991" t="s">
        <v>102</v>
      </c>
      <c r="C4991" s="1">
        <v>45498</v>
      </c>
      <c r="D4991" s="1">
        <v>45578</v>
      </c>
      <c r="E4991" t="s">
        <v>32</v>
      </c>
      <c r="F4991">
        <v>13</v>
      </c>
      <c r="G4991" s="12">
        <v>2587</v>
      </c>
      <c r="H4991" s="12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1047</v>
      </c>
      <c r="N4991" t="b">
        <v>1</v>
      </c>
    </row>
    <row r="4992" spans="1:14" x14ac:dyDescent="0.3">
      <c r="A4992" t="s">
        <v>6038</v>
      </c>
      <c r="B4992" t="s">
        <v>21</v>
      </c>
      <c r="C4992" s="1">
        <v>45653</v>
      </c>
      <c r="E4992" t="s">
        <v>39</v>
      </c>
      <c r="F4992">
        <v>2</v>
      </c>
      <c r="G4992" s="12">
        <v>98</v>
      </c>
      <c r="H4992" s="1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1050</v>
      </c>
      <c r="N4992" t="b">
        <v>1</v>
      </c>
    </row>
    <row r="4993" spans="1:14" x14ac:dyDescent="0.3">
      <c r="A4993" t="s">
        <v>6039</v>
      </c>
      <c r="B4993" t="s">
        <v>956</v>
      </c>
      <c r="C4993" s="1">
        <v>45576</v>
      </c>
      <c r="E4993" t="s">
        <v>32</v>
      </c>
      <c r="F4993">
        <v>13</v>
      </c>
      <c r="G4993" s="12">
        <v>2587</v>
      </c>
      <c r="H4993" s="12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1047</v>
      </c>
      <c r="N4993" t="b">
        <v>0</v>
      </c>
    </row>
    <row r="4994" spans="1:14" x14ac:dyDescent="0.3">
      <c r="A4994" t="s">
        <v>6040</v>
      </c>
      <c r="B4994" t="s">
        <v>928</v>
      </c>
      <c r="C4994" s="1">
        <v>45538</v>
      </c>
      <c r="E4994" t="s">
        <v>32</v>
      </c>
      <c r="F4994">
        <v>27</v>
      </c>
      <c r="G4994" s="12">
        <v>5373</v>
      </c>
      <c r="H4994" s="12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1050</v>
      </c>
      <c r="N4994" t="b">
        <v>1</v>
      </c>
    </row>
    <row r="4995" spans="1:14" x14ac:dyDescent="0.3">
      <c r="A4995" t="s">
        <v>6041</v>
      </c>
      <c r="B4995" t="s">
        <v>604</v>
      </c>
      <c r="C4995" s="1">
        <v>45645</v>
      </c>
      <c r="D4995" s="1">
        <v>45656</v>
      </c>
      <c r="E4995" t="s">
        <v>39</v>
      </c>
      <c r="F4995">
        <v>25</v>
      </c>
      <c r="G4995" s="12">
        <v>1225</v>
      </c>
      <c r="H4995" s="12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1050</v>
      </c>
      <c r="N4995" t="b">
        <v>1</v>
      </c>
    </row>
    <row r="4996" spans="1:14" x14ac:dyDescent="0.3">
      <c r="A4996" t="s">
        <v>6042</v>
      </c>
      <c r="B4996" t="s">
        <v>262</v>
      </c>
      <c r="C4996" s="1">
        <v>45153</v>
      </c>
      <c r="E4996" t="s">
        <v>32</v>
      </c>
      <c r="F4996">
        <v>33</v>
      </c>
      <c r="G4996" s="12">
        <v>6567</v>
      </c>
      <c r="H4996" s="12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1050</v>
      </c>
      <c r="N4996" t="b">
        <v>1</v>
      </c>
    </row>
    <row r="4997" spans="1:14" x14ac:dyDescent="0.3">
      <c r="A4997" t="s">
        <v>6043</v>
      </c>
      <c r="B4997" t="s">
        <v>452</v>
      </c>
      <c r="C4997" s="1">
        <v>45592</v>
      </c>
      <c r="E4997" t="s">
        <v>32</v>
      </c>
      <c r="F4997">
        <v>18</v>
      </c>
      <c r="G4997" s="12">
        <v>3582</v>
      </c>
      <c r="H4997" s="12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1047</v>
      </c>
      <c r="N4997" t="b">
        <v>1</v>
      </c>
    </row>
    <row r="4998" spans="1:14" x14ac:dyDescent="0.3">
      <c r="A4998" t="s">
        <v>6044</v>
      </c>
      <c r="B4998" t="s">
        <v>914</v>
      </c>
      <c r="C4998" s="1">
        <v>45631</v>
      </c>
      <c r="E4998" t="s">
        <v>39</v>
      </c>
      <c r="F4998">
        <v>23</v>
      </c>
      <c r="G4998" s="12">
        <v>1127</v>
      </c>
      <c r="H4998" s="12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1047</v>
      </c>
      <c r="N4998" t="b">
        <v>0</v>
      </c>
    </row>
    <row r="4999" spans="1:14" x14ac:dyDescent="0.3">
      <c r="A4999" t="s">
        <v>6045</v>
      </c>
      <c r="B4999" t="s">
        <v>638</v>
      </c>
      <c r="C4999" s="1">
        <v>45641</v>
      </c>
      <c r="E4999" t="s">
        <v>39</v>
      </c>
      <c r="F4999">
        <v>25</v>
      </c>
      <c r="G4999" s="12">
        <v>1225</v>
      </c>
      <c r="H4999" s="12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1050</v>
      </c>
      <c r="N4999" t="b">
        <v>1</v>
      </c>
    </row>
    <row r="5000" spans="1:14" x14ac:dyDescent="0.3">
      <c r="A5000" t="s">
        <v>6046</v>
      </c>
      <c r="B5000" t="s">
        <v>814</v>
      </c>
      <c r="C5000" s="1">
        <v>45071</v>
      </c>
      <c r="E5000" t="s">
        <v>39</v>
      </c>
      <c r="F5000">
        <v>132</v>
      </c>
      <c r="G5000" s="12">
        <v>6468</v>
      </c>
      <c r="H5000" s="12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1047</v>
      </c>
      <c r="N5000" t="b">
        <v>1</v>
      </c>
    </row>
    <row r="5001" spans="1:14" x14ac:dyDescent="0.3">
      <c r="A5001" t="s">
        <v>6047</v>
      </c>
      <c r="B5001" t="s">
        <v>1012</v>
      </c>
      <c r="C5001" s="1">
        <v>45632</v>
      </c>
      <c r="E5001" t="s">
        <v>32</v>
      </c>
      <c r="F5001">
        <v>10</v>
      </c>
      <c r="G5001" s="12">
        <v>1990</v>
      </c>
      <c r="H5001" s="12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1047</v>
      </c>
      <c r="N5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account summary</vt:lpstr>
      <vt:lpstr>churn_segment</vt:lpstr>
      <vt:lpstr>Revenue summary</vt:lpstr>
      <vt:lpstr>Churn trend</vt:lpstr>
      <vt:lpstr>Risk accounts</vt:lpstr>
      <vt:lpstr>subscription_raw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Tripti Manglik</dc:creator>
  <cp:lastModifiedBy>Tripti Manglik</cp:lastModifiedBy>
  <dcterms:created xsi:type="dcterms:W3CDTF">2026-05-29T10:21:28Z</dcterms:created>
  <dcterms:modified xsi:type="dcterms:W3CDTF">2026-05-30T15:36:37Z</dcterms:modified>
</cp:coreProperties>
</file>